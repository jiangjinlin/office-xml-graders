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4"/>
  </bookViews>
  <sheets>
    <sheet name="体检表" sheetId="1" r:id="rId1"/>
    <sheet name="体检人信息表" sheetId="2" r:id="rId2"/>
    <sheet name="筛选" sheetId="3" r:id="rId3"/>
    <sheet name="分类汇总" sheetId="4" r:id="rId4"/>
    <sheet name="体检流程表" sheetId="5" r:id="rId5"/>
  </sheets>
  <definedNames>
    <definedName name="_xlnm._FilterDatabase" localSheetId="2" hidden="1">筛选!$A$3:$E$68</definedName>
    <definedName name="_xlnm.Criteria" localSheetId="2">筛选!$A$1:$E$2</definedName>
  </definedNames>
  <calcPr calcId="144525"/>
</workbook>
</file>

<file path=xl/calcChain.xml><?xml version="1.0" encoding="utf-8"?>
<calcChain xmlns="http://schemas.openxmlformats.org/spreadsheetml/2006/main">
  <c r="E69" i="4" l="1"/>
  <c r="D69" i="4"/>
  <c r="E68" i="4"/>
  <c r="D68" i="4"/>
  <c r="E30" i="4"/>
  <c r="D30" i="4"/>
  <c r="C36" i="4"/>
  <c r="B36" i="4"/>
  <c r="C27" i="4"/>
  <c r="B27" i="4"/>
  <c r="C13" i="4"/>
  <c r="B13" i="4"/>
  <c r="C24" i="4"/>
  <c r="B24" i="4"/>
  <c r="C38" i="4"/>
  <c r="B38" i="4"/>
  <c r="C58" i="4"/>
  <c r="B58" i="4"/>
  <c r="C14" i="4"/>
  <c r="B14" i="4"/>
  <c r="C50" i="4"/>
  <c r="B50" i="4"/>
  <c r="C29" i="4"/>
  <c r="B29" i="4"/>
  <c r="C18" i="4"/>
  <c r="B18" i="4"/>
  <c r="C2" i="4"/>
  <c r="B2" i="4"/>
  <c r="C5" i="4"/>
  <c r="B5" i="4"/>
  <c r="C20" i="4"/>
  <c r="B20" i="4"/>
  <c r="C12" i="4"/>
  <c r="B12" i="4"/>
  <c r="C28" i="4"/>
  <c r="B28" i="4"/>
  <c r="C47" i="4"/>
  <c r="B47" i="4"/>
  <c r="C48" i="4"/>
  <c r="B48" i="4"/>
  <c r="C22" i="4"/>
  <c r="B22" i="4"/>
  <c r="C63" i="4"/>
  <c r="B63" i="4"/>
  <c r="C19" i="4"/>
  <c r="B19" i="4"/>
  <c r="C45" i="4"/>
  <c r="B45" i="4"/>
  <c r="C35" i="4"/>
  <c r="B35" i="4"/>
  <c r="C55" i="4"/>
  <c r="B55" i="4"/>
  <c r="C32" i="4"/>
  <c r="B32" i="4"/>
  <c r="C7" i="4"/>
  <c r="B7" i="4"/>
  <c r="C10" i="4"/>
  <c r="B10" i="4"/>
  <c r="C66" i="4"/>
  <c r="B66" i="4"/>
  <c r="C25" i="4"/>
  <c r="B25" i="4"/>
  <c r="C17" i="4"/>
  <c r="B17" i="4"/>
  <c r="C37" i="4"/>
  <c r="B37" i="4"/>
  <c r="C4" i="4"/>
  <c r="B4" i="4"/>
  <c r="C61" i="4"/>
  <c r="B61" i="4"/>
  <c r="C57" i="4"/>
  <c r="B57" i="4"/>
  <c r="C15" i="4"/>
  <c r="B15" i="4"/>
  <c r="C26" i="4"/>
  <c r="B26" i="4"/>
  <c r="C3" i="4"/>
  <c r="B3" i="4"/>
  <c r="C41" i="4"/>
  <c r="B41" i="4"/>
  <c r="C21" i="4"/>
  <c r="B21" i="4"/>
  <c r="C53" i="4"/>
  <c r="B53" i="4"/>
  <c r="C54" i="4"/>
  <c r="B54" i="4"/>
  <c r="C9" i="4"/>
  <c r="B9" i="4"/>
  <c r="C33" i="4"/>
  <c r="B33" i="4"/>
  <c r="C49" i="4"/>
  <c r="B49" i="4"/>
  <c r="C31" i="4"/>
  <c r="B31" i="4"/>
  <c r="C43" i="4"/>
  <c r="B43" i="4"/>
  <c r="C59" i="4"/>
  <c r="B59" i="4"/>
  <c r="C40" i="4"/>
  <c r="B40" i="4"/>
  <c r="C67" i="4"/>
  <c r="B67" i="4"/>
  <c r="C6" i="4"/>
  <c r="B6" i="4"/>
  <c r="C56" i="4"/>
  <c r="B56" i="4"/>
  <c r="C34" i="4"/>
  <c r="B34" i="4"/>
  <c r="C46" i="4"/>
  <c r="B46" i="4"/>
  <c r="C8" i="4"/>
  <c r="B8" i="4"/>
  <c r="C64" i="4"/>
  <c r="B64" i="4"/>
  <c r="C60" i="4"/>
  <c r="B60" i="4"/>
  <c r="C16" i="4"/>
  <c r="B16" i="4"/>
  <c r="C62" i="4"/>
  <c r="B62" i="4"/>
  <c r="C23" i="4"/>
  <c r="B23" i="4"/>
  <c r="C11" i="4"/>
  <c r="B11" i="4"/>
  <c r="C52" i="4"/>
  <c r="B52" i="4"/>
  <c r="C65" i="4"/>
  <c r="B65" i="4"/>
  <c r="C51" i="4"/>
  <c r="B51" i="4"/>
  <c r="C42" i="4"/>
  <c r="B42" i="4"/>
  <c r="C44" i="4"/>
  <c r="B44" i="4"/>
  <c r="C39" i="4"/>
  <c r="B39" i="4"/>
  <c r="I4" i="1"/>
  <c r="I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2" i="1"/>
</calcChain>
</file>

<file path=xl/sharedStrings.xml><?xml version="1.0" encoding="utf-8"?>
<sst xmlns="http://schemas.openxmlformats.org/spreadsheetml/2006/main" count="355" uniqueCount="146">
  <si>
    <t>左眼视力</t>
    <phoneticPr fontId="1" type="noConversion"/>
  </si>
  <si>
    <t>右眼视力</t>
    <phoneticPr fontId="1" type="noConversion"/>
  </si>
  <si>
    <t>姓名</t>
    <phoneticPr fontId="1" type="noConversion"/>
  </si>
  <si>
    <t>萧建文</t>
  </si>
  <si>
    <t>宋志铭</t>
  </si>
  <si>
    <t>王家豪</t>
  </si>
  <si>
    <t>林朝瑜</t>
  </si>
  <si>
    <t>陈柏哲</t>
  </si>
  <si>
    <t>林柏杰</t>
  </si>
  <si>
    <t>林政翰</t>
  </si>
  <si>
    <t>陈宜静</t>
  </si>
  <si>
    <t>陈筱易</t>
  </si>
  <si>
    <t>李伟合</t>
  </si>
  <si>
    <t>郭俊安</t>
  </si>
  <si>
    <t>陈馥卿</t>
  </si>
  <si>
    <t>王雅琪</t>
  </si>
  <si>
    <t>潘芳瑜</t>
  </si>
  <si>
    <t>张博虹</t>
  </si>
  <si>
    <t>赖佳燕</t>
  </si>
  <si>
    <t>萧财容</t>
  </si>
  <si>
    <t>蔡博琇</t>
  </si>
  <si>
    <t>吴睿芝</t>
  </si>
  <si>
    <t>洪瑶恭</t>
  </si>
  <si>
    <t>唐郁新</t>
  </si>
  <si>
    <t>左安琪</t>
  </si>
  <si>
    <t>林建屏</t>
  </si>
  <si>
    <t>张淑峰</t>
  </si>
  <si>
    <t>王初瑄</t>
  </si>
  <si>
    <t>李咏妤</t>
  </si>
  <si>
    <t>李政彬</t>
  </si>
  <si>
    <t>高名民</t>
  </si>
  <si>
    <t>吴美州</t>
  </si>
  <si>
    <t>张兆洋</t>
  </si>
  <si>
    <t>陈金志</t>
  </si>
  <si>
    <t>李依勇</t>
  </si>
  <si>
    <t>黄绿泰</t>
  </si>
  <si>
    <t>杜思颖</t>
  </si>
  <si>
    <t>杨心玲</t>
  </si>
  <si>
    <t>杨丹菱</t>
  </si>
  <si>
    <t>江天勋</t>
  </si>
  <si>
    <t>陈佩芬</t>
  </si>
  <si>
    <t>蔡志瑞</t>
  </si>
  <si>
    <t>谈舒涵</t>
  </si>
  <si>
    <t>吴佳宏</t>
  </si>
  <si>
    <t>周禹诚</t>
  </si>
  <si>
    <t>李嘉勇</t>
  </si>
  <si>
    <t>余家玮</t>
  </si>
  <si>
    <t>史姿蓉</t>
  </si>
  <si>
    <t>黄美善</t>
  </si>
  <si>
    <t>陈俊嘉</t>
  </si>
  <si>
    <t>邓嘉玲</t>
  </si>
  <si>
    <t>林琬苹</t>
  </si>
  <si>
    <t>林于岑</t>
  </si>
  <si>
    <t>曹淑媛</t>
  </si>
  <si>
    <t>林信宏</t>
  </si>
  <si>
    <t>黄惠茹</t>
  </si>
  <si>
    <t>颜怡璇</t>
  </si>
  <si>
    <t>章庭尹</t>
  </si>
  <si>
    <t>黄启善</t>
  </si>
  <si>
    <t>蔡君宏</t>
  </si>
  <si>
    <t>林宏麟</t>
  </si>
  <si>
    <t>林慧韦</t>
  </si>
  <si>
    <t>洪子翔</t>
  </si>
  <si>
    <t>许育萱</t>
  </si>
  <si>
    <t>陈彦亨</t>
  </si>
  <si>
    <t>林丽芬</t>
  </si>
  <si>
    <t>陈法璇</t>
  </si>
  <si>
    <t>杨世昌</t>
  </si>
  <si>
    <t>身高（厘米）</t>
    <phoneticPr fontId="1" type="noConversion"/>
  </si>
  <si>
    <t>体重（kg）</t>
    <phoneticPr fontId="1" type="noConversion"/>
  </si>
  <si>
    <t>身份证号码</t>
  </si>
  <si>
    <t>420101200401051055</t>
  </si>
  <si>
    <t>110102200512191513</t>
  </si>
  <si>
    <t>110102200503292713</t>
  </si>
  <si>
    <t>110102200404271532</t>
  </si>
  <si>
    <t>140302200505240451</t>
  </si>
  <si>
    <t>110102200405281913</t>
  </si>
  <si>
    <t>110103200503040920</t>
  </si>
  <si>
    <t>110103200503270623</t>
  </si>
  <si>
    <t>110103200504290936</t>
  </si>
  <si>
    <t>430103200508171548</t>
  </si>
  <si>
    <t>140104200510261737</t>
  </si>
  <si>
    <t>110104200403051216</t>
  </si>
  <si>
    <t>110105200407142140</t>
  </si>
  <si>
    <t>130105200510054517</t>
  </si>
  <si>
    <t>110105200410212519</t>
  </si>
  <si>
    <t>110105200511111135</t>
  </si>
  <si>
    <t>370105200406036123</t>
  </si>
  <si>
    <t>610106200503293913</t>
  </si>
  <si>
    <t>110106200405133052</t>
  </si>
  <si>
    <t>130106200505174819</t>
  </si>
  <si>
    <t>220106200407250970</t>
  </si>
  <si>
    <t>410107200504230930</t>
  </si>
  <si>
    <t>130108200411063791</t>
  </si>
  <si>
    <t>370108200512284251</t>
  </si>
  <si>
    <t>410108200408013724</t>
  </si>
  <si>
    <t>140108200501295479</t>
  </si>
  <si>
    <t>510109200510240031</t>
  </si>
  <si>
    <t>340109200608070328</t>
  </si>
  <si>
    <t>530111200410014018</t>
  </si>
  <si>
    <t>520111200610042027</t>
  </si>
  <si>
    <t>110111200606163022</t>
  </si>
  <si>
    <t>110221200509293625</t>
  </si>
  <si>
    <t>110221200602048335</t>
  </si>
  <si>
    <t>140223200505060558</t>
  </si>
  <si>
    <t>110223200406235661</t>
  </si>
  <si>
    <t>110223200510136635</t>
  </si>
  <si>
    <t>110223200501116380</t>
  </si>
  <si>
    <t>110224200510234821</t>
  </si>
  <si>
    <t>110224200607042031</t>
  </si>
  <si>
    <t>120224200501280026</t>
  </si>
  <si>
    <t>110226200504111420</t>
  </si>
  <si>
    <t>110226200508090053</t>
  </si>
  <si>
    <t>530226200510021915</t>
  </si>
  <si>
    <t>110226200412221659</t>
  </si>
  <si>
    <t>110226200512240017</t>
  </si>
  <si>
    <t>110227200612061545</t>
  </si>
  <si>
    <t>430227200509040059</t>
  </si>
  <si>
    <t>110229200511140023</t>
  </si>
  <si>
    <t>110229200509011331</t>
  </si>
  <si>
    <t>420229200509060831</t>
  </si>
  <si>
    <t>110112200511263741</t>
  </si>
  <si>
    <t>110630200505210048</t>
  </si>
  <si>
    <t>121182200409163825</t>
  </si>
  <si>
    <t>110404200509074122</t>
  </si>
  <si>
    <t>11040520040531542X</t>
  </si>
  <si>
    <t>110226200406240045</t>
    <phoneticPr fontId="1" type="noConversion"/>
  </si>
  <si>
    <t>110227200512061545</t>
    <phoneticPr fontId="1" type="noConversion"/>
  </si>
  <si>
    <t>430227200609040059</t>
    <phoneticPr fontId="1" type="noConversion"/>
  </si>
  <si>
    <t>110229200411140023</t>
    <phoneticPr fontId="1" type="noConversion"/>
  </si>
  <si>
    <t>110229200609011331</t>
    <phoneticPr fontId="1" type="noConversion"/>
  </si>
  <si>
    <t>420229200409060831</t>
    <phoneticPr fontId="1" type="noConversion"/>
  </si>
  <si>
    <t>110112200611263741</t>
    <phoneticPr fontId="1" type="noConversion"/>
  </si>
  <si>
    <t>110630200605110044</t>
    <phoneticPr fontId="1" type="noConversion"/>
  </si>
  <si>
    <t>121182200509163825</t>
    <phoneticPr fontId="1" type="noConversion"/>
  </si>
  <si>
    <t>530226200412021915</t>
    <phoneticPr fontId="1" type="noConversion"/>
  </si>
  <si>
    <t>出生日期</t>
    <phoneticPr fontId="1" type="noConversion"/>
  </si>
  <si>
    <t>性别</t>
    <phoneticPr fontId="1" type="noConversion"/>
  </si>
  <si>
    <t>女生总人数</t>
    <phoneticPr fontId="1" type="noConversion"/>
  </si>
  <si>
    <t>男生总人数</t>
    <phoneticPr fontId="1" type="noConversion"/>
  </si>
  <si>
    <t>左眼视力</t>
    <phoneticPr fontId="1" type="noConversion"/>
  </si>
  <si>
    <t>右眼视力</t>
    <phoneticPr fontId="1" type="noConversion"/>
  </si>
  <si>
    <t>&gt;=5.0</t>
    <phoneticPr fontId="1" type="noConversion"/>
  </si>
  <si>
    <t>女 平均值</t>
  </si>
  <si>
    <t>男 平均值</t>
  </si>
  <si>
    <t>总计平均值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</si>
</sst>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sz val="12"/>
      <color theme="1"/>
      <name val="华文楷体"/>
      <family val="3"/>
      <charset val="134"/>
    </font>
    <font>
      <b/>
      <sz val="12"/>
      <color theme="1"/>
      <name val="华文楷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ck">
        <color rgb="FFFF0000"/>
      </left>
      <right style="double">
        <color rgb="FF0070C0"/>
      </right>
      <top style="thick">
        <color rgb="FFFF0000"/>
      </top>
      <bottom style="double">
        <color rgb="FF0070C0"/>
      </bottom>
      <diagonal/>
    </border>
    <border>
      <left style="double">
        <color rgb="FF0070C0"/>
      </left>
      <right style="double">
        <color rgb="FF0070C0"/>
      </right>
      <top style="thick">
        <color rgb="FFFF0000"/>
      </top>
      <bottom style="double">
        <color rgb="FF0070C0"/>
      </bottom>
      <diagonal/>
    </border>
    <border>
      <left style="double">
        <color rgb="FF0070C0"/>
      </left>
      <right style="thick">
        <color rgb="FFFF0000"/>
      </right>
      <top style="thick">
        <color rgb="FFFF0000"/>
      </top>
      <bottom style="double">
        <color rgb="FF0070C0"/>
      </bottom>
      <diagonal/>
    </border>
    <border>
      <left style="thick">
        <color rgb="FFFF0000"/>
      </left>
      <right style="double">
        <color rgb="FF0070C0"/>
      </right>
      <top style="double">
        <color rgb="FF0070C0"/>
      </top>
      <bottom style="double">
        <color rgb="FF0070C0"/>
      </bottom>
      <diagonal/>
    </border>
    <border>
      <left style="double">
        <color rgb="FF0070C0"/>
      </left>
      <right style="double">
        <color rgb="FF0070C0"/>
      </right>
      <top style="double">
        <color rgb="FF0070C0"/>
      </top>
      <bottom style="double">
        <color rgb="FF0070C0"/>
      </bottom>
      <diagonal/>
    </border>
    <border>
      <left style="double">
        <color rgb="FF0070C0"/>
      </left>
      <right style="thick">
        <color rgb="FFFF0000"/>
      </right>
      <top style="double">
        <color rgb="FF0070C0"/>
      </top>
      <bottom style="double">
        <color rgb="FF0070C0"/>
      </bottom>
      <diagonal/>
    </border>
    <border>
      <left style="thick">
        <color rgb="FFFF0000"/>
      </left>
      <right style="double">
        <color rgb="FF0070C0"/>
      </right>
      <top style="double">
        <color rgb="FF0070C0"/>
      </top>
      <bottom style="thick">
        <color rgb="FFFF0000"/>
      </bottom>
      <diagonal/>
    </border>
    <border>
      <left style="double">
        <color rgb="FF0070C0"/>
      </left>
      <right style="double">
        <color rgb="FF0070C0"/>
      </right>
      <top style="double">
        <color rgb="FF0070C0"/>
      </top>
      <bottom style="thick">
        <color rgb="FFFF0000"/>
      </bottom>
      <diagonal/>
    </border>
    <border>
      <left style="double">
        <color rgb="FF0070C0"/>
      </left>
      <right style="thick">
        <color rgb="FFFF0000"/>
      </right>
      <top style="double">
        <color rgb="FF0070C0"/>
      </top>
      <bottom style="thick">
        <color rgb="FFFF0000"/>
      </bottom>
      <diagonal/>
    </border>
    <border>
      <left style="double">
        <color rgb="FF002060"/>
      </left>
      <right style="double">
        <color rgb="FF002060"/>
      </right>
      <top style="double">
        <color rgb="FF002060"/>
      </top>
      <bottom style="double">
        <color rgb="FF002060"/>
      </bottom>
      <diagonal/>
    </border>
  </borders>
  <cellStyleXfs count="2">
    <xf numFmtId="0" fontId="0" fillId="0" borderId="0"/>
    <xf numFmtId="0" fontId="2" fillId="2" borderId="1" applyNumberFormat="0" applyAlignment="0" applyProtection="0">
      <alignment vertical="center"/>
    </xf>
  </cellStyleXfs>
  <cellXfs count="21">
    <xf numFmtId="0" fontId="0" fillId="0" borderId="0" xfId="0"/>
    <xf numFmtId="176" fontId="0" fillId="0" borderId="0" xfId="0" applyNumberFormat="1"/>
    <xf numFmtId="49" fontId="0" fillId="0" borderId="0" xfId="0" applyNumberFormat="1"/>
    <xf numFmtId="0" fontId="2" fillId="2" borderId="1" xfId="1" applyAlignment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76" fontId="3" fillId="0" borderId="9" xfId="0" applyNumberFormat="1" applyFont="1" applyBorder="1" applyAlignment="1">
      <alignment horizontal="center" vertical="center"/>
    </xf>
    <xf numFmtId="176" fontId="3" fillId="0" borderId="10" xfId="0" applyNumberFormat="1" applyFont="1" applyBorder="1" applyAlignment="1">
      <alignment horizontal="center" vertical="center"/>
    </xf>
    <xf numFmtId="0" fontId="0" fillId="0" borderId="11" xfId="0" applyBorder="1"/>
    <xf numFmtId="176" fontId="0" fillId="0" borderId="11" xfId="0" applyNumberFormat="1" applyBorder="1"/>
    <xf numFmtId="0" fontId="4" fillId="0" borderId="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76" fontId="3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4">
  <dgm:title val=""/>
  <dgm:desc val=""/>
  <dgm:catLst>
    <dgm:cat type="colorful" pri="10400"/>
  </dgm:catLst>
  <dgm:styleLbl name="node0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4"/>
      <a:schemeClr val="accent5"/>
    </dgm:fillClrLst>
    <dgm:linClrLst>
      <a:schemeClr val="accent4"/>
      <a:schemeClr val="accent5"/>
    </dgm:linClrLst>
    <dgm:effectClrLst/>
    <dgm:txLinClrLst/>
    <dgm:txFillClrLst/>
    <dgm:txEffectClrLst/>
  </dgm:styleLbl>
  <dgm:styleLbl name="ln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4">
        <a:alpha val="50000"/>
      </a:schemeClr>
      <a:schemeClr val="accent5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4">
        <a:tint val="50000"/>
      </a:schemeClr>
      <a:schemeClr val="accent5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4"/>
      <a:schemeClr val="accent5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4"/>
    </dgm:fillClrLst>
    <dgm:linClrLst meth="repeat">
      <a:schemeClr val="accent4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4"/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4">
        <a:tint val="9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4">
        <a:tint val="5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4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4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4">
        <a:tint val="50000"/>
        <a:alpha val="40000"/>
      </a:schemeClr>
    </dgm:fillClrLst>
    <dgm:linClrLst meth="repeat">
      <a:schemeClr val="accent4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4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C3143A34-E01A-4A80-A840-9416D556B54A}" type="doc">
      <dgm:prSet loTypeId="urn:microsoft.com/office/officeart/2005/8/layout/process1" loCatId="process" qsTypeId="urn:microsoft.com/office/officeart/2005/8/quickstyle/3d1" qsCatId="3D" csTypeId="urn:microsoft.com/office/officeart/2005/8/colors/colorful4" csCatId="colorful" phldr="1"/>
      <dgm:spPr/>
    </dgm:pt>
    <dgm:pt modelId="{F0C1CC04-4003-4A4A-9CAE-3C58065B5098}">
      <dgm:prSet phldrT="[文本]"/>
      <dgm:spPr/>
      <dgm:t>
        <a:bodyPr/>
        <a:lstStyle/>
        <a:p>
          <a:r>
            <a:rPr lang="zh-CN"/>
            <a:t>登记领表</a:t>
          </a:r>
          <a:endParaRPr lang="zh-CN" altLang="en-US"/>
        </a:p>
      </dgm:t>
    </dgm:pt>
    <dgm:pt modelId="{26BB04D3-848D-448A-8DB9-56D5E5EA06F1}" type="parTrans" cxnId="{28D59971-96D6-465B-8F93-F3B6EE3EF6C6}">
      <dgm:prSet/>
      <dgm:spPr/>
      <dgm:t>
        <a:bodyPr/>
        <a:lstStyle/>
        <a:p>
          <a:endParaRPr lang="zh-CN" altLang="en-US"/>
        </a:p>
      </dgm:t>
    </dgm:pt>
    <dgm:pt modelId="{9A6231B4-FBD7-434D-83D3-E70CF23432E4}" type="sibTrans" cxnId="{28D59971-96D6-465B-8F93-F3B6EE3EF6C6}">
      <dgm:prSet/>
      <dgm:spPr/>
      <dgm:t>
        <a:bodyPr/>
        <a:lstStyle/>
        <a:p>
          <a:endParaRPr lang="zh-CN" altLang="en-US"/>
        </a:p>
      </dgm:t>
    </dgm:pt>
    <dgm:pt modelId="{0E607570-5B0B-471B-B878-E3E6D6EEDD17}">
      <dgm:prSet phldrT="[文本]"/>
      <dgm:spPr/>
      <dgm:t>
        <a:bodyPr/>
        <a:lstStyle/>
        <a:p>
          <a:r>
            <a:rPr lang="zh-CN"/>
            <a:t>排队体检</a:t>
          </a:r>
          <a:endParaRPr lang="zh-CN" altLang="en-US"/>
        </a:p>
      </dgm:t>
    </dgm:pt>
    <dgm:pt modelId="{449ABA85-25BE-45CF-9E2F-337CC4587D42}" type="parTrans" cxnId="{B62C2625-2E60-40F6-8C37-7B4C7023F6B6}">
      <dgm:prSet/>
      <dgm:spPr/>
      <dgm:t>
        <a:bodyPr/>
        <a:lstStyle/>
        <a:p>
          <a:endParaRPr lang="zh-CN" altLang="en-US"/>
        </a:p>
      </dgm:t>
    </dgm:pt>
    <dgm:pt modelId="{67FCAB14-73B9-4FBD-9347-6224A2B17F75}" type="sibTrans" cxnId="{B62C2625-2E60-40F6-8C37-7B4C7023F6B6}">
      <dgm:prSet/>
      <dgm:spPr/>
      <dgm:t>
        <a:bodyPr/>
        <a:lstStyle/>
        <a:p>
          <a:endParaRPr lang="zh-CN" altLang="en-US"/>
        </a:p>
      </dgm:t>
    </dgm:pt>
    <dgm:pt modelId="{9BEF4E96-14AA-4A5F-ACFA-66D69F546F7B}">
      <dgm:prSet phldrT="[文本]"/>
      <dgm:spPr/>
      <dgm:t>
        <a:bodyPr/>
        <a:lstStyle/>
        <a:p>
          <a:r>
            <a:rPr lang="zh-CN"/>
            <a:t>交表，健康咨询</a:t>
          </a:r>
          <a:endParaRPr lang="zh-CN" altLang="en-US"/>
        </a:p>
      </dgm:t>
    </dgm:pt>
    <dgm:pt modelId="{56B81E04-7AC4-4291-8B08-554112B35495}" type="parTrans" cxnId="{DC494CE1-B9AD-46A5-9EFD-332EBCAEF3B3}">
      <dgm:prSet/>
      <dgm:spPr/>
      <dgm:t>
        <a:bodyPr/>
        <a:lstStyle/>
        <a:p>
          <a:endParaRPr lang="zh-CN" altLang="en-US"/>
        </a:p>
      </dgm:t>
    </dgm:pt>
    <dgm:pt modelId="{E9C1771F-CE38-4E11-8361-09AA2E466BC6}" type="sibTrans" cxnId="{DC494CE1-B9AD-46A5-9EFD-332EBCAEF3B3}">
      <dgm:prSet/>
      <dgm:spPr/>
      <dgm:t>
        <a:bodyPr/>
        <a:lstStyle/>
        <a:p>
          <a:endParaRPr lang="zh-CN" altLang="en-US"/>
        </a:p>
      </dgm:t>
    </dgm:pt>
    <dgm:pt modelId="{40E4E8D4-0BAB-4D51-94E3-E8192236F337}" type="pres">
      <dgm:prSet presAssocID="{C3143A34-E01A-4A80-A840-9416D556B54A}" presName="Name0" presStyleCnt="0">
        <dgm:presLayoutVars>
          <dgm:dir/>
          <dgm:resizeHandles val="exact"/>
        </dgm:presLayoutVars>
      </dgm:prSet>
      <dgm:spPr/>
    </dgm:pt>
    <dgm:pt modelId="{8DD517A6-A259-42F7-8D1C-5B8C70C05023}" type="pres">
      <dgm:prSet presAssocID="{F0C1CC04-4003-4A4A-9CAE-3C58065B5098}" presName="node" presStyleLbl="node1" presStyleIdx="0" presStyleCnt="3">
        <dgm:presLayoutVars>
          <dgm:bulletEnabled val="1"/>
        </dgm:presLayoutVars>
      </dgm:prSet>
      <dgm:spPr/>
      <dgm:t>
        <a:bodyPr/>
        <a:lstStyle/>
        <a:p>
          <a:endParaRPr lang="zh-CN" altLang="en-US"/>
        </a:p>
      </dgm:t>
    </dgm:pt>
    <dgm:pt modelId="{948BE4C4-8BD2-4479-8EBC-515C9EF50A7C}" type="pres">
      <dgm:prSet presAssocID="{9A6231B4-FBD7-434D-83D3-E70CF23432E4}" presName="sibTrans" presStyleLbl="sibTrans2D1" presStyleIdx="0" presStyleCnt="2"/>
      <dgm:spPr/>
    </dgm:pt>
    <dgm:pt modelId="{62DC1D5A-644A-42DF-B986-E81C2D3EDA98}" type="pres">
      <dgm:prSet presAssocID="{9A6231B4-FBD7-434D-83D3-E70CF23432E4}" presName="connectorText" presStyleLbl="sibTrans2D1" presStyleIdx="0" presStyleCnt="2"/>
      <dgm:spPr/>
    </dgm:pt>
    <dgm:pt modelId="{85EA7678-95B6-4383-BE9F-7413DFA73A82}" type="pres">
      <dgm:prSet presAssocID="{0E607570-5B0B-471B-B878-E3E6D6EEDD17}" presName="node" presStyleLbl="node1" presStyleIdx="1" presStyleCnt="3">
        <dgm:presLayoutVars>
          <dgm:bulletEnabled val="1"/>
        </dgm:presLayoutVars>
      </dgm:prSet>
      <dgm:spPr/>
      <dgm:t>
        <a:bodyPr/>
        <a:lstStyle/>
        <a:p>
          <a:endParaRPr lang="zh-CN" altLang="en-US"/>
        </a:p>
      </dgm:t>
    </dgm:pt>
    <dgm:pt modelId="{D98F6723-1513-4672-87CF-D6E61C0991C3}" type="pres">
      <dgm:prSet presAssocID="{67FCAB14-73B9-4FBD-9347-6224A2B17F75}" presName="sibTrans" presStyleLbl="sibTrans2D1" presStyleIdx="1" presStyleCnt="2"/>
      <dgm:spPr/>
    </dgm:pt>
    <dgm:pt modelId="{0E5D53D1-7BD7-466C-BB68-73822B97B1E9}" type="pres">
      <dgm:prSet presAssocID="{67FCAB14-73B9-4FBD-9347-6224A2B17F75}" presName="connectorText" presStyleLbl="sibTrans2D1" presStyleIdx="1" presStyleCnt="2"/>
      <dgm:spPr/>
    </dgm:pt>
    <dgm:pt modelId="{B8FE3159-1740-4DF0-B4D6-08F53C7684B8}" type="pres">
      <dgm:prSet presAssocID="{9BEF4E96-14AA-4A5F-ACFA-66D69F546F7B}" presName="node" presStyleLbl="node1" presStyleIdx="2" presStyleCnt="3">
        <dgm:presLayoutVars>
          <dgm:bulletEnabled val="1"/>
        </dgm:presLayoutVars>
      </dgm:prSet>
      <dgm:spPr/>
      <dgm:t>
        <a:bodyPr/>
        <a:lstStyle/>
        <a:p>
          <a:endParaRPr lang="zh-CN" altLang="en-US"/>
        </a:p>
      </dgm:t>
    </dgm:pt>
  </dgm:ptLst>
  <dgm:cxnLst>
    <dgm:cxn modelId="{3E396B2F-4A7A-4331-B2C5-CB3A8316A0EF}" type="presOf" srcId="{9A6231B4-FBD7-434D-83D3-E70CF23432E4}" destId="{948BE4C4-8BD2-4479-8EBC-515C9EF50A7C}" srcOrd="0" destOrd="0" presId="urn:microsoft.com/office/officeart/2005/8/layout/process1"/>
    <dgm:cxn modelId="{B62C2625-2E60-40F6-8C37-7B4C7023F6B6}" srcId="{C3143A34-E01A-4A80-A840-9416D556B54A}" destId="{0E607570-5B0B-471B-B878-E3E6D6EEDD17}" srcOrd="1" destOrd="0" parTransId="{449ABA85-25BE-45CF-9E2F-337CC4587D42}" sibTransId="{67FCAB14-73B9-4FBD-9347-6224A2B17F75}"/>
    <dgm:cxn modelId="{64BECE91-536A-414F-966D-9697095E1411}" type="presOf" srcId="{67FCAB14-73B9-4FBD-9347-6224A2B17F75}" destId="{D98F6723-1513-4672-87CF-D6E61C0991C3}" srcOrd="0" destOrd="0" presId="urn:microsoft.com/office/officeart/2005/8/layout/process1"/>
    <dgm:cxn modelId="{DC494CE1-B9AD-46A5-9EFD-332EBCAEF3B3}" srcId="{C3143A34-E01A-4A80-A840-9416D556B54A}" destId="{9BEF4E96-14AA-4A5F-ACFA-66D69F546F7B}" srcOrd="2" destOrd="0" parTransId="{56B81E04-7AC4-4291-8B08-554112B35495}" sibTransId="{E9C1771F-CE38-4E11-8361-09AA2E466BC6}"/>
    <dgm:cxn modelId="{CD5DC27A-2889-4FD3-A015-6F5BCA6D8700}" type="presOf" srcId="{67FCAB14-73B9-4FBD-9347-6224A2B17F75}" destId="{0E5D53D1-7BD7-466C-BB68-73822B97B1E9}" srcOrd="1" destOrd="0" presId="urn:microsoft.com/office/officeart/2005/8/layout/process1"/>
    <dgm:cxn modelId="{E7C0433C-F807-4F1B-8D7F-81F94A186B58}" type="presOf" srcId="{9A6231B4-FBD7-434D-83D3-E70CF23432E4}" destId="{62DC1D5A-644A-42DF-B986-E81C2D3EDA98}" srcOrd="1" destOrd="0" presId="urn:microsoft.com/office/officeart/2005/8/layout/process1"/>
    <dgm:cxn modelId="{5FB2965F-3603-433E-9A47-A0D280591CD2}" type="presOf" srcId="{9BEF4E96-14AA-4A5F-ACFA-66D69F546F7B}" destId="{B8FE3159-1740-4DF0-B4D6-08F53C7684B8}" srcOrd="0" destOrd="0" presId="urn:microsoft.com/office/officeart/2005/8/layout/process1"/>
    <dgm:cxn modelId="{28D59971-96D6-465B-8F93-F3B6EE3EF6C6}" srcId="{C3143A34-E01A-4A80-A840-9416D556B54A}" destId="{F0C1CC04-4003-4A4A-9CAE-3C58065B5098}" srcOrd="0" destOrd="0" parTransId="{26BB04D3-848D-448A-8DB9-56D5E5EA06F1}" sibTransId="{9A6231B4-FBD7-434D-83D3-E70CF23432E4}"/>
    <dgm:cxn modelId="{C18C69B0-DA4F-4642-8F37-438E33A92163}" type="presOf" srcId="{0E607570-5B0B-471B-B878-E3E6D6EEDD17}" destId="{85EA7678-95B6-4383-BE9F-7413DFA73A82}" srcOrd="0" destOrd="0" presId="urn:microsoft.com/office/officeart/2005/8/layout/process1"/>
    <dgm:cxn modelId="{C1B9C218-FFA1-4736-A743-FBE6CADDBB77}" type="presOf" srcId="{F0C1CC04-4003-4A4A-9CAE-3C58065B5098}" destId="{8DD517A6-A259-42F7-8D1C-5B8C70C05023}" srcOrd="0" destOrd="0" presId="urn:microsoft.com/office/officeart/2005/8/layout/process1"/>
    <dgm:cxn modelId="{9777ACE5-A02D-4FA6-AE72-E3FAFA748B7A}" type="presOf" srcId="{C3143A34-E01A-4A80-A840-9416D556B54A}" destId="{40E4E8D4-0BAB-4D51-94E3-E8192236F337}" srcOrd="0" destOrd="0" presId="urn:microsoft.com/office/officeart/2005/8/layout/process1"/>
    <dgm:cxn modelId="{123BEA1F-7D91-4AF7-B794-415D95A922FD}" type="presParOf" srcId="{40E4E8D4-0BAB-4D51-94E3-E8192236F337}" destId="{8DD517A6-A259-42F7-8D1C-5B8C70C05023}" srcOrd="0" destOrd="0" presId="urn:microsoft.com/office/officeart/2005/8/layout/process1"/>
    <dgm:cxn modelId="{A816600F-8E64-4092-83AE-43D42CB5BABA}" type="presParOf" srcId="{40E4E8D4-0BAB-4D51-94E3-E8192236F337}" destId="{948BE4C4-8BD2-4479-8EBC-515C9EF50A7C}" srcOrd="1" destOrd="0" presId="urn:microsoft.com/office/officeart/2005/8/layout/process1"/>
    <dgm:cxn modelId="{EA3663B6-773D-423C-8094-3C89A117FDBC}" type="presParOf" srcId="{948BE4C4-8BD2-4479-8EBC-515C9EF50A7C}" destId="{62DC1D5A-644A-42DF-B986-E81C2D3EDA98}" srcOrd="0" destOrd="0" presId="urn:microsoft.com/office/officeart/2005/8/layout/process1"/>
    <dgm:cxn modelId="{320FB49D-67C1-4F8D-BBD0-B4B8AC55F0B0}" type="presParOf" srcId="{40E4E8D4-0BAB-4D51-94E3-E8192236F337}" destId="{85EA7678-95B6-4383-BE9F-7413DFA73A82}" srcOrd="2" destOrd="0" presId="urn:microsoft.com/office/officeart/2005/8/layout/process1"/>
    <dgm:cxn modelId="{D2A0928C-6D94-47DB-BD23-8D4E38AD5EA1}" type="presParOf" srcId="{40E4E8D4-0BAB-4D51-94E3-E8192236F337}" destId="{D98F6723-1513-4672-87CF-D6E61C0991C3}" srcOrd="3" destOrd="0" presId="urn:microsoft.com/office/officeart/2005/8/layout/process1"/>
    <dgm:cxn modelId="{FD443695-E942-470A-928F-C258C30D892B}" type="presParOf" srcId="{D98F6723-1513-4672-87CF-D6E61C0991C3}" destId="{0E5D53D1-7BD7-466C-BB68-73822B97B1E9}" srcOrd="0" destOrd="0" presId="urn:microsoft.com/office/officeart/2005/8/layout/process1"/>
    <dgm:cxn modelId="{B0EA9A2B-4510-4B02-A7AE-588FEAF0BA63}" type="presParOf" srcId="{40E4E8D4-0BAB-4D51-94E3-E8192236F337}" destId="{B8FE3159-1740-4DF0-B4D6-08F53C7684B8}" srcOrd="4" destOrd="0" presId="urn:microsoft.com/office/officeart/2005/8/layout/process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8DD517A6-A259-42F7-8D1C-5B8C70C05023}">
      <dsp:nvSpPr>
        <dsp:cNvPr id="0" name=""/>
        <dsp:cNvSpPr/>
      </dsp:nvSpPr>
      <dsp:spPr>
        <a:xfrm>
          <a:off x="4018" y="1011287"/>
          <a:ext cx="1201042" cy="72062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4">
                <a:hueOff val="0"/>
                <a:satOff val="0"/>
                <a:lumOff val="0"/>
                <a:alphaOff val="0"/>
                <a:shade val="51000"/>
                <a:satMod val="130000"/>
              </a:schemeClr>
            </a:gs>
            <a:gs pos="80000">
              <a:schemeClr val="accent4">
                <a:hueOff val="0"/>
                <a:satOff val="0"/>
                <a:lumOff val="0"/>
                <a:alphaOff val="0"/>
                <a:shade val="93000"/>
                <a:satMod val="130000"/>
              </a:schemeClr>
            </a:gs>
            <a:gs pos="100000">
              <a:schemeClr val="accent4">
                <a:hueOff val="0"/>
                <a:satOff val="0"/>
                <a:lumOff val="0"/>
                <a:alphaOff val="0"/>
                <a:shade val="94000"/>
                <a:satMod val="135000"/>
              </a:schemeClr>
            </a:gs>
          </a:gsLst>
          <a:lin ang="16200000" scaled="0"/>
        </a:gra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lvl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CN" sz="1800" kern="1200"/>
            <a:t>登记领表</a:t>
          </a:r>
          <a:endParaRPr lang="zh-CN" altLang="en-US" sz="1800" kern="1200"/>
        </a:p>
      </dsp:txBody>
      <dsp:txXfrm>
        <a:off x="25124" y="1032393"/>
        <a:ext cx="1158830" cy="678413"/>
      </dsp:txXfrm>
    </dsp:sp>
    <dsp:sp modelId="{948BE4C4-8BD2-4479-8EBC-515C9EF50A7C}">
      <dsp:nvSpPr>
        <dsp:cNvPr id="0" name=""/>
        <dsp:cNvSpPr/>
      </dsp:nvSpPr>
      <dsp:spPr>
        <a:xfrm>
          <a:off x="1325165" y="1222670"/>
          <a:ext cx="254621" cy="297858"/>
        </a:xfrm>
        <a:prstGeom prst="rightArrow">
          <a:avLst>
            <a:gd name="adj1" fmla="val 60000"/>
            <a:gd name="adj2" fmla="val 50000"/>
          </a:avLst>
        </a:prstGeom>
        <a:gradFill rotWithShape="0">
          <a:gsLst>
            <a:gs pos="0">
              <a:schemeClr val="accent4">
                <a:hueOff val="0"/>
                <a:satOff val="0"/>
                <a:lumOff val="0"/>
                <a:alphaOff val="0"/>
                <a:shade val="51000"/>
                <a:satMod val="130000"/>
              </a:schemeClr>
            </a:gs>
            <a:gs pos="80000">
              <a:schemeClr val="accent4">
                <a:hueOff val="0"/>
                <a:satOff val="0"/>
                <a:lumOff val="0"/>
                <a:alphaOff val="0"/>
                <a:shade val="93000"/>
                <a:satMod val="130000"/>
              </a:schemeClr>
            </a:gs>
            <a:gs pos="100000">
              <a:schemeClr val="accent4">
                <a:hueOff val="0"/>
                <a:satOff val="0"/>
                <a:lumOff val="0"/>
                <a:alphaOff val="0"/>
                <a:shade val="94000"/>
                <a:satMod val="135000"/>
              </a:schemeClr>
            </a:gs>
          </a:gsLst>
          <a:lin ang="16200000" scaled="0"/>
        </a:gra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z="-80000" prstMaterial="plastic">
          <a:bevelT w="50800" h="50800"/>
          <a:bevelB w="25400" h="25400" prst="angle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lvl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zh-CN" altLang="en-US" sz="1200" kern="1200"/>
        </a:p>
      </dsp:txBody>
      <dsp:txXfrm>
        <a:off x="1325165" y="1282242"/>
        <a:ext cx="178235" cy="178714"/>
      </dsp:txXfrm>
    </dsp:sp>
    <dsp:sp modelId="{85EA7678-95B6-4383-BE9F-7413DFA73A82}">
      <dsp:nvSpPr>
        <dsp:cNvPr id="0" name=""/>
        <dsp:cNvSpPr/>
      </dsp:nvSpPr>
      <dsp:spPr>
        <a:xfrm>
          <a:off x="1685478" y="1011287"/>
          <a:ext cx="1201042" cy="72062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4">
                <a:hueOff val="-2232385"/>
                <a:satOff val="13449"/>
                <a:lumOff val="1078"/>
                <a:alphaOff val="0"/>
                <a:shade val="51000"/>
                <a:satMod val="130000"/>
              </a:schemeClr>
            </a:gs>
            <a:gs pos="80000">
              <a:schemeClr val="accent4">
                <a:hueOff val="-2232385"/>
                <a:satOff val="13449"/>
                <a:lumOff val="1078"/>
                <a:alphaOff val="0"/>
                <a:shade val="93000"/>
                <a:satMod val="130000"/>
              </a:schemeClr>
            </a:gs>
            <a:gs pos="100000">
              <a:schemeClr val="accent4">
                <a:hueOff val="-2232385"/>
                <a:satOff val="13449"/>
                <a:lumOff val="1078"/>
                <a:alphaOff val="0"/>
                <a:shade val="94000"/>
                <a:satMod val="135000"/>
              </a:schemeClr>
            </a:gs>
          </a:gsLst>
          <a:lin ang="16200000" scaled="0"/>
        </a:gra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lvl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CN" sz="1800" kern="1200"/>
            <a:t>排队体检</a:t>
          </a:r>
          <a:endParaRPr lang="zh-CN" altLang="en-US" sz="1800" kern="1200"/>
        </a:p>
      </dsp:txBody>
      <dsp:txXfrm>
        <a:off x="1706584" y="1032393"/>
        <a:ext cx="1158830" cy="678413"/>
      </dsp:txXfrm>
    </dsp:sp>
    <dsp:sp modelId="{D98F6723-1513-4672-87CF-D6E61C0991C3}">
      <dsp:nvSpPr>
        <dsp:cNvPr id="0" name=""/>
        <dsp:cNvSpPr/>
      </dsp:nvSpPr>
      <dsp:spPr>
        <a:xfrm>
          <a:off x="3006625" y="1222670"/>
          <a:ext cx="254621" cy="297858"/>
        </a:xfrm>
        <a:prstGeom prst="rightArrow">
          <a:avLst>
            <a:gd name="adj1" fmla="val 60000"/>
            <a:gd name="adj2" fmla="val 50000"/>
          </a:avLst>
        </a:prstGeom>
        <a:gradFill rotWithShape="0">
          <a:gsLst>
            <a:gs pos="0">
              <a:schemeClr val="accent4">
                <a:hueOff val="-4464770"/>
                <a:satOff val="26899"/>
                <a:lumOff val="2156"/>
                <a:alphaOff val="0"/>
                <a:shade val="51000"/>
                <a:satMod val="130000"/>
              </a:schemeClr>
            </a:gs>
            <a:gs pos="80000">
              <a:schemeClr val="accent4">
                <a:hueOff val="-4464770"/>
                <a:satOff val="26899"/>
                <a:lumOff val="2156"/>
                <a:alphaOff val="0"/>
                <a:shade val="93000"/>
                <a:satMod val="130000"/>
              </a:schemeClr>
            </a:gs>
            <a:gs pos="100000">
              <a:schemeClr val="accent4">
                <a:hueOff val="-4464770"/>
                <a:satOff val="26899"/>
                <a:lumOff val="2156"/>
                <a:alphaOff val="0"/>
                <a:shade val="94000"/>
                <a:satMod val="135000"/>
              </a:schemeClr>
            </a:gs>
          </a:gsLst>
          <a:lin ang="16200000" scaled="0"/>
        </a:gra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z="-80000" prstMaterial="plastic">
          <a:bevelT w="50800" h="50800"/>
          <a:bevelB w="25400" h="25400" prst="angle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lvl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zh-CN" altLang="en-US" sz="1200" kern="1200"/>
        </a:p>
      </dsp:txBody>
      <dsp:txXfrm>
        <a:off x="3006625" y="1282242"/>
        <a:ext cx="178235" cy="178714"/>
      </dsp:txXfrm>
    </dsp:sp>
    <dsp:sp modelId="{B8FE3159-1740-4DF0-B4D6-08F53C7684B8}">
      <dsp:nvSpPr>
        <dsp:cNvPr id="0" name=""/>
        <dsp:cNvSpPr/>
      </dsp:nvSpPr>
      <dsp:spPr>
        <a:xfrm>
          <a:off x="3366938" y="1011287"/>
          <a:ext cx="1201042" cy="72062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4">
                <a:hueOff val="-4464770"/>
                <a:satOff val="26899"/>
                <a:lumOff val="2156"/>
                <a:alphaOff val="0"/>
                <a:shade val="51000"/>
                <a:satMod val="130000"/>
              </a:schemeClr>
            </a:gs>
            <a:gs pos="80000">
              <a:schemeClr val="accent4">
                <a:hueOff val="-4464770"/>
                <a:satOff val="26899"/>
                <a:lumOff val="2156"/>
                <a:alphaOff val="0"/>
                <a:shade val="93000"/>
                <a:satMod val="130000"/>
              </a:schemeClr>
            </a:gs>
            <a:gs pos="100000">
              <a:schemeClr val="accent4">
                <a:hueOff val="-4464770"/>
                <a:satOff val="26899"/>
                <a:lumOff val="2156"/>
                <a:alphaOff val="0"/>
                <a:shade val="94000"/>
                <a:satMod val="135000"/>
              </a:schemeClr>
            </a:gs>
          </a:gsLst>
          <a:lin ang="16200000" scaled="0"/>
        </a:gra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lvl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CN" sz="1800" kern="1200"/>
            <a:t>交表，健康咨询</a:t>
          </a:r>
          <a:endParaRPr lang="zh-CN" altLang="en-US" sz="1800" kern="1200"/>
        </a:p>
      </dsp:txBody>
      <dsp:txXfrm>
        <a:off x="3388044" y="1032393"/>
        <a:ext cx="1158830" cy="678413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process1">
  <dgm:title val=""/>
  <dgm:desc val=""/>
  <dgm:catLst>
    <dgm:cat type="process" pri="1000"/>
    <dgm:cat type="convert" pri="15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ch" ptType="node" refType="w"/>
      <dgm:constr type="h" for="ch" ptType="node" op="equ"/>
      <dgm:constr type="primFontSz" for="ch" ptType="node" op="equ" val="65"/>
      <dgm:constr type="w" for="ch" ptType="sibTrans" refType="w" refFor="ch" refPtType="node" op="equ" fact="0.4"/>
      <dgm:constr type="h" for="ch" ptType="sibTrans" op="equ"/>
      <dgm:constr type="primFontSz" for="des" forName="connectorText" op="equ" val="55"/>
      <dgm:constr type="primFontSz" for="des" forName="connectorText" refType="primFontSz" refFor="ch" refPtType="node" op="lte" fact="0.8"/>
    </dgm:constrLst>
    <dgm:ruleLst/>
    <dgm:forEach name="nodesForEach" axis="ch" ptType="node">
      <dgm:layoutNode name="node">
        <dgm:varLst>
          <dgm:bulletEnabled val="1"/>
        </dgm:varLst>
        <dgm:alg type="tx"/>
        <dgm:shape xmlns:r="http://schemas.openxmlformats.org/officeDocument/2006/relationships" type="roundRect" r:blip="">
          <dgm:adjLst>
            <dgm:adj idx="1" val="0.1"/>
          </dgm:adjLst>
        </dgm:shape>
        <dgm:presOf axis="desOrSelf" ptType="node"/>
        <dgm:constrLst>
          <dgm:constr type="h" refType="w" fact="0.6"/>
          <dgm:constr type="tMarg" refType="primFontSz" fact="0.3"/>
          <dgm:constr type="bMarg" refType="primFontSz" fact="0.3"/>
          <dgm:constr type="lMarg" refType="primFontSz" fact="0.3"/>
          <dgm:constr type="rMarg" refType="primFontSz" fact="0.3"/>
        </dgm:constrLst>
        <dgm:ruleLst>
          <dgm:rule type="primFontSz" val="18" fact="NaN" max="NaN"/>
          <dgm:rule type="h" val="NaN" fact="1.5" max="NaN"/>
          <dgm:rule type="primFontSz" val="5" fact="NaN" max="NaN"/>
          <dgm:rule type="h" val="INF" fact="NaN" max="NaN"/>
        </dgm:ruleLst>
      </dgm:layoutNode>
      <dgm:forEach name="sibTransForEach" axis="followSib" ptType="sibTrans" cnt="1">
        <dgm:layoutNode name="sibTrans">
          <dgm:alg type="conn">
            <dgm:param type="begPts" val="auto"/>
            <dgm:param type="endPts" val="auto"/>
          </dgm:alg>
          <dgm:shape xmlns:r="http://schemas.openxmlformats.org/officeDocument/2006/relationships" type="conn" r:blip="">
            <dgm:adjLst/>
          </dgm:shape>
          <dgm:presOf axis="self"/>
          <dgm:constrLst>
            <dgm:constr type="h" refType="w" fact="0.62"/>
            <dgm:constr type="connDist"/>
            <dgm:constr type="begPad" refType="connDist" fact="0.25"/>
            <dgm:constr type="endPad" refType="connDist" fact="0.22"/>
          </dgm:constrLst>
          <dgm:ruleLst/>
          <dgm:layoutNode name="connectorText">
            <dgm:alg type="tx">
              <dgm:param type="autoTxRot" val="grav"/>
            </dgm:alg>
            <dgm:shape xmlns:r="http://schemas.openxmlformats.org/officeDocument/2006/relationships" type="conn" r:blip="" hideGeom="1">
              <dgm:adjLst/>
            </dgm:shape>
            <dgm:presOf axis="self"/>
            <dgm:constrLst>
              <dgm:constr type="lMarg"/>
              <dgm:constr type="rMarg"/>
              <dgm:constr type="tMarg"/>
              <dgm:constr type="bMarg"/>
            </dgm:constrLst>
            <dgm:ruleLst>
              <dgm:rule type="primFontSz" val="5" fact="NaN" max="NaN"/>
            </dgm:ruleLst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3d1">
  <dgm:title val=""/>
  <dgm:desc val=""/>
  <dgm:catLst>
    <dgm:cat type="3D" pri="111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flat" dir="t"/>
    </dgm:scene3d>
    <dgm:sp3d z="1270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alignImgPlace1">
    <dgm:scene3d>
      <a:camera prst="orthographicFront"/>
      <a:lightRig rig="flat" dir="t"/>
    </dgm:scene3d>
    <dgm:sp3d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bgImgPlace1">
    <dgm:scene3d>
      <a:camera prst="orthographicFront"/>
      <a:lightRig rig="flat" dir="t"/>
    </dgm:scene3d>
    <dgm:sp3d z="-1905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sibTrans2D1">
    <dgm:scene3d>
      <a:camera prst="orthographicFront"/>
      <a:lightRig rig="flat" dir="t"/>
    </dgm:scene3d>
    <dgm:sp3d z="-80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flat" dir="t"/>
    </dgm:scene3d>
    <dgm:sp3d z="127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flat" dir="t"/>
    </dgm:scene3d>
    <dgm:sp3d z="-1905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flat" dir="t"/>
    </dgm:scene3d>
    <dgm:sp3d z="-40000" prstMaterial="matte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 z="127000" prstMaterial="matte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flat" dir="t"/>
    </dgm:scene3d>
    <dgm:sp3d z="-10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FollowNode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flat" dir="t"/>
    </dgm:scene3d>
    <dgm:sp3d z="-190500" extrusionH="1270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z="190500"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14</xdr:row>
      <xdr:rowOff>109537</xdr:rowOff>
    </xdr:from>
    <xdr:to>
      <xdr:col>9</xdr:col>
      <xdr:colOff>600075</xdr:colOff>
      <xdr:row>30</xdr:row>
      <xdr:rowOff>109537</xdr:rowOff>
    </xdr:to>
    <xdr:graphicFrame macro="">
      <xdr:nvGraphicFramePr>
        <xdr:cNvPr id="2" name="图示 1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view="pageLayout" topLeftCell="A40" zoomScaleNormal="100" workbookViewId="0">
      <selection sqref="A1:G66"/>
    </sheetView>
  </sheetViews>
  <sheetFormatPr defaultRowHeight="13.5" x14ac:dyDescent="0.15"/>
  <cols>
    <col min="1" max="1" width="7.5" bestFit="1" customWidth="1"/>
    <col min="2" max="2" width="16.125" bestFit="1" customWidth="1"/>
    <col min="3" max="3" width="5.5" bestFit="1" customWidth="1"/>
    <col min="4" max="4" width="13.875" bestFit="1" customWidth="1"/>
    <col min="5" max="5" width="11.5" bestFit="1" customWidth="1"/>
    <col min="6" max="7" width="9.5" bestFit="1" customWidth="1"/>
  </cols>
  <sheetData>
    <row r="1" spans="1:9" ht="18.75" thickTop="1" thickBot="1" x14ac:dyDescent="0.2">
      <c r="A1" s="4" t="s">
        <v>2</v>
      </c>
      <c r="B1" s="5" t="s">
        <v>136</v>
      </c>
      <c r="C1" s="5" t="s">
        <v>137</v>
      </c>
      <c r="D1" s="5" t="s">
        <v>68</v>
      </c>
      <c r="E1" s="5" t="s">
        <v>69</v>
      </c>
      <c r="F1" s="5" t="s">
        <v>0</v>
      </c>
      <c r="G1" s="6" t="s">
        <v>1</v>
      </c>
      <c r="I1" s="3" t="s">
        <v>138</v>
      </c>
    </row>
    <row r="2" spans="1:9" ht="18.75" thickTop="1" thickBot="1" x14ac:dyDescent="0.2">
      <c r="A2" s="7" t="s">
        <v>3</v>
      </c>
      <c r="B2" s="8" t="str">
        <f>MID(体检人信息表!B2,7,4)&amp;"年"&amp;MID(体检人信息表!B2,11,2)&amp;"月"&amp;MID(体检人信息表!B2,13,2)&amp;"日"</f>
        <v>2004年01月05日</v>
      </c>
      <c r="C2" s="8" t="str">
        <f>IF(MOD(MID(体检人信息表!B2,17,1)/2,1),"男","女")</f>
        <v>男</v>
      </c>
      <c r="D2" s="9">
        <v>181</v>
      </c>
      <c r="E2" s="9">
        <v>70</v>
      </c>
      <c r="F2" s="9">
        <v>5</v>
      </c>
      <c r="G2" s="10">
        <v>5.0999999999999996</v>
      </c>
      <c r="I2" s="3">
        <f>COUNTIF($C$1:$C$66,"女")</f>
        <v>28</v>
      </c>
    </row>
    <row r="3" spans="1:9" ht="18.75" thickTop="1" thickBot="1" x14ac:dyDescent="0.2">
      <c r="A3" s="7" t="s">
        <v>4</v>
      </c>
      <c r="B3" s="8" t="str">
        <f>MID(体检人信息表!B3,7,4)&amp;"年"&amp;MID(体检人信息表!B3,11,2)&amp;"月"&amp;MID(体检人信息表!B3,13,2)&amp;"日"</f>
        <v>2005年12月19日</v>
      </c>
      <c r="C3" s="8" t="str">
        <f>IF(MOD(MID(体检人信息表!B3,17,1)/2,1),"男","女")</f>
        <v>男</v>
      </c>
      <c r="D3" s="9">
        <v>182</v>
      </c>
      <c r="E3" s="9">
        <v>71.3</v>
      </c>
      <c r="F3" s="9">
        <v>4.2</v>
      </c>
      <c r="G3" s="10">
        <v>4.3</v>
      </c>
      <c r="I3" s="3" t="s">
        <v>139</v>
      </c>
    </row>
    <row r="4" spans="1:9" ht="18.75" thickTop="1" thickBot="1" x14ac:dyDescent="0.2">
      <c r="A4" s="7" t="s">
        <v>5</v>
      </c>
      <c r="B4" s="8" t="str">
        <f>MID(体检人信息表!B4,7,4)&amp;"年"&amp;MID(体检人信息表!B4,11,2)&amp;"月"&amp;MID(体检人信息表!B4,13,2)&amp;"日"</f>
        <v>2005年03月29日</v>
      </c>
      <c r="C4" s="8" t="str">
        <f>IF(MOD(MID(体检人信息表!B4,17,1)/2,1),"男","女")</f>
        <v>男</v>
      </c>
      <c r="D4" s="9">
        <v>171</v>
      </c>
      <c r="E4" s="9">
        <v>75</v>
      </c>
      <c r="F4" s="9">
        <v>5</v>
      </c>
      <c r="G4" s="10">
        <v>5</v>
      </c>
      <c r="I4" s="3">
        <f>COUNTIF($C$1:$C$66,"男")</f>
        <v>37</v>
      </c>
    </row>
    <row r="5" spans="1:9" ht="18.75" thickTop="1" thickBot="1" x14ac:dyDescent="0.2">
      <c r="A5" s="7" t="s">
        <v>6</v>
      </c>
      <c r="B5" s="8" t="str">
        <f>MID(体检人信息表!B5,7,4)&amp;"年"&amp;MID(体检人信息表!B5,11,2)&amp;"月"&amp;MID(体检人信息表!B5,13,2)&amp;"日"</f>
        <v>2004年04月27日</v>
      </c>
      <c r="C5" s="8" t="str">
        <f>IF(MOD(MID(体检人信息表!B5,17,1)/2,1),"男","女")</f>
        <v>男</v>
      </c>
      <c r="D5" s="9">
        <v>165</v>
      </c>
      <c r="E5" s="9">
        <v>60</v>
      </c>
      <c r="F5" s="9">
        <v>4.4000000000000004</v>
      </c>
      <c r="G5" s="10">
        <v>4.5</v>
      </c>
    </row>
    <row r="6" spans="1:9" ht="18.75" thickTop="1" thickBot="1" x14ac:dyDescent="0.2">
      <c r="A6" s="7" t="s">
        <v>7</v>
      </c>
      <c r="B6" s="8" t="str">
        <f>MID(体检人信息表!B6,7,4)&amp;"年"&amp;MID(体检人信息表!B6,11,2)&amp;"月"&amp;MID(体检人信息表!B6,13,2)&amp;"日"</f>
        <v>2005年05月24日</v>
      </c>
      <c r="C6" s="8" t="str">
        <f>IF(MOD(MID(体检人信息表!B6,17,1)/2,1),"男","女")</f>
        <v>男</v>
      </c>
      <c r="D6" s="9">
        <v>182</v>
      </c>
      <c r="E6" s="9">
        <v>71.3</v>
      </c>
      <c r="F6" s="9">
        <v>4.7</v>
      </c>
      <c r="G6" s="10">
        <v>4.7</v>
      </c>
    </row>
    <row r="7" spans="1:9" ht="18.75" thickTop="1" thickBot="1" x14ac:dyDescent="0.2">
      <c r="A7" s="7" t="s">
        <v>8</v>
      </c>
      <c r="B7" s="8" t="str">
        <f>MID(体检人信息表!B7,7,4)&amp;"年"&amp;MID(体检人信息表!B7,11,2)&amp;"月"&amp;MID(体检人信息表!B7,13,2)&amp;"日"</f>
        <v>2004年05月28日</v>
      </c>
      <c r="C7" s="8" t="str">
        <f>IF(MOD(MID(体检人信息表!B7,17,1)/2,1),"男","女")</f>
        <v>男</v>
      </c>
      <c r="D7" s="9">
        <v>180</v>
      </c>
      <c r="E7" s="9">
        <v>70.599999999999994</v>
      </c>
      <c r="F7" s="9">
        <v>4.8</v>
      </c>
      <c r="G7" s="10">
        <v>4.9000000000000004</v>
      </c>
    </row>
    <row r="8" spans="1:9" ht="18.75" thickTop="1" thickBot="1" x14ac:dyDescent="0.2">
      <c r="A8" s="7" t="s">
        <v>9</v>
      </c>
      <c r="B8" s="8" t="str">
        <f>MID(体检人信息表!B8,7,4)&amp;"年"&amp;MID(体检人信息表!B8,11,2)&amp;"月"&amp;MID(体检人信息表!B8,13,2)&amp;"日"</f>
        <v>2005年03月04日</v>
      </c>
      <c r="C8" s="8" t="str">
        <f>IF(MOD(MID(体检人信息表!B8,17,1)/2,1),"男","女")</f>
        <v>女</v>
      </c>
      <c r="D8" s="9">
        <v>178</v>
      </c>
      <c r="E8" s="9">
        <v>79</v>
      </c>
      <c r="F8" s="9">
        <v>5</v>
      </c>
      <c r="G8" s="10">
        <v>5</v>
      </c>
    </row>
    <row r="9" spans="1:9" ht="18.75" thickTop="1" thickBot="1" x14ac:dyDescent="0.2">
      <c r="A9" s="7" t="s">
        <v>10</v>
      </c>
      <c r="B9" s="8" t="str">
        <f>MID(体检人信息表!B9,7,4)&amp;"年"&amp;MID(体检人信息表!B9,11,2)&amp;"月"&amp;MID(体检人信息表!B9,13,2)&amp;"日"</f>
        <v>2005年03月27日</v>
      </c>
      <c r="C9" s="8" t="str">
        <f>IF(MOD(MID(体检人信息表!B9,17,1)/2,1),"男","女")</f>
        <v>女</v>
      </c>
      <c r="D9" s="9">
        <v>164</v>
      </c>
      <c r="E9" s="9">
        <v>65</v>
      </c>
      <c r="F9" s="9">
        <v>5.0999999999999996</v>
      </c>
      <c r="G9" s="10">
        <v>5.0999999999999996</v>
      </c>
    </row>
    <row r="10" spans="1:9" ht="18.75" thickTop="1" thickBot="1" x14ac:dyDescent="0.2">
      <c r="A10" s="7" t="s">
        <v>11</v>
      </c>
      <c r="B10" s="8" t="str">
        <f>MID(体检人信息表!B10,7,4)&amp;"年"&amp;MID(体检人信息表!B10,11,2)&amp;"月"&amp;MID(体检人信息表!B10,13,2)&amp;"日"</f>
        <v>2005年04月29日</v>
      </c>
      <c r="C10" s="8" t="str">
        <f>IF(MOD(MID(体检人信息表!B10,17,1)/2,1),"男","女")</f>
        <v>男</v>
      </c>
      <c r="D10" s="9">
        <v>176</v>
      </c>
      <c r="E10" s="9">
        <v>78</v>
      </c>
      <c r="F10" s="9">
        <v>5</v>
      </c>
      <c r="G10" s="10">
        <v>5</v>
      </c>
    </row>
    <row r="11" spans="1:9" ht="18.75" thickTop="1" thickBot="1" x14ac:dyDescent="0.2">
      <c r="A11" s="7" t="s">
        <v>12</v>
      </c>
      <c r="B11" s="8" t="str">
        <f>MID(体检人信息表!B11,7,4)&amp;"年"&amp;MID(体检人信息表!B11,11,2)&amp;"月"&amp;MID(体检人信息表!B11,13,2)&amp;"日"</f>
        <v>2005年08月17日</v>
      </c>
      <c r="C11" s="8" t="str">
        <f>IF(MOD(MID(体检人信息表!B11,17,1)/2,1),"男","女")</f>
        <v>女</v>
      </c>
      <c r="D11" s="9">
        <v>179</v>
      </c>
      <c r="E11" s="9">
        <v>71.599999999999994</v>
      </c>
      <c r="F11" s="9">
        <v>5.0999999999999996</v>
      </c>
      <c r="G11" s="10">
        <v>5.0999999999999996</v>
      </c>
    </row>
    <row r="12" spans="1:9" ht="18.75" thickTop="1" thickBot="1" x14ac:dyDescent="0.2">
      <c r="A12" s="7" t="s">
        <v>13</v>
      </c>
      <c r="B12" s="8" t="str">
        <f>MID(体检人信息表!B12,7,4)&amp;"年"&amp;MID(体检人信息表!B12,11,2)&amp;"月"&amp;MID(体检人信息表!B12,13,2)&amp;"日"</f>
        <v>2005年10月26日</v>
      </c>
      <c r="C12" s="8" t="str">
        <f>IF(MOD(MID(体检人信息表!B12,17,1)/2,1),"男","女")</f>
        <v>男</v>
      </c>
      <c r="D12" s="9">
        <v>183</v>
      </c>
      <c r="E12" s="9">
        <v>78</v>
      </c>
      <c r="F12" s="9">
        <v>5</v>
      </c>
      <c r="G12" s="10">
        <v>4.9000000000000004</v>
      </c>
    </row>
    <row r="13" spans="1:9" ht="18.75" thickTop="1" thickBot="1" x14ac:dyDescent="0.2">
      <c r="A13" s="7" t="s">
        <v>14</v>
      </c>
      <c r="B13" s="8" t="str">
        <f>MID(体检人信息表!B13,7,4)&amp;"年"&amp;MID(体检人信息表!B13,11,2)&amp;"月"&amp;MID(体检人信息表!B13,13,2)&amp;"日"</f>
        <v>2004年03月05日</v>
      </c>
      <c r="C13" s="8" t="str">
        <f>IF(MOD(MID(体检人信息表!B13,17,1)/2,1),"男","女")</f>
        <v>男</v>
      </c>
      <c r="D13" s="9">
        <v>188</v>
      </c>
      <c r="E13" s="9">
        <v>79</v>
      </c>
      <c r="F13" s="9">
        <v>5</v>
      </c>
      <c r="G13" s="10">
        <v>5.0999999999999996</v>
      </c>
    </row>
    <row r="14" spans="1:9" ht="18.75" thickTop="1" thickBot="1" x14ac:dyDescent="0.2">
      <c r="A14" s="7" t="s">
        <v>15</v>
      </c>
      <c r="B14" s="8" t="str">
        <f>MID(体检人信息表!B14,7,4)&amp;"年"&amp;MID(体检人信息表!B14,11,2)&amp;"月"&amp;MID(体检人信息表!B14,13,2)&amp;"日"</f>
        <v>2004年07月14日</v>
      </c>
      <c r="C14" s="8" t="str">
        <f>IF(MOD(MID(体检人信息表!B14,17,1)/2,1),"男","女")</f>
        <v>女</v>
      </c>
      <c r="D14" s="9">
        <v>171</v>
      </c>
      <c r="E14" s="9">
        <v>60</v>
      </c>
      <c r="F14" s="9">
        <v>4.4000000000000004</v>
      </c>
      <c r="G14" s="10">
        <v>4.5</v>
      </c>
    </row>
    <row r="15" spans="1:9" ht="18.75" thickTop="1" thickBot="1" x14ac:dyDescent="0.2">
      <c r="A15" s="7" t="s">
        <v>16</v>
      </c>
      <c r="B15" s="8" t="str">
        <f>MID(体检人信息表!B15,7,4)&amp;"年"&amp;MID(体检人信息表!B15,11,2)&amp;"月"&amp;MID(体检人信息表!B15,13,2)&amp;"日"</f>
        <v>2005年10月05日</v>
      </c>
      <c r="C15" s="8" t="str">
        <f>IF(MOD(MID(体检人信息表!B15,17,1)/2,1),"男","女")</f>
        <v>男</v>
      </c>
      <c r="D15" s="9">
        <v>174</v>
      </c>
      <c r="E15" s="9">
        <v>75</v>
      </c>
      <c r="F15" s="9">
        <v>4.7</v>
      </c>
      <c r="G15" s="10">
        <v>4.7</v>
      </c>
    </row>
    <row r="16" spans="1:9" ht="18.75" thickTop="1" thickBot="1" x14ac:dyDescent="0.2">
      <c r="A16" s="7" t="s">
        <v>17</v>
      </c>
      <c r="B16" s="8" t="str">
        <f>MID(体检人信息表!B16,7,4)&amp;"年"&amp;MID(体检人信息表!B16,11,2)&amp;"月"&amp;MID(体检人信息表!B16,13,2)&amp;"日"</f>
        <v>2004年10月21日</v>
      </c>
      <c r="C16" s="8" t="str">
        <f>IF(MOD(MID(体检人信息表!B16,17,1)/2,1),"男","女")</f>
        <v>男</v>
      </c>
      <c r="D16" s="9">
        <v>167</v>
      </c>
      <c r="E16" s="9">
        <v>68</v>
      </c>
      <c r="F16" s="9">
        <v>4.8</v>
      </c>
      <c r="G16" s="10">
        <v>4.9000000000000004</v>
      </c>
    </row>
    <row r="17" spans="1:7" ht="18.75" thickTop="1" thickBot="1" x14ac:dyDescent="0.2">
      <c r="A17" s="7" t="s">
        <v>18</v>
      </c>
      <c r="B17" s="8" t="str">
        <f>MID(体检人信息表!B17,7,4)&amp;"年"&amp;MID(体检人信息表!B17,11,2)&amp;"月"&amp;MID(体检人信息表!B17,13,2)&amp;"日"</f>
        <v>2005年11月11日</v>
      </c>
      <c r="C17" s="8" t="str">
        <f>IF(MOD(MID(体检人信息表!B17,17,1)/2,1),"男","女")</f>
        <v>男</v>
      </c>
      <c r="D17" s="9">
        <v>167</v>
      </c>
      <c r="E17" s="9">
        <v>60</v>
      </c>
      <c r="F17" s="9">
        <v>5</v>
      </c>
      <c r="G17" s="10">
        <v>5</v>
      </c>
    </row>
    <row r="18" spans="1:7" ht="18.75" thickTop="1" thickBot="1" x14ac:dyDescent="0.2">
      <c r="A18" s="7" t="s">
        <v>19</v>
      </c>
      <c r="B18" s="8" t="str">
        <f>MID(体检人信息表!B18,7,4)&amp;"年"&amp;MID(体检人信息表!B18,11,2)&amp;"月"&amp;MID(体检人信息表!B18,13,2)&amp;"日"</f>
        <v>2004年06月03日</v>
      </c>
      <c r="C18" s="8" t="str">
        <f>IF(MOD(MID(体检人信息表!B18,17,1)/2,1),"男","女")</f>
        <v>女</v>
      </c>
      <c r="D18" s="9">
        <v>187</v>
      </c>
      <c r="E18" s="9">
        <v>74</v>
      </c>
      <c r="F18" s="9">
        <v>5.0999999999999996</v>
      </c>
      <c r="G18" s="10">
        <v>5.0999999999999996</v>
      </c>
    </row>
    <row r="19" spans="1:7" ht="18.75" thickTop="1" thickBot="1" x14ac:dyDescent="0.2">
      <c r="A19" s="7" t="s">
        <v>20</v>
      </c>
      <c r="B19" s="8" t="str">
        <f>MID(体检人信息表!B19,7,4)&amp;"年"&amp;MID(体检人信息表!B19,11,2)&amp;"月"&amp;MID(体检人信息表!B19,13,2)&amp;"日"</f>
        <v>2005年03月29日</v>
      </c>
      <c r="C19" s="8" t="str">
        <f>IF(MOD(MID(体检人信息表!B19,17,1)/2,1),"男","女")</f>
        <v>男</v>
      </c>
      <c r="D19" s="9">
        <v>168</v>
      </c>
      <c r="E19" s="9">
        <v>74</v>
      </c>
      <c r="F19" s="9">
        <v>5</v>
      </c>
      <c r="G19" s="10">
        <v>5</v>
      </c>
    </row>
    <row r="20" spans="1:7" ht="18.75" thickTop="1" thickBot="1" x14ac:dyDescent="0.2">
      <c r="A20" s="7" t="s">
        <v>21</v>
      </c>
      <c r="B20" s="8" t="str">
        <f>MID(体检人信息表!B20,7,4)&amp;"年"&amp;MID(体检人信息表!B20,11,2)&amp;"月"&amp;MID(体检人信息表!B20,13,2)&amp;"日"</f>
        <v>2004年05月13日</v>
      </c>
      <c r="C20" s="8" t="str">
        <f>IF(MOD(MID(体检人信息表!B20,17,1)/2,1),"男","女")</f>
        <v>男</v>
      </c>
      <c r="D20" s="9">
        <v>181</v>
      </c>
      <c r="E20" s="9">
        <v>76</v>
      </c>
      <c r="F20" s="9">
        <v>5.0999999999999996</v>
      </c>
      <c r="G20" s="10">
        <v>5.0999999999999996</v>
      </c>
    </row>
    <row r="21" spans="1:7" ht="18.75" thickTop="1" thickBot="1" x14ac:dyDescent="0.2">
      <c r="A21" s="7" t="s">
        <v>22</v>
      </c>
      <c r="B21" s="8" t="str">
        <f>MID(体检人信息表!B21,7,4)&amp;"年"&amp;MID(体检人信息表!B21,11,2)&amp;"月"&amp;MID(体检人信息表!B21,13,2)&amp;"日"</f>
        <v>2005年05月17日</v>
      </c>
      <c r="C21" s="8" t="str">
        <f>IF(MOD(MID(体检人信息表!B21,17,1)/2,1),"男","女")</f>
        <v>男</v>
      </c>
      <c r="D21" s="9">
        <v>182</v>
      </c>
      <c r="E21" s="9">
        <v>70</v>
      </c>
      <c r="F21" s="9">
        <v>5</v>
      </c>
      <c r="G21" s="10">
        <v>4.9000000000000004</v>
      </c>
    </row>
    <row r="22" spans="1:7" ht="18.75" thickTop="1" thickBot="1" x14ac:dyDescent="0.2">
      <c r="A22" s="7" t="s">
        <v>23</v>
      </c>
      <c r="B22" s="8" t="str">
        <f>MID(体检人信息表!B22,7,4)&amp;"年"&amp;MID(体检人信息表!B22,11,2)&amp;"月"&amp;MID(体检人信息表!B22,13,2)&amp;"日"</f>
        <v>2004年07月25日</v>
      </c>
      <c r="C22" s="8" t="str">
        <f>IF(MOD(MID(体检人信息表!B22,17,1)/2,1),"男","女")</f>
        <v>男</v>
      </c>
      <c r="D22" s="9">
        <v>175</v>
      </c>
      <c r="E22" s="9">
        <v>65</v>
      </c>
      <c r="F22" s="9">
        <v>5</v>
      </c>
      <c r="G22" s="10">
        <v>5.0999999999999996</v>
      </c>
    </row>
    <row r="23" spans="1:7" ht="18.75" thickTop="1" thickBot="1" x14ac:dyDescent="0.2">
      <c r="A23" s="7" t="s">
        <v>24</v>
      </c>
      <c r="B23" s="8" t="str">
        <f>MID(体检人信息表!B23,7,4)&amp;"年"&amp;MID(体检人信息表!B23,11,2)&amp;"月"&amp;MID(体检人信息表!B23,13,2)&amp;"日"</f>
        <v>2005年04月23日</v>
      </c>
      <c r="C23" s="8" t="str">
        <f>IF(MOD(MID(体检人信息表!B23,17,1)/2,1),"男","女")</f>
        <v>男</v>
      </c>
      <c r="D23" s="9">
        <v>156</v>
      </c>
      <c r="E23" s="9">
        <v>48</v>
      </c>
      <c r="F23" s="9">
        <v>5</v>
      </c>
      <c r="G23" s="10">
        <v>5</v>
      </c>
    </row>
    <row r="24" spans="1:7" ht="18.75" thickTop="1" thickBot="1" x14ac:dyDescent="0.2">
      <c r="A24" s="7" t="s">
        <v>25</v>
      </c>
      <c r="B24" s="8" t="str">
        <f>MID(体检人信息表!B24,7,4)&amp;"年"&amp;MID(体检人信息表!B24,11,2)&amp;"月"&amp;MID(体检人信息表!B24,13,2)&amp;"日"</f>
        <v>2004年11月06日</v>
      </c>
      <c r="C24" s="8" t="str">
        <f>IF(MOD(MID(体检人信息表!B24,17,1)/2,1),"男","女")</f>
        <v>男</v>
      </c>
      <c r="D24" s="9">
        <v>175</v>
      </c>
      <c r="E24" s="9">
        <v>50</v>
      </c>
      <c r="F24" s="9">
        <v>5.0999999999999996</v>
      </c>
      <c r="G24" s="10">
        <v>5.0999999999999996</v>
      </c>
    </row>
    <row r="25" spans="1:7" ht="18.75" thickTop="1" thickBot="1" x14ac:dyDescent="0.2">
      <c r="A25" s="7" t="s">
        <v>26</v>
      </c>
      <c r="B25" s="8" t="str">
        <f>MID(体检人信息表!B25,7,4)&amp;"年"&amp;MID(体检人信息表!B25,11,2)&amp;"月"&amp;MID(体检人信息表!B25,13,2)&amp;"日"</f>
        <v>2005年12月28日</v>
      </c>
      <c r="C25" s="8" t="str">
        <f>IF(MOD(MID(体检人信息表!B25,17,1)/2,1),"男","女")</f>
        <v>男</v>
      </c>
      <c r="D25" s="9">
        <v>174</v>
      </c>
      <c r="E25" s="9">
        <v>59</v>
      </c>
      <c r="F25" s="9">
        <v>5</v>
      </c>
      <c r="G25" s="10">
        <v>5</v>
      </c>
    </row>
    <row r="26" spans="1:7" ht="18.75" thickTop="1" thickBot="1" x14ac:dyDescent="0.2">
      <c r="A26" s="7" t="s">
        <v>27</v>
      </c>
      <c r="B26" s="8" t="str">
        <f>MID(体检人信息表!B26,7,4)&amp;"年"&amp;MID(体检人信息表!B26,11,2)&amp;"月"&amp;MID(体检人信息表!B26,13,2)&amp;"日"</f>
        <v>2004年08月01日</v>
      </c>
      <c r="C26" s="8" t="str">
        <f>IF(MOD(MID(体检人信息表!B26,17,1)/2,1),"男","女")</f>
        <v>女</v>
      </c>
      <c r="D26" s="9">
        <v>161</v>
      </c>
      <c r="E26" s="9">
        <v>50</v>
      </c>
      <c r="F26" s="9">
        <v>5.0999999999999996</v>
      </c>
      <c r="G26" s="10">
        <v>5.0999999999999996</v>
      </c>
    </row>
    <row r="27" spans="1:7" ht="18.75" thickTop="1" thickBot="1" x14ac:dyDescent="0.2">
      <c r="A27" s="7" t="s">
        <v>28</v>
      </c>
      <c r="B27" s="8" t="str">
        <f>MID(体检人信息表!B27,7,4)&amp;"年"&amp;MID(体检人信息表!B27,11,2)&amp;"月"&amp;MID(体检人信息表!B27,13,2)&amp;"日"</f>
        <v>2005年01月29日</v>
      </c>
      <c r="C27" s="8" t="str">
        <f>IF(MOD(MID(体检人信息表!B27,17,1)/2,1),"男","女")</f>
        <v>男</v>
      </c>
      <c r="D27" s="9">
        <v>160</v>
      </c>
      <c r="E27" s="9">
        <v>49</v>
      </c>
      <c r="F27" s="9">
        <v>4.9000000000000004</v>
      </c>
      <c r="G27" s="10">
        <v>4.9000000000000004</v>
      </c>
    </row>
    <row r="28" spans="1:7" ht="18.75" thickTop="1" thickBot="1" x14ac:dyDescent="0.2">
      <c r="A28" s="7" t="s">
        <v>29</v>
      </c>
      <c r="B28" s="8" t="str">
        <f>MID(体检人信息表!B28,7,4)&amp;"年"&amp;MID(体检人信息表!B28,11,2)&amp;"月"&amp;MID(体检人信息表!B28,13,2)&amp;"日"</f>
        <v>2005年10月24日</v>
      </c>
      <c r="C28" s="8" t="str">
        <f>IF(MOD(MID(体检人信息表!B28,17,1)/2,1),"男","女")</f>
        <v>男</v>
      </c>
      <c r="D28" s="9">
        <v>171</v>
      </c>
      <c r="E28" s="9">
        <v>60</v>
      </c>
      <c r="F28" s="9">
        <v>4.5</v>
      </c>
      <c r="G28" s="10">
        <v>4.5</v>
      </c>
    </row>
    <row r="29" spans="1:7" ht="18.75" thickTop="1" thickBot="1" x14ac:dyDescent="0.2">
      <c r="A29" s="7" t="s">
        <v>30</v>
      </c>
      <c r="B29" s="8" t="str">
        <f>MID(体检人信息表!B29,7,4)&amp;"年"&amp;MID(体检人信息表!B29,11,2)&amp;"月"&amp;MID(体检人信息表!B29,13,2)&amp;"日"</f>
        <v>2006年08月07日</v>
      </c>
      <c r="C29" s="8" t="str">
        <f>IF(MOD(MID(体检人信息表!B29,17,1)/2,1),"男","女")</f>
        <v>女</v>
      </c>
      <c r="D29" s="9">
        <v>170</v>
      </c>
      <c r="E29" s="9">
        <v>61</v>
      </c>
      <c r="F29" s="9">
        <v>4.4000000000000004</v>
      </c>
      <c r="G29" s="10">
        <v>4.5</v>
      </c>
    </row>
    <row r="30" spans="1:7" ht="18.75" thickTop="1" thickBot="1" x14ac:dyDescent="0.2">
      <c r="A30" s="7" t="s">
        <v>31</v>
      </c>
      <c r="B30" s="8" t="str">
        <f>MID(体检人信息表!B30,7,4)&amp;"年"&amp;MID(体检人信息表!B30,11,2)&amp;"月"&amp;MID(体检人信息表!B30,13,2)&amp;"日"</f>
        <v>2004年10月01日</v>
      </c>
      <c r="C30" s="8" t="str">
        <f>IF(MOD(MID(体检人信息表!B30,17,1)/2,1),"男","女")</f>
        <v>男</v>
      </c>
      <c r="D30" s="9">
        <v>180</v>
      </c>
      <c r="E30" s="9">
        <v>71.5</v>
      </c>
      <c r="F30" s="9">
        <v>4.7</v>
      </c>
      <c r="G30" s="10">
        <v>4.7</v>
      </c>
    </row>
    <row r="31" spans="1:7" ht="18.75" thickTop="1" thickBot="1" x14ac:dyDescent="0.2">
      <c r="A31" s="7" t="s">
        <v>32</v>
      </c>
      <c r="B31" s="8" t="str">
        <f>MID(体检人信息表!B31,7,4)&amp;"年"&amp;MID(体检人信息表!B31,11,2)&amp;"月"&amp;MID(体检人信息表!B31,13,2)&amp;"日"</f>
        <v>2006年10月04日</v>
      </c>
      <c r="C31" s="8" t="str">
        <f>IF(MOD(MID(体检人信息表!B31,17,1)/2,1),"男","女")</f>
        <v>女</v>
      </c>
      <c r="D31" s="9">
        <v>181</v>
      </c>
      <c r="E31" s="9">
        <v>71.3</v>
      </c>
      <c r="F31" s="9">
        <v>4.8</v>
      </c>
      <c r="G31" s="10">
        <v>4.9000000000000004</v>
      </c>
    </row>
    <row r="32" spans="1:7" ht="18.75" thickTop="1" thickBot="1" x14ac:dyDescent="0.2">
      <c r="A32" s="7" t="s">
        <v>33</v>
      </c>
      <c r="B32" s="8" t="str">
        <f>MID(体检人信息表!B32,7,4)&amp;"年"&amp;MID(体检人信息表!B32,11,2)&amp;"月"&amp;MID(体检人信息表!B32,13,2)&amp;"日"</f>
        <v>2006年06月16日</v>
      </c>
      <c r="C32" s="8" t="str">
        <f>IF(MOD(MID(体检人信息表!B32,17,1)/2,1),"男","女")</f>
        <v>女</v>
      </c>
      <c r="D32" s="9">
        <v>182</v>
      </c>
      <c r="E32" s="9">
        <v>70.599999999999994</v>
      </c>
      <c r="F32" s="9">
        <v>5</v>
      </c>
      <c r="G32" s="10">
        <v>5</v>
      </c>
    </row>
    <row r="33" spans="1:7" ht="18.75" thickTop="1" thickBot="1" x14ac:dyDescent="0.2">
      <c r="A33" s="7" t="s">
        <v>34</v>
      </c>
      <c r="B33" s="8" t="str">
        <f>MID(体检人信息表!B33,7,4)&amp;"年"&amp;MID(体检人信息表!B33,11,2)&amp;"月"&amp;MID(体检人信息表!B33,13,2)&amp;"日"</f>
        <v>2005年09月29日</v>
      </c>
      <c r="C33" s="8" t="str">
        <f>IF(MOD(MID(体检人信息表!B33,17,1)/2,1),"男","女")</f>
        <v>女</v>
      </c>
      <c r="D33" s="9">
        <v>181</v>
      </c>
      <c r="E33" s="9">
        <v>72.599999999999994</v>
      </c>
      <c r="F33" s="9">
        <v>4.4000000000000004</v>
      </c>
      <c r="G33" s="10">
        <v>4.5</v>
      </c>
    </row>
    <row r="34" spans="1:7" ht="18.75" thickTop="1" thickBot="1" x14ac:dyDescent="0.2">
      <c r="A34" s="7" t="s">
        <v>35</v>
      </c>
      <c r="B34" s="8" t="str">
        <f>MID(体检人信息表!B34,7,4)&amp;"年"&amp;MID(体检人信息表!B34,11,2)&amp;"月"&amp;MID(体检人信息表!B34,13,2)&amp;"日"</f>
        <v>2006年02月04日</v>
      </c>
      <c r="C34" s="8" t="str">
        <f>IF(MOD(MID(体检人信息表!B34,17,1)/2,1),"男","女")</f>
        <v>男</v>
      </c>
      <c r="D34" s="9">
        <v>183</v>
      </c>
      <c r="E34" s="9">
        <v>69.3</v>
      </c>
      <c r="F34" s="9">
        <v>4.7</v>
      </c>
      <c r="G34" s="10">
        <v>4.7</v>
      </c>
    </row>
    <row r="35" spans="1:7" ht="18.75" thickTop="1" thickBot="1" x14ac:dyDescent="0.2">
      <c r="A35" s="7" t="s">
        <v>36</v>
      </c>
      <c r="B35" s="8" t="str">
        <f>MID(体检人信息表!B35,7,4)&amp;"年"&amp;MID(体检人信息表!B35,11,2)&amp;"月"&amp;MID(体检人信息表!B35,13,2)&amp;"日"</f>
        <v>2005年05月06日</v>
      </c>
      <c r="C35" s="8" t="str">
        <f>IF(MOD(MID(体检人信息表!B35,17,1)/2,1),"男","女")</f>
        <v>男</v>
      </c>
      <c r="D35" s="9">
        <v>165</v>
      </c>
      <c r="E35" s="9">
        <v>58</v>
      </c>
      <c r="F35" s="9">
        <v>4.8</v>
      </c>
      <c r="G35" s="10">
        <v>4.9000000000000004</v>
      </c>
    </row>
    <row r="36" spans="1:7" ht="18.75" thickTop="1" thickBot="1" x14ac:dyDescent="0.2">
      <c r="A36" s="7" t="s">
        <v>37</v>
      </c>
      <c r="B36" s="8" t="str">
        <f>MID(体检人信息表!B36,7,4)&amp;"年"&amp;MID(体检人信息表!B36,11,2)&amp;"月"&amp;MID(体检人信息表!B36,13,2)&amp;"日"</f>
        <v>2004年06月23日</v>
      </c>
      <c r="C36" s="8" t="str">
        <f>IF(MOD(MID(体检人信息表!B36,17,1)/2,1),"男","女")</f>
        <v>女</v>
      </c>
      <c r="D36" s="9">
        <v>162</v>
      </c>
      <c r="E36" s="9">
        <v>45</v>
      </c>
      <c r="F36" s="9">
        <v>5.0999999999999996</v>
      </c>
      <c r="G36" s="10">
        <v>5.0999999999999996</v>
      </c>
    </row>
    <row r="37" spans="1:7" ht="18.75" thickTop="1" thickBot="1" x14ac:dyDescent="0.2">
      <c r="A37" s="7" t="s">
        <v>38</v>
      </c>
      <c r="B37" s="8" t="str">
        <f>MID(体检人信息表!B37,7,4)&amp;"年"&amp;MID(体检人信息表!B37,11,2)&amp;"月"&amp;MID(体检人信息表!B37,13,2)&amp;"日"</f>
        <v>2005年10月13日</v>
      </c>
      <c r="C37" s="8" t="str">
        <f>IF(MOD(MID(体检人信息表!B37,17,1)/2,1),"男","女")</f>
        <v>男</v>
      </c>
      <c r="D37" s="9">
        <v>166</v>
      </c>
      <c r="E37" s="9">
        <v>48</v>
      </c>
      <c r="F37" s="9">
        <v>5</v>
      </c>
      <c r="G37" s="10">
        <v>4.9000000000000004</v>
      </c>
    </row>
    <row r="38" spans="1:7" ht="18.75" thickTop="1" thickBot="1" x14ac:dyDescent="0.2">
      <c r="A38" s="7" t="s">
        <v>39</v>
      </c>
      <c r="B38" s="8" t="str">
        <f>MID(体检人信息表!B38,7,4)&amp;"年"&amp;MID(体检人信息表!B38,11,2)&amp;"月"&amp;MID(体检人信息表!B38,13,2)&amp;"日"</f>
        <v>2005年01月11日</v>
      </c>
      <c r="C38" s="8" t="str">
        <f>IF(MOD(MID(体检人信息表!B38,17,1)/2,1),"男","女")</f>
        <v>女</v>
      </c>
      <c r="D38" s="9">
        <v>174</v>
      </c>
      <c r="E38" s="9">
        <v>51.3</v>
      </c>
      <c r="F38" s="9">
        <v>5</v>
      </c>
      <c r="G38" s="10">
        <v>5.0999999999999996</v>
      </c>
    </row>
    <row r="39" spans="1:7" ht="18.75" thickTop="1" thickBot="1" x14ac:dyDescent="0.2">
      <c r="A39" s="7" t="s">
        <v>40</v>
      </c>
      <c r="B39" s="8" t="str">
        <f>MID(体检人信息表!B39,7,4)&amp;"年"&amp;MID(体检人信息表!B39,11,2)&amp;"月"&amp;MID(体检人信息表!B39,13,2)&amp;"日"</f>
        <v>2005年10月23日</v>
      </c>
      <c r="C39" s="8" t="str">
        <f>IF(MOD(MID(体检人信息表!B39,17,1)/2,1),"男","女")</f>
        <v>女</v>
      </c>
      <c r="D39" s="9">
        <v>158</v>
      </c>
      <c r="E39" s="9">
        <v>52.6</v>
      </c>
      <c r="F39" s="9">
        <v>5</v>
      </c>
      <c r="G39" s="10">
        <v>5</v>
      </c>
    </row>
    <row r="40" spans="1:7" ht="18.75" thickTop="1" thickBot="1" x14ac:dyDescent="0.2">
      <c r="A40" s="7" t="s">
        <v>41</v>
      </c>
      <c r="B40" s="8" t="str">
        <f>MID(体检人信息表!B40,7,4)&amp;"年"&amp;MID(体检人信息表!B40,11,2)&amp;"月"&amp;MID(体检人信息表!B40,13,2)&amp;"日"</f>
        <v>2006年07月04日</v>
      </c>
      <c r="C40" s="8" t="str">
        <f>IF(MOD(MID(体检人信息表!B40,17,1)/2,1),"男","女")</f>
        <v>男</v>
      </c>
      <c r="D40" s="9">
        <v>174</v>
      </c>
      <c r="E40" s="9">
        <v>64</v>
      </c>
      <c r="F40" s="9">
        <v>5.0999999999999996</v>
      </c>
      <c r="G40" s="10">
        <v>5.0999999999999996</v>
      </c>
    </row>
    <row r="41" spans="1:7" ht="18.75" thickTop="1" thickBot="1" x14ac:dyDescent="0.2">
      <c r="A41" s="7" t="s">
        <v>42</v>
      </c>
      <c r="B41" s="8" t="str">
        <f>MID(体检人信息表!B41,7,4)&amp;"年"&amp;MID(体检人信息表!B41,11,2)&amp;"月"&amp;MID(体检人信息表!B41,13,2)&amp;"日"</f>
        <v>2005年01月28日</v>
      </c>
      <c r="C41" s="8" t="str">
        <f>IF(MOD(MID(体检人信息表!B41,17,1)/2,1),"男","女")</f>
        <v>女</v>
      </c>
      <c r="D41" s="9">
        <v>166</v>
      </c>
      <c r="E41" s="9">
        <v>54</v>
      </c>
      <c r="F41" s="9">
        <v>5</v>
      </c>
      <c r="G41" s="10">
        <v>5</v>
      </c>
    </row>
    <row r="42" spans="1:7" ht="18.75" thickTop="1" thickBot="1" x14ac:dyDescent="0.2">
      <c r="A42" s="7" t="s">
        <v>43</v>
      </c>
      <c r="B42" s="8" t="str">
        <f>MID(体检人信息表!B42,7,4)&amp;"年"&amp;MID(体检人信息表!B42,11,2)&amp;"月"&amp;MID(体检人信息表!B42,13,2)&amp;"日"</f>
        <v>2005年04月11日</v>
      </c>
      <c r="C42" s="8" t="str">
        <f>IF(MOD(MID(体检人信息表!B42,17,1)/2,1),"男","女")</f>
        <v>女</v>
      </c>
      <c r="D42" s="9">
        <v>180</v>
      </c>
      <c r="E42" s="9">
        <v>74</v>
      </c>
      <c r="F42" s="9">
        <v>5.0999999999999996</v>
      </c>
      <c r="G42" s="10">
        <v>5.0999999999999996</v>
      </c>
    </row>
    <row r="43" spans="1:7" ht="18.75" thickTop="1" thickBot="1" x14ac:dyDescent="0.2">
      <c r="A43" s="7" t="s">
        <v>44</v>
      </c>
      <c r="B43" s="8" t="str">
        <f>MID(体检人信息表!B43,7,4)&amp;"年"&amp;MID(体检人信息表!B43,11,2)&amp;"月"&amp;MID(体检人信息表!B43,13,2)&amp;"日"</f>
        <v>2005年08月09日</v>
      </c>
      <c r="C43" s="8" t="str">
        <f>IF(MOD(MID(体检人信息表!B43,17,1)/2,1),"男","女")</f>
        <v>男</v>
      </c>
      <c r="D43" s="9">
        <v>178</v>
      </c>
      <c r="E43" s="9">
        <v>69</v>
      </c>
      <c r="F43" s="9">
        <v>4.9000000000000004</v>
      </c>
      <c r="G43" s="10">
        <v>4.9000000000000004</v>
      </c>
    </row>
    <row r="44" spans="1:7" ht="18.75" thickTop="1" thickBot="1" x14ac:dyDescent="0.2">
      <c r="A44" s="7" t="s">
        <v>45</v>
      </c>
      <c r="B44" s="8" t="str">
        <f>MID(体检人信息表!B44,7,4)&amp;"年"&amp;MID(体检人信息表!B44,11,2)&amp;"月"&amp;MID(体检人信息表!B44,13,2)&amp;"日"</f>
        <v>2005年10月02日</v>
      </c>
      <c r="C44" s="8" t="str">
        <f>IF(MOD(MID(体检人信息表!B44,17,1)/2,1),"男","女")</f>
        <v>男</v>
      </c>
      <c r="D44" s="9">
        <v>179</v>
      </c>
      <c r="E44" s="9">
        <v>58.6</v>
      </c>
      <c r="F44" s="9">
        <v>4.5</v>
      </c>
      <c r="G44" s="10">
        <v>4.5</v>
      </c>
    </row>
    <row r="45" spans="1:7" ht="18.75" thickTop="1" thickBot="1" x14ac:dyDescent="0.2">
      <c r="A45" s="7" t="s">
        <v>46</v>
      </c>
      <c r="B45" s="8" t="str">
        <f>MID(体检人信息表!B45,7,4)&amp;"年"&amp;MID(体检人信息表!B45,11,2)&amp;"月"&amp;MID(体检人信息表!B45,13,2)&amp;"日"</f>
        <v>2004年12月22日</v>
      </c>
      <c r="C45" s="8" t="str">
        <f>IF(MOD(MID(体检人信息表!B45,17,1)/2,1),"男","女")</f>
        <v>男</v>
      </c>
      <c r="D45" s="9">
        <v>180</v>
      </c>
      <c r="E45" s="9">
        <v>66.8</v>
      </c>
      <c r="F45" s="9">
        <v>4.7</v>
      </c>
      <c r="G45" s="10">
        <v>4.7</v>
      </c>
    </row>
    <row r="46" spans="1:7" ht="18.75" thickTop="1" thickBot="1" x14ac:dyDescent="0.2">
      <c r="A46" s="7" t="s">
        <v>47</v>
      </c>
      <c r="B46" s="8" t="str">
        <f>MID(体检人信息表!B46,7,4)&amp;"年"&amp;MID(体检人信息表!B46,11,2)&amp;"月"&amp;MID(体检人信息表!B46,13,2)&amp;"日"</f>
        <v>2005年12月24日</v>
      </c>
      <c r="C46" s="8" t="str">
        <f>IF(MOD(MID(体检人信息表!B46,17,1)/2,1),"男","女")</f>
        <v>男</v>
      </c>
      <c r="D46" s="9">
        <v>163</v>
      </c>
      <c r="E46" s="9">
        <v>54</v>
      </c>
      <c r="F46" s="9">
        <v>4.9000000000000004</v>
      </c>
      <c r="G46" s="10">
        <v>4.9000000000000004</v>
      </c>
    </row>
    <row r="47" spans="1:7" ht="18.75" thickTop="1" thickBot="1" x14ac:dyDescent="0.2">
      <c r="A47" s="7" t="s">
        <v>48</v>
      </c>
      <c r="B47" s="8" t="str">
        <f>MID(体检人信息表!B47,7,4)&amp;"年"&amp;MID(体检人信息表!B47,11,2)&amp;"月"&amp;MID(体检人信息表!B47,13,2)&amp;"日"</f>
        <v>2006年12月06日</v>
      </c>
      <c r="C47" s="8" t="str">
        <f>IF(MOD(MID(体检人信息表!B47,17,1)/2,1),"男","女")</f>
        <v>女</v>
      </c>
      <c r="D47" s="9">
        <v>156</v>
      </c>
      <c r="E47" s="9">
        <v>48</v>
      </c>
      <c r="F47" s="9">
        <v>5</v>
      </c>
      <c r="G47" s="10">
        <v>5</v>
      </c>
    </row>
    <row r="48" spans="1:7" ht="18.75" thickTop="1" thickBot="1" x14ac:dyDescent="0.2">
      <c r="A48" s="7" t="s">
        <v>49</v>
      </c>
      <c r="B48" s="8" t="str">
        <f>MID(体检人信息表!B48,7,4)&amp;"年"&amp;MID(体检人信息表!B48,11,2)&amp;"月"&amp;MID(体检人信息表!B48,13,2)&amp;"日"</f>
        <v>2005年09月04日</v>
      </c>
      <c r="C48" s="8" t="str">
        <f>IF(MOD(MID(体检人信息表!B48,17,1)/2,1),"男","女")</f>
        <v>男</v>
      </c>
      <c r="D48" s="9">
        <v>174</v>
      </c>
      <c r="E48" s="9">
        <v>65</v>
      </c>
      <c r="F48" s="9">
        <v>5.0999999999999996</v>
      </c>
      <c r="G48" s="10">
        <v>5.0999999999999996</v>
      </c>
    </row>
    <row r="49" spans="1:7" ht="18.75" thickTop="1" thickBot="1" x14ac:dyDescent="0.2">
      <c r="A49" s="7" t="s">
        <v>50</v>
      </c>
      <c r="B49" s="8" t="str">
        <f>MID(体检人信息表!B49,7,4)&amp;"年"&amp;MID(体检人信息表!B49,11,2)&amp;"月"&amp;MID(体检人信息表!B49,13,2)&amp;"日"</f>
        <v>2005年11月14日</v>
      </c>
      <c r="C49" s="8" t="str">
        <f>IF(MOD(MID(体检人信息表!B49,17,1)/2,1),"男","女")</f>
        <v>女</v>
      </c>
      <c r="D49" s="9">
        <v>153</v>
      </c>
      <c r="E49" s="9">
        <v>49</v>
      </c>
      <c r="F49" s="9">
        <v>5</v>
      </c>
      <c r="G49" s="10">
        <v>5</v>
      </c>
    </row>
    <row r="50" spans="1:7" ht="18.75" thickTop="1" thickBot="1" x14ac:dyDescent="0.2">
      <c r="A50" s="7" t="s">
        <v>51</v>
      </c>
      <c r="B50" s="8" t="str">
        <f>MID(体检人信息表!B50,7,4)&amp;"年"&amp;MID(体检人信息表!B50,11,2)&amp;"月"&amp;MID(体检人信息表!B50,13,2)&amp;"日"</f>
        <v>2005年09月01日</v>
      </c>
      <c r="C50" s="8" t="str">
        <f>IF(MOD(MID(体检人信息表!B50,17,1)/2,1),"男","女")</f>
        <v>男</v>
      </c>
      <c r="D50" s="9">
        <v>154</v>
      </c>
      <c r="E50" s="9">
        <v>47.6</v>
      </c>
      <c r="F50" s="9">
        <v>5.0999999999999996</v>
      </c>
      <c r="G50" s="10">
        <v>5.0999999999999996</v>
      </c>
    </row>
    <row r="51" spans="1:7" ht="18.75" thickTop="1" thickBot="1" x14ac:dyDescent="0.2">
      <c r="A51" s="7" t="s">
        <v>52</v>
      </c>
      <c r="B51" s="8" t="str">
        <f>MID(体检人信息表!B51,7,4)&amp;"年"&amp;MID(体检人信息表!B51,11,2)&amp;"月"&amp;MID(体检人信息表!B51,13,2)&amp;"日"</f>
        <v>2005年09月06日</v>
      </c>
      <c r="C51" s="8" t="str">
        <f>IF(MOD(MID(体检人信息表!B51,17,1)/2,1),"男","女")</f>
        <v>男</v>
      </c>
      <c r="D51" s="9">
        <v>164</v>
      </c>
      <c r="E51" s="9">
        <v>50</v>
      </c>
      <c r="F51" s="9">
        <v>4.2</v>
      </c>
      <c r="G51" s="10">
        <v>4.3</v>
      </c>
    </row>
    <row r="52" spans="1:7" ht="18.75" thickTop="1" thickBot="1" x14ac:dyDescent="0.2">
      <c r="A52" s="7" t="s">
        <v>53</v>
      </c>
      <c r="B52" s="8" t="str">
        <f>MID(体检人信息表!B52,7,4)&amp;"年"&amp;MID(体检人信息表!B52,11,2)&amp;"月"&amp;MID(体检人信息表!B52,13,2)&amp;"日"</f>
        <v>2005年11月26日</v>
      </c>
      <c r="C52" s="8" t="str">
        <f>IF(MOD(MID(体检人信息表!B52,17,1)/2,1),"男","女")</f>
        <v>女</v>
      </c>
      <c r="D52" s="9">
        <v>168</v>
      </c>
      <c r="E52" s="9">
        <v>49</v>
      </c>
      <c r="F52" s="9">
        <v>5</v>
      </c>
      <c r="G52" s="10">
        <v>5</v>
      </c>
    </row>
    <row r="53" spans="1:7" ht="18.75" thickTop="1" thickBot="1" x14ac:dyDescent="0.2">
      <c r="A53" s="7" t="s">
        <v>54</v>
      </c>
      <c r="B53" s="8" t="str">
        <f>MID(体检人信息表!B53,7,4)&amp;"年"&amp;MID(体检人信息表!B53,11,2)&amp;"月"&amp;MID(体检人信息表!B53,13,2)&amp;"日"</f>
        <v>2005年05月21日</v>
      </c>
      <c r="C53" s="8" t="str">
        <f>IF(MOD(MID(体检人信息表!B53,17,1)/2,1),"男","女")</f>
        <v>女</v>
      </c>
      <c r="D53" s="9">
        <v>187</v>
      </c>
      <c r="E53" s="9">
        <v>60</v>
      </c>
      <c r="F53" s="9">
        <v>4.4000000000000004</v>
      </c>
      <c r="G53" s="10">
        <v>4.5</v>
      </c>
    </row>
    <row r="54" spans="1:7" ht="18.75" thickTop="1" thickBot="1" x14ac:dyDescent="0.2">
      <c r="A54" s="7" t="s">
        <v>55</v>
      </c>
      <c r="B54" s="8" t="str">
        <f>MID(体检人信息表!B54,7,4)&amp;"年"&amp;MID(体检人信息表!B54,11,2)&amp;"月"&amp;MID(体检人信息表!B54,13,2)&amp;"日"</f>
        <v>2004年09月16日</v>
      </c>
      <c r="C54" s="8" t="str">
        <f>IF(MOD(MID(体检人信息表!B54,17,1)/2,1),"男","女")</f>
        <v>女</v>
      </c>
      <c r="D54" s="9">
        <v>165</v>
      </c>
      <c r="E54" s="9">
        <v>45.9</v>
      </c>
      <c r="F54" s="9">
        <v>4.7</v>
      </c>
      <c r="G54" s="10">
        <v>4.7</v>
      </c>
    </row>
    <row r="55" spans="1:7" ht="18.75" thickTop="1" thickBot="1" x14ac:dyDescent="0.2">
      <c r="A55" s="7" t="s">
        <v>56</v>
      </c>
      <c r="B55" s="8" t="str">
        <f>MID(体检人信息表!B55,7,4)&amp;"年"&amp;MID(体检人信息表!B55,11,2)&amp;"月"&amp;MID(体检人信息表!B55,13,2)&amp;"日"</f>
        <v>2005年09月07日</v>
      </c>
      <c r="C55" s="8" t="str">
        <f>IF(MOD(MID(体检人信息表!B55,17,1)/2,1),"男","女")</f>
        <v>女</v>
      </c>
      <c r="D55" s="9">
        <v>156</v>
      </c>
      <c r="E55" s="9">
        <v>48.6</v>
      </c>
      <c r="F55" s="9">
        <v>4.8</v>
      </c>
      <c r="G55" s="10">
        <v>4.9000000000000004</v>
      </c>
    </row>
    <row r="56" spans="1:7" ht="18.75" thickTop="1" thickBot="1" x14ac:dyDescent="0.2">
      <c r="A56" s="7" t="s">
        <v>57</v>
      </c>
      <c r="B56" s="8" t="str">
        <f>MID(体检人信息表!B56,7,4)&amp;"年"&amp;MID(体检人信息表!B56,11,2)&amp;"月"&amp;MID(体检人信息表!B56,13,2)&amp;"日"</f>
        <v>2004年05月31日</v>
      </c>
      <c r="C56" s="8" t="str">
        <f>IF(MOD(MID(体检人信息表!B56,17,1)/2,1),"男","女")</f>
        <v>女</v>
      </c>
      <c r="D56" s="9">
        <v>158</v>
      </c>
      <c r="E56" s="9">
        <v>45.6</v>
      </c>
      <c r="F56" s="9">
        <v>5</v>
      </c>
      <c r="G56" s="10">
        <v>5</v>
      </c>
    </row>
    <row r="57" spans="1:7" ht="18.75" thickTop="1" thickBot="1" x14ac:dyDescent="0.2">
      <c r="A57" s="7" t="s">
        <v>58</v>
      </c>
      <c r="B57" s="8" t="str">
        <f>MID(体检人信息表!B57,7,4)&amp;"年"&amp;MID(体检人信息表!B57,11,2)&amp;"月"&amp;MID(体检人信息表!B57,13,2)&amp;"日"</f>
        <v>2004年06月24日</v>
      </c>
      <c r="C57" s="8" t="str">
        <f>IF(MOD(MID(体检人信息表!B57,17,1)/2,1),"男","女")</f>
        <v>女</v>
      </c>
      <c r="D57" s="9">
        <v>176</v>
      </c>
      <c r="E57" s="9">
        <v>71.3</v>
      </c>
      <c r="F57" s="9">
        <v>5.0999999999999996</v>
      </c>
      <c r="G57" s="10">
        <v>5.0999999999999996</v>
      </c>
    </row>
    <row r="58" spans="1:7" ht="18.75" thickTop="1" thickBot="1" x14ac:dyDescent="0.2">
      <c r="A58" s="7" t="s">
        <v>59</v>
      </c>
      <c r="B58" s="8" t="str">
        <f>MID(体检人信息表!B58,7,4)&amp;"年"&amp;MID(体检人信息表!B58,11,2)&amp;"月"&amp;MID(体检人信息表!B58,13,2)&amp;"日"</f>
        <v>2005年12月06日</v>
      </c>
      <c r="C58" s="8" t="str">
        <f>IF(MOD(MID(体检人信息表!B58,17,1)/2,1),"男","女")</f>
        <v>女</v>
      </c>
      <c r="D58" s="9">
        <v>175</v>
      </c>
      <c r="E58" s="9">
        <v>71.5</v>
      </c>
      <c r="F58" s="9">
        <v>5</v>
      </c>
      <c r="G58" s="10">
        <v>5</v>
      </c>
    </row>
    <row r="59" spans="1:7" ht="18.75" thickTop="1" thickBot="1" x14ac:dyDescent="0.2">
      <c r="A59" s="7" t="s">
        <v>60</v>
      </c>
      <c r="B59" s="8" t="str">
        <f>MID(体检人信息表!B59,7,4)&amp;"年"&amp;MID(体检人信息表!B59,11,2)&amp;"月"&amp;MID(体检人信息表!B59,13,2)&amp;"日"</f>
        <v>2006年09月04日</v>
      </c>
      <c r="C59" s="8" t="str">
        <f>IF(MOD(MID(体检人信息表!B59,17,1)/2,1),"男","女")</f>
        <v>男</v>
      </c>
      <c r="D59" s="9">
        <v>176</v>
      </c>
      <c r="E59" s="9">
        <v>69.5</v>
      </c>
      <c r="F59" s="9">
        <v>5.0999999999999996</v>
      </c>
      <c r="G59" s="10">
        <v>5.0999999999999996</v>
      </c>
    </row>
    <row r="60" spans="1:7" ht="18.75" thickTop="1" thickBot="1" x14ac:dyDescent="0.2">
      <c r="A60" s="7" t="s">
        <v>61</v>
      </c>
      <c r="B60" s="8" t="str">
        <f>MID(体检人信息表!B60,7,4)&amp;"年"&amp;MID(体检人信息表!B60,11,2)&amp;"月"&amp;MID(体检人信息表!B60,13,2)&amp;"日"</f>
        <v>2004年11月14日</v>
      </c>
      <c r="C60" s="8" t="str">
        <f>IF(MOD(MID(体检人信息表!B60,17,1)/2,1),"男","女")</f>
        <v>女</v>
      </c>
      <c r="D60" s="9">
        <v>159</v>
      </c>
      <c r="E60" s="9">
        <v>56</v>
      </c>
      <c r="F60" s="9">
        <v>5</v>
      </c>
      <c r="G60" s="10">
        <v>4.9000000000000004</v>
      </c>
    </row>
    <row r="61" spans="1:7" ht="18.75" thickTop="1" thickBot="1" x14ac:dyDescent="0.2">
      <c r="A61" s="7" t="s">
        <v>62</v>
      </c>
      <c r="B61" s="8" t="str">
        <f>MID(体检人信息表!B61,7,4)&amp;"年"&amp;MID(体检人信息表!B61,11,2)&amp;"月"&amp;MID(体检人信息表!B61,13,2)&amp;"日"</f>
        <v>2006年09月01日</v>
      </c>
      <c r="C61" s="8" t="str">
        <f>IF(MOD(MID(体检人信息表!B61,17,1)/2,1),"男","女")</f>
        <v>男</v>
      </c>
      <c r="D61" s="9">
        <v>178</v>
      </c>
      <c r="E61" s="9">
        <v>58</v>
      </c>
      <c r="F61" s="9">
        <v>5</v>
      </c>
      <c r="G61" s="10">
        <v>5.0999999999999996</v>
      </c>
    </row>
    <row r="62" spans="1:7" ht="18.75" thickTop="1" thickBot="1" x14ac:dyDescent="0.2">
      <c r="A62" s="7" t="s">
        <v>63</v>
      </c>
      <c r="B62" s="8" t="str">
        <f>MID(体检人信息表!B62,7,4)&amp;"年"&amp;MID(体检人信息表!B62,11,2)&amp;"月"&amp;MID(体检人信息表!B62,13,2)&amp;"日"</f>
        <v>2004年09月06日</v>
      </c>
      <c r="C62" s="8" t="str">
        <f>IF(MOD(MID(体检人信息表!B62,17,1)/2,1),"男","女")</f>
        <v>男</v>
      </c>
      <c r="D62" s="9">
        <v>165</v>
      </c>
      <c r="E62" s="9">
        <v>59</v>
      </c>
      <c r="F62" s="9">
        <v>4.4000000000000004</v>
      </c>
      <c r="G62" s="10">
        <v>4.5</v>
      </c>
    </row>
    <row r="63" spans="1:7" ht="18.75" thickTop="1" thickBot="1" x14ac:dyDescent="0.2">
      <c r="A63" s="7" t="s">
        <v>64</v>
      </c>
      <c r="B63" s="8" t="str">
        <f>MID(体检人信息表!B63,7,4)&amp;"年"&amp;MID(体检人信息表!B63,11,2)&amp;"月"&amp;MID(体检人信息表!B63,13,2)&amp;"日"</f>
        <v>2006年11月26日</v>
      </c>
      <c r="C63" s="8" t="str">
        <f>IF(MOD(MID(体检人信息表!B63,17,1)/2,1),"男","女")</f>
        <v>女</v>
      </c>
      <c r="D63" s="9">
        <v>184</v>
      </c>
      <c r="E63" s="9">
        <v>69.599999999999994</v>
      </c>
      <c r="F63" s="9">
        <v>5</v>
      </c>
      <c r="G63" s="10">
        <v>5</v>
      </c>
    </row>
    <row r="64" spans="1:7" ht="18.75" thickTop="1" thickBot="1" x14ac:dyDescent="0.2">
      <c r="A64" s="7" t="s">
        <v>65</v>
      </c>
      <c r="B64" s="8" t="str">
        <f>MID(体检人信息表!B64,7,4)&amp;"年"&amp;MID(体检人信息表!B64,11,2)&amp;"月"&amp;MID(体检人信息表!B64,13,2)&amp;"日"</f>
        <v>2006年05月11日</v>
      </c>
      <c r="C64" s="8" t="str">
        <f>IF(MOD(MID(体检人信息表!B64,17,1)/2,1),"男","女")</f>
        <v>女</v>
      </c>
      <c r="D64" s="9">
        <v>165</v>
      </c>
      <c r="E64" s="9">
        <v>56</v>
      </c>
      <c r="F64" s="9">
        <v>5.0999999999999996</v>
      </c>
      <c r="G64" s="10">
        <v>5.0999999999999996</v>
      </c>
    </row>
    <row r="65" spans="1:7" ht="18.75" thickTop="1" thickBot="1" x14ac:dyDescent="0.2">
      <c r="A65" s="7" t="s">
        <v>66</v>
      </c>
      <c r="B65" s="8" t="str">
        <f>MID(体检人信息表!B65,7,4)&amp;"年"&amp;MID(体检人信息表!B65,11,2)&amp;"月"&amp;MID(体检人信息表!B65,13,2)&amp;"日"</f>
        <v>2005年09月16日</v>
      </c>
      <c r="C65" s="8" t="str">
        <f>IF(MOD(MID(体检人信息表!B65,17,1)/2,1),"男","女")</f>
        <v>女</v>
      </c>
      <c r="D65" s="9">
        <v>145</v>
      </c>
      <c r="E65" s="9">
        <v>45</v>
      </c>
      <c r="F65" s="9">
        <v>4.2</v>
      </c>
      <c r="G65" s="10">
        <v>4.3</v>
      </c>
    </row>
    <row r="66" spans="1:7" ht="18.75" thickTop="1" thickBot="1" x14ac:dyDescent="0.2">
      <c r="A66" s="11" t="s">
        <v>67</v>
      </c>
      <c r="B66" s="12" t="str">
        <f>MID(体检人信息表!B66,7,4)&amp;"年"&amp;MID(体检人信息表!B66,11,2)&amp;"月"&amp;MID(体检人信息表!B66,13,2)&amp;"日"</f>
        <v>2004年12月02日</v>
      </c>
      <c r="C66" s="12" t="str">
        <f>IF(MOD(MID(体检人信息表!B66,17,1)/2,1),"男","女")</f>
        <v>男</v>
      </c>
      <c r="D66" s="13">
        <v>179</v>
      </c>
      <c r="E66" s="13">
        <v>68.599999999999994</v>
      </c>
      <c r="F66" s="13">
        <v>5</v>
      </c>
      <c r="G66" s="14">
        <v>5</v>
      </c>
    </row>
    <row r="67" spans="1:7" ht="14.25" thickTop="1" x14ac:dyDescent="0.15"/>
  </sheetData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useFirstPageNumber="1" r:id="rId1"/>
  <headerFooter>
    <oddHeader>&amp;R&amp;10体检表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zoomScaleNormal="100" workbookViewId="0">
      <selection activeCell="B66" sqref="B66"/>
    </sheetView>
  </sheetViews>
  <sheetFormatPr defaultRowHeight="13.5" x14ac:dyDescent="0.15"/>
  <cols>
    <col min="2" max="2" width="39.5" style="2" customWidth="1"/>
  </cols>
  <sheetData>
    <row r="1" spans="1:2" x14ac:dyDescent="0.15">
      <c r="A1" t="s">
        <v>2</v>
      </c>
      <c r="B1" s="2" t="s">
        <v>70</v>
      </c>
    </row>
    <row r="2" spans="1:2" x14ac:dyDescent="0.15">
      <c r="A2" t="s">
        <v>3</v>
      </c>
      <c r="B2" s="2" t="s">
        <v>71</v>
      </c>
    </row>
    <row r="3" spans="1:2" x14ac:dyDescent="0.15">
      <c r="A3" t="s">
        <v>4</v>
      </c>
      <c r="B3" s="2" t="s">
        <v>72</v>
      </c>
    </row>
    <row r="4" spans="1:2" x14ac:dyDescent="0.15">
      <c r="A4" t="s">
        <v>5</v>
      </c>
      <c r="B4" s="2" t="s">
        <v>73</v>
      </c>
    </row>
    <row r="5" spans="1:2" x14ac:dyDescent="0.15">
      <c r="A5" t="s">
        <v>6</v>
      </c>
      <c r="B5" s="2" t="s">
        <v>74</v>
      </c>
    </row>
    <row r="6" spans="1:2" x14ac:dyDescent="0.15">
      <c r="A6" t="s">
        <v>7</v>
      </c>
      <c r="B6" s="2" t="s">
        <v>75</v>
      </c>
    </row>
    <row r="7" spans="1:2" x14ac:dyDescent="0.15">
      <c r="A7" t="s">
        <v>8</v>
      </c>
      <c r="B7" s="2" t="s">
        <v>76</v>
      </c>
    </row>
    <row r="8" spans="1:2" x14ac:dyDescent="0.15">
      <c r="A8" t="s">
        <v>9</v>
      </c>
      <c r="B8" s="2" t="s">
        <v>77</v>
      </c>
    </row>
    <row r="9" spans="1:2" x14ac:dyDescent="0.15">
      <c r="A9" t="s">
        <v>10</v>
      </c>
      <c r="B9" s="2" t="s">
        <v>78</v>
      </c>
    </row>
    <row r="10" spans="1:2" x14ac:dyDescent="0.15">
      <c r="A10" t="s">
        <v>11</v>
      </c>
      <c r="B10" s="2" t="s">
        <v>79</v>
      </c>
    </row>
    <row r="11" spans="1:2" x14ac:dyDescent="0.15">
      <c r="A11" t="s">
        <v>12</v>
      </c>
      <c r="B11" s="2" t="s">
        <v>80</v>
      </c>
    </row>
    <row r="12" spans="1:2" x14ac:dyDescent="0.15">
      <c r="A12" t="s">
        <v>13</v>
      </c>
      <c r="B12" s="2" t="s">
        <v>81</v>
      </c>
    </row>
    <row r="13" spans="1:2" x14ac:dyDescent="0.15">
      <c r="A13" t="s">
        <v>14</v>
      </c>
      <c r="B13" s="2" t="s">
        <v>82</v>
      </c>
    </row>
    <row r="14" spans="1:2" x14ac:dyDescent="0.15">
      <c r="A14" t="s">
        <v>15</v>
      </c>
      <c r="B14" s="2" t="s">
        <v>83</v>
      </c>
    </row>
    <row r="15" spans="1:2" x14ac:dyDescent="0.15">
      <c r="A15" t="s">
        <v>16</v>
      </c>
      <c r="B15" s="2" t="s">
        <v>84</v>
      </c>
    </row>
    <row r="16" spans="1:2" x14ac:dyDescent="0.15">
      <c r="A16" t="s">
        <v>17</v>
      </c>
      <c r="B16" s="2" t="s">
        <v>85</v>
      </c>
    </row>
    <row r="17" spans="1:2" x14ac:dyDescent="0.15">
      <c r="A17" t="s">
        <v>18</v>
      </c>
      <c r="B17" s="2" t="s">
        <v>86</v>
      </c>
    </row>
    <row r="18" spans="1:2" x14ac:dyDescent="0.15">
      <c r="A18" t="s">
        <v>19</v>
      </c>
      <c r="B18" s="2" t="s">
        <v>87</v>
      </c>
    </row>
    <row r="19" spans="1:2" x14ac:dyDescent="0.15">
      <c r="A19" t="s">
        <v>20</v>
      </c>
      <c r="B19" s="2" t="s">
        <v>88</v>
      </c>
    </row>
    <row r="20" spans="1:2" x14ac:dyDescent="0.15">
      <c r="A20" t="s">
        <v>21</v>
      </c>
      <c r="B20" s="2" t="s">
        <v>89</v>
      </c>
    </row>
    <row r="21" spans="1:2" x14ac:dyDescent="0.15">
      <c r="A21" t="s">
        <v>22</v>
      </c>
      <c r="B21" s="2" t="s">
        <v>90</v>
      </c>
    </row>
    <row r="22" spans="1:2" x14ac:dyDescent="0.15">
      <c r="A22" t="s">
        <v>23</v>
      </c>
      <c r="B22" s="2" t="s">
        <v>91</v>
      </c>
    </row>
    <row r="23" spans="1:2" x14ac:dyDescent="0.15">
      <c r="A23" t="s">
        <v>24</v>
      </c>
      <c r="B23" s="2" t="s">
        <v>92</v>
      </c>
    </row>
    <row r="24" spans="1:2" x14ac:dyDescent="0.15">
      <c r="A24" t="s">
        <v>25</v>
      </c>
      <c r="B24" s="2" t="s">
        <v>93</v>
      </c>
    </row>
    <row r="25" spans="1:2" x14ac:dyDescent="0.15">
      <c r="A25" t="s">
        <v>26</v>
      </c>
      <c r="B25" s="2" t="s">
        <v>94</v>
      </c>
    </row>
    <row r="26" spans="1:2" x14ac:dyDescent="0.15">
      <c r="A26" t="s">
        <v>27</v>
      </c>
      <c r="B26" s="2" t="s">
        <v>95</v>
      </c>
    </row>
    <row r="27" spans="1:2" x14ac:dyDescent="0.15">
      <c r="A27" t="s">
        <v>28</v>
      </c>
      <c r="B27" s="2" t="s">
        <v>96</v>
      </c>
    </row>
    <row r="28" spans="1:2" x14ac:dyDescent="0.15">
      <c r="A28" t="s">
        <v>29</v>
      </c>
      <c r="B28" s="2" t="s">
        <v>97</v>
      </c>
    </row>
    <row r="29" spans="1:2" x14ac:dyDescent="0.15">
      <c r="A29" t="s">
        <v>30</v>
      </c>
      <c r="B29" s="2" t="s">
        <v>98</v>
      </c>
    </row>
    <row r="30" spans="1:2" x14ac:dyDescent="0.15">
      <c r="A30" t="s">
        <v>31</v>
      </c>
      <c r="B30" s="2" t="s">
        <v>99</v>
      </c>
    </row>
    <row r="31" spans="1:2" x14ac:dyDescent="0.15">
      <c r="A31" t="s">
        <v>32</v>
      </c>
      <c r="B31" s="2" t="s">
        <v>100</v>
      </c>
    </row>
    <row r="32" spans="1:2" x14ac:dyDescent="0.15">
      <c r="A32" t="s">
        <v>33</v>
      </c>
      <c r="B32" s="2" t="s">
        <v>101</v>
      </c>
    </row>
    <row r="33" spans="1:2" x14ac:dyDescent="0.15">
      <c r="A33" t="s">
        <v>34</v>
      </c>
      <c r="B33" s="2" t="s">
        <v>102</v>
      </c>
    </row>
    <row r="34" spans="1:2" x14ac:dyDescent="0.15">
      <c r="A34" t="s">
        <v>35</v>
      </c>
      <c r="B34" s="2" t="s">
        <v>103</v>
      </c>
    </row>
    <row r="35" spans="1:2" x14ac:dyDescent="0.15">
      <c r="A35" t="s">
        <v>36</v>
      </c>
      <c r="B35" s="2" t="s">
        <v>104</v>
      </c>
    </row>
    <row r="36" spans="1:2" x14ac:dyDescent="0.15">
      <c r="A36" t="s">
        <v>37</v>
      </c>
      <c r="B36" s="2" t="s">
        <v>105</v>
      </c>
    </row>
    <row r="37" spans="1:2" x14ac:dyDescent="0.15">
      <c r="A37" t="s">
        <v>38</v>
      </c>
      <c r="B37" s="2" t="s">
        <v>106</v>
      </c>
    </row>
    <row r="38" spans="1:2" x14ac:dyDescent="0.15">
      <c r="A38" t="s">
        <v>39</v>
      </c>
      <c r="B38" s="2" t="s">
        <v>107</v>
      </c>
    </row>
    <row r="39" spans="1:2" x14ac:dyDescent="0.15">
      <c r="A39" t="s">
        <v>40</v>
      </c>
      <c r="B39" s="2" t="s">
        <v>108</v>
      </c>
    </row>
    <row r="40" spans="1:2" x14ac:dyDescent="0.15">
      <c r="A40" t="s">
        <v>41</v>
      </c>
      <c r="B40" s="2" t="s">
        <v>109</v>
      </c>
    </row>
    <row r="41" spans="1:2" x14ac:dyDescent="0.15">
      <c r="A41" t="s">
        <v>42</v>
      </c>
      <c r="B41" s="2" t="s">
        <v>110</v>
      </c>
    </row>
    <row r="42" spans="1:2" x14ac:dyDescent="0.15">
      <c r="A42" t="s">
        <v>43</v>
      </c>
      <c r="B42" s="2" t="s">
        <v>111</v>
      </c>
    </row>
    <row r="43" spans="1:2" x14ac:dyDescent="0.15">
      <c r="A43" t="s">
        <v>44</v>
      </c>
      <c r="B43" s="2" t="s">
        <v>112</v>
      </c>
    </row>
    <row r="44" spans="1:2" x14ac:dyDescent="0.15">
      <c r="A44" t="s">
        <v>45</v>
      </c>
      <c r="B44" s="2" t="s">
        <v>113</v>
      </c>
    </row>
    <row r="45" spans="1:2" x14ac:dyDescent="0.15">
      <c r="A45" t="s">
        <v>46</v>
      </c>
      <c r="B45" s="2" t="s">
        <v>114</v>
      </c>
    </row>
    <row r="46" spans="1:2" x14ac:dyDescent="0.15">
      <c r="A46" t="s">
        <v>47</v>
      </c>
      <c r="B46" s="2" t="s">
        <v>115</v>
      </c>
    </row>
    <row r="47" spans="1:2" x14ac:dyDescent="0.15">
      <c r="A47" t="s">
        <v>48</v>
      </c>
      <c r="B47" s="2" t="s">
        <v>116</v>
      </c>
    </row>
    <row r="48" spans="1:2" x14ac:dyDescent="0.15">
      <c r="A48" t="s">
        <v>49</v>
      </c>
      <c r="B48" s="2" t="s">
        <v>117</v>
      </c>
    </row>
    <row r="49" spans="1:2" x14ac:dyDescent="0.15">
      <c r="A49" t="s">
        <v>50</v>
      </c>
      <c r="B49" s="2" t="s">
        <v>118</v>
      </c>
    </row>
    <row r="50" spans="1:2" x14ac:dyDescent="0.15">
      <c r="A50" t="s">
        <v>51</v>
      </c>
      <c r="B50" s="2" t="s">
        <v>119</v>
      </c>
    </row>
    <row r="51" spans="1:2" x14ac:dyDescent="0.15">
      <c r="A51" t="s">
        <v>52</v>
      </c>
      <c r="B51" s="2" t="s">
        <v>120</v>
      </c>
    </row>
    <row r="52" spans="1:2" x14ac:dyDescent="0.15">
      <c r="A52" t="s">
        <v>53</v>
      </c>
      <c r="B52" s="2" t="s">
        <v>121</v>
      </c>
    </row>
    <row r="53" spans="1:2" x14ac:dyDescent="0.15">
      <c r="A53" t="s">
        <v>54</v>
      </c>
      <c r="B53" s="2" t="s">
        <v>122</v>
      </c>
    </row>
    <row r="54" spans="1:2" x14ac:dyDescent="0.15">
      <c r="A54" t="s">
        <v>55</v>
      </c>
      <c r="B54" s="2" t="s">
        <v>123</v>
      </c>
    </row>
    <row r="55" spans="1:2" x14ac:dyDescent="0.15">
      <c r="A55" t="s">
        <v>56</v>
      </c>
      <c r="B55" s="2" t="s">
        <v>124</v>
      </c>
    </row>
    <row r="56" spans="1:2" x14ac:dyDescent="0.15">
      <c r="A56" t="s">
        <v>57</v>
      </c>
      <c r="B56" s="2" t="s">
        <v>125</v>
      </c>
    </row>
    <row r="57" spans="1:2" x14ac:dyDescent="0.15">
      <c r="A57" t="s">
        <v>58</v>
      </c>
      <c r="B57" s="2" t="s">
        <v>126</v>
      </c>
    </row>
    <row r="58" spans="1:2" x14ac:dyDescent="0.15">
      <c r="A58" t="s">
        <v>59</v>
      </c>
      <c r="B58" s="2" t="s">
        <v>127</v>
      </c>
    </row>
    <row r="59" spans="1:2" x14ac:dyDescent="0.15">
      <c r="A59" t="s">
        <v>60</v>
      </c>
      <c r="B59" s="2" t="s">
        <v>128</v>
      </c>
    </row>
    <row r="60" spans="1:2" x14ac:dyDescent="0.15">
      <c r="A60" t="s">
        <v>61</v>
      </c>
      <c r="B60" s="2" t="s">
        <v>129</v>
      </c>
    </row>
    <row r="61" spans="1:2" x14ac:dyDescent="0.15">
      <c r="A61" t="s">
        <v>62</v>
      </c>
      <c r="B61" s="2" t="s">
        <v>130</v>
      </c>
    </row>
    <row r="62" spans="1:2" x14ac:dyDescent="0.15">
      <c r="A62" t="s">
        <v>63</v>
      </c>
      <c r="B62" s="2" t="s">
        <v>131</v>
      </c>
    </row>
    <row r="63" spans="1:2" x14ac:dyDescent="0.15">
      <c r="A63" t="s">
        <v>64</v>
      </c>
      <c r="B63" s="2" t="s">
        <v>132</v>
      </c>
    </row>
    <row r="64" spans="1:2" x14ac:dyDescent="0.15">
      <c r="A64" t="s">
        <v>65</v>
      </c>
      <c r="B64" s="2" t="s">
        <v>133</v>
      </c>
    </row>
    <row r="65" spans="1:2" x14ac:dyDescent="0.15">
      <c r="A65" t="s">
        <v>66</v>
      </c>
      <c r="B65" s="2" t="s">
        <v>134</v>
      </c>
    </row>
    <row r="66" spans="1:2" x14ac:dyDescent="0.15">
      <c r="A66" t="s">
        <v>67</v>
      </c>
      <c r="B66" s="2" t="s">
        <v>135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69"/>
  <sheetViews>
    <sheetView zoomScaleNormal="100" workbookViewId="0">
      <selection activeCell="A3" sqref="A3:E68"/>
    </sheetView>
  </sheetViews>
  <sheetFormatPr defaultRowHeight="13.5" x14ac:dyDescent="0.15"/>
  <cols>
    <col min="1" max="1" width="7.125" bestFit="1" customWidth="1"/>
    <col min="2" max="2" width="13" bestFit="1" customWidth="1"/>
    <col min="3" max="3" width="11.125" bestFit="1" customWidth="1"/>
  </cols>
  <sheetData>
    <row r="1" spans="1:5" x14ac:dyDescent="0.15">
      <c r="D1" t="s">
        <v>140</v>
      </c>
      <c r="E1" t="s">
        <v>141</v>
      </c>
    </row>
    <row r="2" spans="1:5" ht="14.25" thickBot="1" x14ac:dyDescent="0.2">
      <c r="D2" t="s">
        <v>142</v>
      </c>
      <c r="E2" t="s">
        <v>142</v>
      </c>
    </row>
    <row r="3" spans="1:5" ht="15" thickTop="1" thickBot="1" x14ac:dyDescent="0.2">
      <c r="A3" s="15" t="s">
        <v>2</v>
      </c>
      <c r="B3" s="15" t="s">
        <v>68</v>
      </c>
      <c r="C3" s="15" t="s">
        <v>69</v>
      </c>
      <c r="D3" s="15" t="s">
        <v>0</v>
      </c>
      <c r="E3" s="15" t="s">
        <v>1</v>
      </c>
    </row>
    <row r="4" spans="1:5" ht="15" thickTop="1" thickBot="1" x14ac:dyDescent="0.2">
      <c r="A4" s="15" t="s">
        <v>20</v>
      </c>
      <c r="B4" s="16">
        <v>168</v>
      </c>
      <c r="C4" s="16">
        <v>74</v>
      </c>
      <c r="D4" s="16">
        <v>5</v>
      </c>
      <c r="E4" s="16">
        <v>5</v>
      </c>
    </row>
    <row r="5" spans="1:5" hidden="1" x14ac:dyDescent="0.15">
      <c r="A5" t="s">
        <v>4</v>
      </c>
      <c r="B5" s="1">
        <v>182</v>
      </c>
      <c r="C5" s="1">
        <v>71.3</v>
      </c>
      <c r="D5" s="1">
        <v>4.2</v>
      </c>
      <c r="E5" s="1">
        <v>4.3</v>
      </c>
    </row>
    <row r="6" spans="1:5" ht="15" thickTop="1" thickBot="1" x14ac:dyDescent="0.2">
      <c r="A6" s="15" t="s">
        <v>59</v>
      </c>
      <c r="B6" s="16">
        <v>175</v>
      </c>
      <c r="C6" s="16">
        <v>71.5</v>
      </c>
      <c r="D6" s="16">
        <v>5</v>
      </c>
      <c r="E6" s="16">
        <v>5</v>
      </c>
    </row>
    <row r="7" spans="1:5" hidden="1" x14ac:dyDescent="0.15">
      <c r="A7" t="s">
        <v>6</v>
      </c>
      <c r="B7" s="1">
        <v>165</v>
      </c>
      <c r="C7" s="1">
        <v>60</v>
      </c>
      <c r="D7" s="1">
        <v>4.4000000000000004</v>
      </c>
      <c r="E7" s="1">
        <v>4.5</v>
      </c>
    </row>
    <row r="8" spans="1:5" hidden="1" x14ac:dyDescent="0.15">
      <c r="A8" t="s">
        <v>7</v>
      </c>
      <c r="B8" s="1">
        <v>182</v>
      </c>
      <c r="C8" s="1">
        <v>71.3</v>
      </c>
      <c r="D8" s="1">
        <v>4.7</v>
      </c>
      <c r="E8" s="1">
        <v>4.7</v>
      </c>
    </row>
    <row r="9" spans="1:5" hidden="1" x14ac:dyDescent="0.15">
      <c r="A9" t="s">
        <v>8</v>
      </c>
      <c r="B9" s="1">
        <v>180</v>
      </c>
      <c r="C9" s="1">
        <v>70.599999999999994</v>
      </c>
      <c r="D9" s="1">
        <v>4.8</v>
      </c>
      <c r="E9" s="1">
        <v>4.9000000000000004</v>
      </c>
    </row>
    <row r="10" spans="1:5" ht="15" thickTop="1" thickBot="1" x14ac:dyDescent="0.2">
      <c r="A10" s="15" t="s">
        <v>41</v>
      </c>
      <c r="B10" s="16">
        <v>174</v>
      </c>
      <c r="C10" s="16">
        <v>64</v>
      </c>
      <c r="D10" s="16">
        <v>5.0999999999999996</v>
      </c>
      <c r="E10" s="16">
        <v>5.0999999999999996</v>
      </c>
    </row>
    <row r="11" spans="1:5" ht="15" thickTop="1" thickBot="1" x14ac:dyDescent="0.2">
      <c r="A11" s="15" t="s">
        <v>53</v>
      </c>
      <c r="B11" s="16">
        <v>168</v>
      </c>
      <c r="C11" s="16">
        <v>49</v>
      </c>
      <c r="D11" s="16">
        <v>5</v>
      </c>
      <c r="E11" s="16">
        <v>5</v>
      </c>
    </row>
    <row r="12" spans="1:5" ht="15" thickTop="1" thickBot="1" x14ac:dyDescent="0.2">
      <c r="A12" s="15" t="s">
        <v>14</v>
      </c>
      <c r="B12" s="16">
        <v>188</v>
      </c>
      <c r="C12" s="16">
        <v>79</v>
      </c>
      <c r="D12" s="16">
        <v>5</v>
      </c>
      <c r="E12" s="16">
        <v>5.0999999999999996</v>
      </c>
    </row>
    <row r="13" spans="1:5" ht="15" thickTop="1" thickBot="1" x14ac:dyDescent="0.2">
      <c r="A13" s="15" t="s">
        <v>33</v>
      </c>
      <c r="B13" s="16">
        <v>182</v>
      </c>
      <c r="C13" s="16">
        <v>70.599999999999994</v>
      </c>
      <c r="D13" s="16">
        <v>5</v>
      </c>
      <c r="E13" s="16">
        <v>5</v>
      </c>
    </row>
    <row r="14" spans="1:5" hidden="1" x14ac:dyDescent="0.15">
      <c r="A14" t="s">
        <v>13</v>
      </c>
      <c r="B14" s="1">
        <v>183</v>
      </c>
      <c r="C14" s="1">
        <v>78</v>
      </c>
      <c r="D14" s="1">
        <v>5</v>
      </c>
      <c r="E14" s="1">
        <v>4.9000000000000004</v>
      </c>
    </row>
    <row r="15" spans="1:5" ht="15" thickTop="1" thickBot="1" x14ac:dyDescent="0.2">
      <c r="A15" s="15" t="s">
        <v>49</v>
      </c>
      <c r="B15" s="16">
        <v>174</v>
      </c>
      <c r="C15" s="16">
        <v>65</v>
      </c>
      <c r="D15" s="16">
        <v>5.0999999999999996</v>
      </c>
      <c r="E15" s="16">
        <v>5.0999999999999996</v>
      </c>
    </row>
    <row r="16" spans="1:5" hidden="1" x14ac:dyDescent="0.15">
      <c r="A16" t="s">
        <v>15</v>
      </c>
      <c r="B16" s="1">
        <v>171</v>
      </c>
      <c r="C16" s="1">
        <v>60</v>
      </c>
      <c r="D16" s="1">
        <v>4.4000000000000004</v>
      </c>
      <c r="E16" s="1">
        <v>4.5</v>
      </c>
    </row>
    <row r="17" spans="1:5" hidden="1" x14ac:dyDescent="0.15">
      <c r="A17" t="s">
        <v>16</v>
      </c>
      <c r="B17" s="1">
        <v>174</v>
      </c>
      <c r="C17" s="1">
        <v>75</v>
      </c>
      <c r="D17" s="1">
        <v>4.7</v>
      </c>
      <c r="E17" s="1">
        <v>4.7</v>
      </c>
    </row>
    <row r="18" spans="1:5" hidden="1" x14ac:dyDescent="0.15">
      <c r="A18" t="s">
        <v>17</v>
      </c>
      <c r="B18" s="1">
        <v>167</v>
      </c>
      <c r="C18" s="1">
        <v>68</v>
      </c>
      <c r="D18" s="1">
        <v>4.8</v>
      </c>
      <c r="E18" s="1">
        <v>4.9000000000000004</v>
      </c>
    </row>
    <row r="19" spans="1:5" ht="15" thickTop="1" thickBot="1" x14ac:dyDescent="0.2">
      <c r="A19" s="15" t="s">
        <v>40</v>
      </c>
      <c r="B19" s="16">
        <v>158</v>
      </c>
      <c r="C19" s="16">
        <v>52.6</v>
      </c>
      <c r="D19" s="16">
        <v>5</v>
      </c>
      <c r="E19" s="16">
        <v>5</v>
      </c>
    </row>
    <row r="20" spans="1:5" ht="15" thickTop="1" thickBot="1" x14ac:dyDescent="0.2">
      <c r="A20" s="15" t="s">
        <v>11</v>
      </c>
      <c r="B20" s="16">
        <v>176</v>
      </c>
      <c r="C20" s="16">
        <v>78</v>
      </c>
      <c r="D20" s="16">
        <v>5</v>
      </c>
      <c r="E20" s="16">
        <v>5</v>
      </c>
    </row>
    <row r="21" spans="1:5" ht="15" thickTop="1" thickBot="1" x14ac:dyDescent="0.2">
      <c r="A21" s="15" t="s">
        <v>64</v>
      </c>
      <c r="B21" s="16">
        <v>184</v>
      </c>
      <c r="C21" s="16">
        <v>69.599999999999994</v>
      </c>
      <c r="D21" s="16">
        <v>5</v>
      </c>
      <c r="E21" s="16">
        <v>5</v>
      </c>
    </row>
    <row r="22" spans="1:5" ht="15" thickTop="1" thickBot="1" x14ac:dyDescent="0.2">
      <c r="A22" s="15" t="s">
        <v>10</v>
      </c>
      <c r="B22" s="16">
        <v>164</v>
      </c>
      <c r="C22" s="16">
        <v>65</v>
      </c>
      <c r="D22" s="16">
        <v>5.0999999999999996</v>
      </c>
      <c r="E22" s="16">
        <v>5.0999999999999996</v>
      </c>
    </row>
    <row r="23" spans="1:5" hidden="1" x14ac:dyDescent="0.15">
      <c r="A23" t="s">
        <v>22</v>
      </c>
      <c r="B23" s="1">
        <v>182</v>
      </c>
      <c r="C23" s="1">
        <v>70</v>
      </c>
      <c r="D23" s="1">
        <v>5</v>
      </c>
      <c r="E23" s="1">
        <v>4.9000000000000004</v>
      </c>
    </row>
    <row r="24" spans="1:5" ht="15" thickTop="1" thickBot="1" x14ac:dyDescent="0.2">
      <c r="A24" s="15" t="s">
        <v>50</v>
      </c>
      <c r="B24" s="16">
        <v>153</v>
      </c>
      <c r="C24" s="16">
        <v>49</v>
      </c>
      <c r="D24" s="16">
        <v>5</v>
      </c>
      <c r="E24" s="16">
        <v>5</v>
      </c>
    </row>
    <row r="25" spans="1:5" ht="15" thickTop="1" thickBot="1" x14ac:dyDescent="0.2">
      <c r="A25" s="15" t="s">
        <v>62</v>
      </c>
      <c r="B25" s="16">
        <v>178</v>
      </c>
      <c r="C25" s="16">
        <v>58</v>
      </c>
      <c r="D25" s="16">
        <v>5</v>
      </c>
      <c r="E25" s="16">
        <v>5.0999999999999996</v>
      </c>
    </row>
    <row r="26" spans="1:5" ht="15" thickTop="1" thickBot="1" x14ac:dyDescent="0.2">
      <c r="A26" s="15" t="s">
        <v>48</v>
      </c>
      <c r="B26" s="16">
        <v>156</v>
      </c>
      <c r="C26" s="16">
        <v>48</v>
      </c>
      <c r="D26" s="16">
        <v>5</v>
      </c>
      <c r="E26" s="16">
        <v>5</v>
      </c>
    </row>
    <row r="27" spans="1:5" ht="15" thickTop="1" thickBot="1" x14ac:dyDescent="0.2">
      <c r="A27" s="15" t="s">
        <v>58</v>
      </c>
      <c r="B27" s="16">
        <v>176</v>
      </c>
      <c r="C27" s="16">
        <v>71.3</v>
      </c>
      <c r="D27" s="16">
        <v>5.0999999999999996</v>
      </c>
      <c r="E27" s="16">
        <v>5.0999999999999996</v>
      </c>
    </row>
    <row r="28" spans="1:5" ht="15" thickTop="1" thickBot="1" x14ac:dyDescent="0.2">
      <c r="A28" s="15" t="s">
        <v>39</v>
      </c>
      <c r="B28" s="16">
        <v>174</v>
      </c>
      <c r="C28" s="16">
        <v>51.3</v>
      </c>
      <c r="D28" s="16">
        <v>5</v>
      </c>
      <c r="E28" s="16">
        <v>5.0999999999999996</v>
      </c>
    </row>
    <row r="29" spans="1:5" hidden="1" x14ac:dyDescent="0.15">
      <c r="A29" t="s">
        <v>28</v>
      </c>
      <c r="B29" s="1">
        <v>160</v>
      </c>
      <c r="C29" s="1">
        <v>49</v>
      </c>
      <c r="D29" s="1">
        <v>4.9000000000000004</v>
      </c>
      <c r="E29" s="1">
        <v>4.9000000000000004</v>
      </c>
    </row>
    <row r="30" spans="1:5" hidden="1" x14ac:dyDescent="0.15">
      <c r="A30" t="s">
        <v>29</v>
      </c>
      <c r="B30" s="1">
        <v>171</v>
      </c>
      <c r="C30" s="1">
        <v>60</v>
      </c>
      <c r="D30" s="1">
        <v>4.5</v>
      </c>
      <c r="E30" s="1">
        <v>4.5</v>
      </c>
    </row>
    <row r="31" spans="1:5" hidden="1" x14ac:dyDescent="0.15">
      <c r="A31" t="s">
        <v>30</v>
      </c>
      <c r="B31" s="1">
        <v>170</v>
      </c>
      <c r="C31" s="1">
        <v>61</v>
      </c>
      <c r="D31" s="1">
        <v>4.4000000000000004</v>
      </c>
      <c r="E31" s="1">
        <v>4.5</v>
      </c>
    </row>
    <row r="32" spans="1:5" hidden="1" x14ac:dyDescent="0.15">
      <c r="A32" t="s">
        <v>31</v>
      </c>
      <c r="B32" s="1">
        <v>180</v>
      </c>
      <c r="C32" s="1">
        <v>71.5</v>
      </c>
      <c r="D32" s="1">
        <v>4.7</v>
      </c>
      <c r="E32" s="1">
        <v>4.7</v>
      </c>
    </row>
    <row r="33" spans="1:5" hidden="1" x14ac:dyDescent="0.15">
      <c r="A33" t="s">
        <v>32</v>
      </c>
      <c r="B33" s="1">
        <v>181</v>
      </c>
      <c r="C33" s="1">
        <v>71.3</v>
      </c>
      <c r="D33" s="1">
        <v>4.8</v>
      </c>
      <c r="E33" s="1">
        <v>4.9000000000000004</v>
      </c>
    </row>
    <row r="34" spans="1:5" ht="15" thickTop="1" thickBot="1" x14ac:dyDescent="0.2">
      <c r="A34" s="15" t="s">
        <v>18</v>
      </c>
      <c r="B34" s="16">
        <v>167</v>
      </c>
      <c r="C34" s="16">
        <v>60</v>
      </c>
      <c r="D34" s="16">
        <v>5</v>
      </c>
      <c r="E34" s="16">
        <v>5</v>
      </c>
    </row>
    <row r="35" spans="1:5" hidden="1" x14ac:dyDescent="0.15">
      <c r="A35" t="s">
        <v>34</v>
      </c>
      <c r="B35" s="1">
        <v>181</v>
      </c>
      <c r="C35" s="1">
        <v>72.599999999999994</v>
      </c>
      <c r="D35" s="1">
        <v>4.4000000000000004</v>
      </c>
      <c r="E35" s="1">
        <v>4.5</v>
      </c>
    </row>
    <row r="36" spans="1:5" hidden="1" x14ac:dyDescent="0.15">
      <c r="A36" t="s">
        <v>35</v>
      </c>
      <c r="B36" s="1">
        <v>183</v>
      </c>
      <c r="C36" s="1">
        <v>69.3</v>
      </c>
      <c r="D36" s="1">
        <v>4.7</v>
      </c>
      <c r="E36" s="1">
        <v>4.7</v>
      </c>
    </row>
    <row r="37" spans="1:5" hidden="1" x14ac:dyDescent="0.15">
      <c r="A37" t="s">
        <v>36</v>
      </c>
      <c r="B37" s="1">
        <v>165</v>
      </c>
      <c r="C37" s="1">
        <v>58</v>
      </c>
      <c r="D37" s="1">
        <v>4.8</v>
      </c>
      <c r="E37" s="1">
        <v>4.9000000000000004</v>
      </c>
    </row>
    <row r="38" spans="1:5" ht="15" thickTop="1" thickBot="1" x14ac:dyDescent="0.2">
      <c r="A38" s="15" t="s">
        <v>12</v>
      </c>
      <c r="B38" s="16">
        <v>179</v>
      </c>
      <c r="C38" s="16">
        <v>71.599999999999994</v>
      </c>
      <c r="D38" s="16">
        <v>5.0999999999999996</v>
      </c>
      <c r="E38" s="16">
        <v>5.0999999999999996</v>
      </c>
    </row>
    <row r="39" spans="1:5" hidden="1" x14ac:dyDescent="0.15">
      <c r="A39" t="s">
        <v>38</v>
      </c>
      <c r="B39" s="1">
        <v>166</v>
      </c>
      <c r="C39" s="1">
        <v>48</v>
      </c>
      <c r="D39" s="1">
        <v>5</v>
      </c>
      <c r="E39" s="1">
        <v>4.9000000000000004</v>
      </c>
    </row>
    <row r="40" spans="1:5" ht="15" thickTop="1" thickBot="1" x14ac:dyDescent="0.2">
      <c r="A40" s="15" t="s">
        <v>60</v>
      </c>
      <c r="B40" s="16">
        <v>176</v>
      </c>
      <c r="C40" s="16">
        <v>69.5</v>
      </c>
      <c r="D40" s="16">
        <v>5.0999999999999996</v>
      </c>
      <c r="E40" s="16">
        <v>5.0999999999999996</v>
      </c>
    </row>
    <row r="41" spans="1:5" ht="15" thickTop="1" thickBot="1" x14ac:dyDescent="0.2">
      <c r="A41" s="15" t="s">
        <v>25</v>
      </c>
      <c r="B41" s="16">
        <v>175</v>
      </c>
      <c r="C41" s="16">
        <v>50</v>
      </c>
      <c r="D41" s="16">
        <v>5.0999999999999996</v>
      </c>
      <c r="E41" s="16">
        <v>5.0999999999999996</v>
      </c>
    </row>
    <row r="42" spans="1:5" ht="15" thickTop="1" thickBot="1" x14ac:dyDescent="0.2">
      <c r="A42" s="15" t="s">
        <v>65</v>
      </c>
      <c r="B42" s="16">
        <v>165</v>
      </c>
      <c r="C42" s="16">
        <v>56</v>
      </c>
      <c r="D42" s="16">
        <v>5.0999999999999996</v>
      </c>
      <c r="E42" s="16">
        <v>5.0999999999999996</v>
      </c>
    </row>
    <row r="43" spans="1:5" ht="15" thickTop="1" thickBot="1" x14ac:dyDescent="0.2">
      <c r="A43" s="15" t="s">
        <v>51</v>
      </c>
      <c r="B43" s="16">
        <v>154</v>
      </c>
      <c r="C43" s="16">
        <v>47.6</v>
      </c>
      <c r="D43" s="16">
        <v>5.0999999999999996</v>
      </c>
      <c r="E43" s="16">
        <v>5.0999999999999996</v>
      </c>
    </row>
    <row r="44" spans="1:5" ht="15" thickTop="1" thickBot="1" x14ac:dyDescent="0.2">
      <c r="A44" s="15" t="s">
        <v>9</v>
      </c>
      <c r="B44" s="16">
        <v>178</v>
      </c>
      <c r="C44" s="16">
        <v>79</v>
      </c>
      <c r="D44" s="16">
        <v>5</v>
      </c>
      <c r="E44" s="16">
        <v>5</v>
      </c>
    </row>
    <row r="45" spans="1:5" hidden="1" x14ac:dyDescent="0.15">
      <c r="A45" t="s">
        <v>44</v>
      </c>
      <c r="B45" s="1">
        <v>178</v>
      </c>
      <c r="C45" s="1">
        <v>69</v>
      </c>
      <c r="D45" s="1">
        <v>4.9000000000000004</v>
      </c>
      <c r="E45" s="1">
        <v>4.9000000000000004</v>
      </c>
    </row>
    <row r="46" spans="1:5" hidden="1" x14ac:dyDescent="0.15">
      <c r="A46" t="s">
        <v>45</v>
      </c>
      <c r="B46" s="1">
        <v>179</v>
      </c>
      <c r="C46" s="1">
        <v>58.6</v>
      </c>
      <c r="D46" s="1">
        <v>4.5</v>
      </c>
      <c r="E46" s="1">
        <v>4.5</v>
      </c>
    </row>
    <row r="47" spans="1:5" hidden="1" x14ac:dyDescent="0.15">
      <c r="A47" t="s">
        <v>46</v>
      </c>
      <c r="B47" s="1">
        <v>180</v>
      </c>
      <c r="C47" s="1">
        <v>66.8</v>
      </c>
      <c r="D47" s="1">
        <v>4.7</v>
      </c>
      <c r="E47" s="1">
        <v>4.7</v>
      </c>
    </row>
    <row r="48" spans="1:5" hidden="1" x14ac:dyDescent="0.15">
      <c r="A48" t="s">
        <v>47</v>
      </c>
      <c r="B48" s="1">
        <v>163</v>
      </c>
      <c r="C48" s="1">
        <v>54</v>
      </c>
      <c r="D48" s="1">
        <v>4.9000000000000004</v>
      </c>
      <c r="E48" s="1">
        <v>4.9000000000000004</v>
      </c>
    </row>
    <row r="49" spans="1:5" ht="15" thickTop="1" thickBot="1" x14ac:dyDescent="0.2">
      <c r="A49" s="15" t="s">
        <v>42</v>
      </c>
      <c r="B49" s="16">
        <v>166</v>
      </c>
      <c r="C49" s="16">
        <v>54</v>
      </c>
      <c r="D49" s="16">
        <v>5</v>
      </c>
      <c r="E49" s="16">
        <v>5</v>
      </c>
    </row>
    <row r="50" spans="1:5" ht="15" thickTop="1" thickBot="1" x14ac:dyDescent="0.2">
      <c r="A50" s="15" t="s">
        <v>23</v>
      </c>
      <c r="B50" s="16">
        <v>175</v>
      </c>
      <c r="C50" s="16">
        <v>65</v>
      </c>
      <c r="D50" s="16">
        <v>5</v>
      </c>
      <c r="E50" s="16">
        <v>5.0999999999999996</v>
      </c>
    </row>
    <row r="51" spans="1:5" ht="15" thickTop="1" thickBot="1" x14ac:dyDescent="0.2">
      <c r="A51" s="15" t="s">
        <v>27</v>
      </c>
      <c r="B51" s="16">
        <v>161</v>
      </c>
      <c r="C51" s="16">
        <v>50</v>
      </c>
      <c r="D51" s="16">
        <v>5.0999999999999996</v>
      </c>
      <c r="E51" s="16">
        <v>5.0999999999999996</v>
      </c>
    </row>
    <row r="52" spans="1:5" ht="15" thickTop="1" thickBot="1" x14ac:dyDescent="0.2">
      <c r="A52" s="15" t="s">
        <v>5</v>
      </c>
      <c r="B52" s="16">
        <v>171</v>
      </c>
      <c r="C52" s="16">
        <v>75</v>
      </c>
      <c r="D52" s="16">
        <v>5</v>
      </c>
      <c r="E52" s="16">
        <v>5</v>
      </c>
    </row>
    <row r="53" spans="1:5" hidden="1" x14ac:dyDescent="0.15">
      <c r="A53" t="s">
        <v>52</v>
      </c>
      <c r="B53" s="1">
        <v>164</v>
      </c>
      <c r="C53" s="1">
        <v>50</v>
      </c>
      <c r="D53" s="1">
        <v>4.2</v>
      </c>
      <c r="E53" s="1">
        <v>4.3</v>
      </c>
    </row>
    <row r="54" spans="1:5" ht="15" thickTop="1" thickBot="1" x14ac:dyDescent="0.2">
      <c r="A54" s="15" t="s">
        <v>43</v>
      </c>
      <c r="B54" s="16">
        <v>180</v>
      </c>
      <c r="C54" s="16">
        <v>74</v>
      </c>
      <c r="D54" s="16">
        <v>5.0999999999999996</v>
      </c>
      <c r="E54" s="16">
        <v>5.0999999999999996</v>
      </c>
    </row>
    <row r="55" spans="1:5" hidden="1" x14ac:dyDescent="0.15">
      <c r="A55" t="s">
        <v>54</v>
      </c>
      <c r="B55" s="1">
        <v>187</v>
      </c>
      <c r="C55" s="1">
        <v>60</v>
      </c>
      <c r="D55" s="1">
        <v>4.4000000000000004</v>
      </c>
      <c r="E55" s="1">
        <v>4.5</v>
      </c>
    </row>
    <row r="56" spans="1:5" hidden="1" x14ac:dyDescent="0.15">
      <c r="A56" t="s">
        <v>55</v>
      </c>
      <c r="B56" s="1">
        <v>165</v>
      </c>
      <c r="C56" s="1">
        <v>45.9</v>
      </c>
      <c r="D56" s="1">
        <v>4.7</v>
      </c>
      <c r="E56" s="1">
        <v>4.7</v>
      </c>
    </row>
    <row r="57" spans="1:5" hidden="1" x14ac:dyDescent="0.15">
      <c r="A57" t="s">
        <v>56</v>
      </c>
      <c r="B57" s="1">
        <v>156</v>
      </c>
      <c r="C57" s="1">
        <v>48.6</v>
      </c>
      <c r="D57" s="1">
        <v>4.8</v>
      </c>
      <c r="E57" s="1">
        <v>4.9000000000000004</v>
      </c>
    </row>
    <row r="58" spans="1:5" ht="15" thickTop="1" thickBot="1" x14ac:dyDescent="0.2">
      <c r="A58" s="15" t="s">
        <v>21</v>
      </c>
      <c r="B58" s="16">
        <v>181</v>
      </c>
      <c r="C58" s="16">
        <v>76</v>
      </c>
      <c r="D58" s="16">
        <v>5.0999999999999996</v>
      </c>
      <c r="E58" s="16">
        <v>5.0999999999999996</v>
      </c>
    </row>
    <row r="59" spans="1:5" ht="15" thickTop="1" thickBot="1" x14ac:dyDescent="0.2">
      <c r="A59" s="15" t="s">
        <v>19</v>
      </c>
      <c r="B59" s="16">
        <v>187</v>
      </c>
      <c r="C59" s="16">
        <v>74</v>
      </c>
      <c r="D59" s="16">
        <v>5.0999999999999996</v>
      </c>
      <c r="E59" s="16">
        <v>5.0999999999999996</v>
      </c>
    </row>
    <row r="60" spans="1:5" ht="15" thickTop="1" thickBot="1" x14ac:dyDescent="0.2">
      <c r="A60" s="15" t="s">
        <v>3</v>
      </c>
      <c r="B60" s="16">
        <v>181</v>
      </c>
      <c r="C60" s="16">
        <v>70</v>
      </c>
      <c r="D60" s="16">
        <v>5</v>
      </c>
      <c r="E60" s="16">
        <v>5.0999999999999996</v>
      </c>
    </row>
    <row r="61" spans="1:5" ht="15" thickTop="1" thickBot="1" x14ac:dyDescent="0.2">
      <c r="A61" s="15" t="s">
        <v>67</v>
      </c>
      <c r="B61" s="16">
        <v>179</v>
      </c>
      <c r="C61" s="16">
        <v>68.599999999999994</v>
      </c>
      <c r="D61" s="16">
        <v>5</v>
      </c>
      <c r="E61" s="16">
        <v>5</v>
      </c>
    </row>
    <row r="62" spans="1:5" hidden="1" x14ac:dyDescent="0.15">
      <c r="A62" t="s">
        <v>61</v>
      </c>
      <c r="B62" s="1">
        <v>159</v>
      </c>
      <c r="C62" s="1">
        <v>56</v>
      </c>
      <c r="D62" s="1">
        <v>5</v>
      </c>
      <c r="E62" s="1">
        <v>4.9000000000000004</v>
      </c>
    </row>
    <row r="63" spans="1:5" ht="15" thickTop="1" thickBot="1" x14ac:dyDescent="0.2">
      <c r="A63" s="15" t="s">
        <v>37</v>
      </c>
      <c r="B63" s="16">
        <v>162</v>
      </c>
      <c r="C63" s="16">
        <v>45</v>
      </c>
      <c r="D63" s="16">
        <v>5.0999999999999996</v>
      </c>
      <c r="E63" s="16">
        <v>5.0999999999999996</v>
      </c>
    </row>
    <row r="64" spans="1:5" hidden="1" x14ac:dyDescent="0.15">
      <c r="A64" t="s">
        <v>63</v>
      </c>
      <c r="B64" s="1">
        <v>165</v>
      </c>
      <c r="C64" s="1">
        <v>59</v>
      </c>
      <c r="D64" s="1">
        <v>4.4000000000000004</v>
      </c>
      <c r="E64" s="1">
        <v>4.5</v>
      </c>
    </row>
    <row r="65" spans="1:5" ht="15" thickTop="1" thickBot="1" x14ac:dyDescent="0.2">
      <c r="A65" s="15" t="s">
        <v>26</v>
      </c>
      <c r="B65" s="16">
        <v>174</v>
      </c>
      <c r="C65" s="16">
        <v>59</v>
      </c>
      <c r="D65" s="16">
        <v>5</v>
      </c>
      <c r="E65" s="16">
        <v>5</v>
      </c>
    </row>
    <row r="66" spans="1:5" ht="15" thickTop="1" thickBot="1" x14ac:dyDescent="0.2">
      <c r="A66" s="15" t="s">
        <v>57</v>
      </c>
      <c r="B66" s="16">
        <v>158</v>
      </c>
      <c r="C66" s="16">
        <v>45.6</v>
      </c>
      <c r="D66" s="16">
        <v>5</v>
      </c>
      <c r="E66" s="16">
        <v>5</v>
      </c>
    </row>
    <row r="67" spans="1:5" hidden="1" x14ac:dyDescent="0.15">
      <c r="A67" t="s">
        <v>66</v>
      </c>
      <c r="B67" s="1">
        <v>145</v>
      </c>
      <c r="C67" s="1">
        <v>45</v>
      </c>
      <c r="D67" s="1">
        <v>4.2</v>
      </c>
      <c r="E67" s="1">
        <v>4.3</v>
      </c>
    </row>
    <row r="68" spans="1:5" ht="15" thickTop="1" thickBot="1" x14ac:dyDescent="0.2">
      <c r="A68" s="15" t="s">
        <v>24</v>
      </c>
      <c r="B68" s="16">
        <v>156</v>
      </c>
      <c r="C68" s="16">
        <v>48</v>
      </c>
      <c r="D68" s="16">
        <v>5</v>
      </c>
      <c r="E68" s="16">
        <v>5</v>
      </c>
    </row>
    <row r="69" spans="1:5" ht="14.25" thickTop="1" x14ac:dyDescent="0.15"/>
  </sheetData>
  <sortState ref="A4:E68">
    <sortCondition ref="A4:A68"/>
  </sortState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topLeftCell="A43" workbookViewId="0">
      <selection sqref="A1:G69"/>
    </sheetView>
  </sheetViews>
  <sheetFormatPr defaultRowHeight="13.5" outlineLevelRow="2" x14ac:dyDescent="0.15"/>
  <cols>
    <col min="1" max="1" width="7.5" bestFit="1" customWidth="1"/>
    <col min="2" max="2" width="16.125" bestFit="1" customWidth="1"/>
    <col min="3" max="3" width="5.5" bestFit="1" customWidth="1"/>
    <col min="4" max="4" width="13.875" bestFit="1" customWidth="1"/>
    <col min="5" max="5" width="11.5" bestFit="1" customWidth="1"/>
    <col min="6" max="7" width="9.5" bestFit="1" customWidth="1"/>
  </cols>
  <sheetData>
    <row r="1" spans="1:7" ht="18.75" thickTop="1" thickBot="1" x14ac:dyDescent="0.2">
      <c r="A1" s="4" t="s">
        <v>2</v>
      </c>
      <c r="B1" s="5" t="s">
        <v>136</v>
      </c>
      <c r="C1" s="5" t="s">
        <v>137</v>
      </c>
      <c r="D1" s="5" t="s">
        <v>68</v>
      </c>
      <c r="E1" s="5" t="s">
        <v>69</v>
      </c>
      <c r="F1" s="5" t="s">
        <v>0</v>
      </c>
      <c r="G1" s="6" t="s">
        <v>1</v>
      </c>
    </row>
    <row r="2" spans="1:7" ht="18.75" outlineLevel="2" thickTop="1" thickBot="1" x14ac:dyDescent="0.2">
      <c r="A2" s="7" t="s">
        <v>57</v>
      </c>
      <c r="B2" s="8" t="str">
        <f>MID(体检人信息表!B56,7,4)&amp;"年"&amp;MID(体检人信息表!B56,11,2)&amp;"月"&amp;MID(体检人信息表!B56,13,2)&amp;"日"</f>
        <v>2004年05月31日</v>
      </c>
      <c r="C2" s="8" t="str">
        <f>IF(MOD(MID(体检人信息表!B56,17,1)/2,1),"男","女")</f>
        <v>女</v>
      </c>
      <c r="D2" s="9">
        <v>158</v>
      </c>
      <c r="E2" s="9">
        <v>45.6</v>
      </c>
      <c r="F2" s="9">
        <v>5</v>
      </c>
      <c r="G2" s="10">
        <v>5</v>
      </c>
    </row>
    <row r="3" spans="1:7" ht="18.75" outlineLevel="2" thickTop="1" thickBot="1" x14ac:dyDescent="0.2">
      <c r="A3" s="7" t="s">
        <v>32</v>
      </c>
      <c r="B3" s="8" t="str">
        <f>MID(体检人信息表!B31,7,4)&amp;"年"&amp;MID(体检人信息表!B31,11,2)&amp;"月"&amp;MID(体检人信息表!B31,13,2)&amp;"日"</f>
        <v>2006年10月04日</v>
      </c>
      <c r="C3" s="8" t="str">
        <f>IF(MOD(MID(体检人信息表!B31,17,1)/2,1),"男","女")</f>
        <v>女</v>
      </c>
      <c r="D3" s="9">
        <v>181</v>
      </c>
      <c r="E3" s="9">
        <v>71.3</v>
      </c>
      <c r="F3" s="9">
        <v>4.8</v>
      </c>
      <c r="G3" s="10">
        <v>4.9000000000000004</v>
      </c>
    </row>
    <row r="4" spans="1:7" ht="18.75" outlineLevel="2" thickTop="1" thickBot="1" x14ac:dyDescent="0.2">
      <c r="A4" s="7" t="s">
        <v>37</v>
      </c>
      <c r="B4" s="8" t="str">
        <f>MID(体检人信息表!B36,7,4)&amp;"年"&amp;MID(体检人信息表!B36,11,2)&amp;"月"&amp;MID(体检人信息表!B36,13,2)&amp;"日"</f>
        <v>2004年06月23日</v>
      </c>
      <c r="C4" s="8" t="str">
        <f>IF(MOD(MID(体检人信息表!B36,17,1)/2,1),"男","女")</f>
        <v>女</v>
      </c>
      <c r="D4" s="9">
        <v>162</v>
      </c>
      <c r="E4" s="9">
        <v>45</v>
      </c>
      <c r="F4" s="9">
        <v>5.0999999999999996</v>
      </c>
      <c r="G4" s="10">
        <v>5.0999999999999996</v>
      </c>
    </row>
    <row r="5" spans="1:7" ht="18.75" outlineLevel="2" thickTop="1" thickBot="1" x14ac:dyDescent="0.2">
      <c r="A5" s="7" t="s">
        <v>56</v>
      </c>
      <c r="B5" s="8" t="str">
        <f>MID(体检人信息表!B55,7,4)&amp;"年"&amp;MID(体检人信息表!B55,11,2)&amp;"月"&amp;MID(体检人信息表!B55,13,2)&amp;"日"</f>
        <v>2005年09月07日</v>
      </c>
      <c r="C5" s="8" t="str">
        <f>IF(MOD(MID(体检人信息表!B55,17,1)/2,1),"男","女")</f>
        <v>女</v>
      </c>
      <c r="D5" s="9">
        <v>156</v>
      </c>
      <c r="E5" s="9">
        <v>48.6</v>
      </c>
      <c r="F5" s="9">
        <v>4.8</v>
      </c>
      <c r="G5" s="10">
        <v>4.9000000000000004</v>
      </c>
    </row>
    <row r="6" spans="1:7" ht="18.75" outlineLevel="2" thickTop="1" thickBot="1" x14ac:dyDescent="0.2">
      <c r="A6" s="7" t="s">
        <v>19</v>
      </c>
      <c r="B6" s="8" t="str">
        <f>MID(体检人信息表!B18,7,4)&amp;"年"&amp;MID(体检人信息表!B18,11,2)&amp;"月"&amp;MID(体检人信息表!B18,13,2)&amp;"日"</f>
        <v>2004年06月03日</v>
      </c>
      <c r="C6" s="8" t="str">
        <f>IF(MOD(MID(体检人信息表!B18,17,1)/2,1),"男","女")</f>
        <v>女</v>
      </c>
      <c r="D6" s="9">
        <v>187</v>
      </c>
      <c r="E6" s="9">
        <v>74</v>
      </c>
      <c r="F6" s="9">
        <v>5.0999999999999996</v>
      </c>
      <c r="G6" s="10">
        <v>5.0999999999999996</v>
      </c>
    </row>
    <row r="7" spans="1:7" ht="18.75" outlineLevel="2" thickTop="1" thickBot="1" x14ac:dyDescent="0.2">
      <c r="A7" s="7" t="s">
        <v>43</v>
      </c>
      <c r="B7" s="8" t="str">
        <f>MID(体检人信息表!B42,7,4)&amp;"年"&amp;MID(体检人信息表!B42,11,2)&amp;"月"&amp;MID(体检人信息表!B42,13,2)&amp;"日"</f>
        <v>2005年04月11日</v>
      </c>
      <c r="C7" s="8" t="str">
        <f>IF(MOD(MID(体检人信息表!B42,17,1)/2,1),"男","女")</f>
        <v>女</v>
      </c>
      <c r="D7" s="9">
        <v>180</v>
      </c>
      <c r="E7" s="9">
        <v>74</v>
      </c>
      <c r="F7" s="9">
        <v>5.0999999999999996</v>
      </c>
      <c r="G7" s="10">
        <v>5.0999999999999996</v>
      </c>
    </row>
    <row r="8" spans="1:7" ht="18.75" outlineLevel="2" thickTop="1" thickBot="1" x14ac:dyDescent="0.2">
      <c r="A8" s="7" t="s">
        <v>15</v>
      </c>
      <c r="B8" s="8" t="str">
        <f>MID(体检人信息表!B14,7,4)&amp;"年"&amp;MID(体检人信息表!B14,11,2)&amp;"月"&amp;MID(体检人信息表!B14,13,2)&amp;"日"</f>
        <v>2004年07月14日</v>
      </c>
      <c r="C8" s="8" t="str">
        <f>IF(MOD(MID(体检人信息表!B14,17,1)/2,1),"男","女")</f>
        <v>女</v>
      </c>
      <c r="D8" s="9">
        <v>171</v>
      </c>
      <c r="E8" s="9">
        <v>60</v>
      </c>
      <c r="F8" s="9">
        <v>4.4000000000000004</v>
      </c>
      <c r="G8" s="10">
        <v>4.5</v>
      </c>
    </row>
    <row r="9" spans="1:7" ht="18.75" outlineLevel="2" thickTop="1" thickBot="1" x14ac:dyDescent="0.2">
      <c r="A9" s="7" t="s">
        <v>27</v>
      </c>
      <c r="B9" s="8" t="str">
        <f>MID(体检人信息表!B26,7,4)&amp;"年"&amp;MID(体检人信息表!B26,11,2)&amp;"月"&amp;MID(体检人信息表!B26,13,2)&amp;"日"</f>
        <v>2004年08月01日</v>
      </c>
      <c r="C9" s="8" t="str">
        <f>IF(MOD(MID(体检人信息表!B26,17,1)/2,1),"男","女")</f>
        <v>女</v>
      </c>
      <c r="D9" s="9">
        <v>161</v>
      </c>
      <c r="E9" s="9">
        <v>50</v>
      </c>
      <c r="F9" s="9">
        <v>5.0999999999999996</v>
      </c>
      <c r="G9" s="10">
        <v>5.0999999999999996</v>
      </c>
    </row>
    <row r="10" spans="1:7" ht="18.75" outlineLevel="2" thickTop="1" thickBot="1" x14ac:dyDescent="0.2">
      <c r="A10" s="7" t="s">
        <v>42</v>
      </c>
      <c r="B10" s="8" t="str">
        <f>MID(体检人信息表!B41,7,4)&amp;"年"&amp;MID(体检人信息表!B41,11,2)&amp;"月"&amp;MID(体检人信息表!B41,13,2)&amp;"日"</f>
        <v>2005年01月28日</v>
      </c>
      <c r="C10" s="8" t="str">
        <f>IF(MOD(MID(体检人信息表!B41,17,1)/2,1),"男","女")</f>
        <v>女</v>
      </c>
      <c r="D10" s="9">
        <v>166</v>
      </c>
      <c r="E10" s="9">
        <v>54</v>
      </c>
      <c r="F10" s="9">
        <v>5</v>
      </c>
      <c r="G10" s="10">
        <v>5</v>
      </c>
    </row>
    <row r="11" spans="1:7" ht="18.75" outlineLevel="2" thickTop="1" thickBot="1" x14ac:dyDescent="0.2">
      <c r="A11" s="7" t="s">
        <v>9</v>
      </c>
      <c r="B11" s="8" t="str">
        <f>MID(体检人信息表!B8,7,4)&amp;"年"&amp;MID(体检人信息表!B8,11,2)&amp;"月"&amp;MID(体检人信息表!B8,13,2)&amp;"日"</f>
        <v>2005年03月04日</v>
      </c>
      <c r="C11" s="8" t="str">
        <f>IF(MOD(MID(体检人信息表!B8,17,1)/2,1),"男","女")</f>
        <v>女</v>
      </c>
      <c r="D11" s="9">
        <v>178</v>
      </c>
      <c r="E11" s="9">
        <v>79</v>
      </c>
      <c r="F11" s="9">
        <v>5</v>
      </c>
      <c r="G11" s="10">
        <v>5</v>
      </c>
    </row>
    <row r="12" spans="1:7" ht="18.75" outlineLevel="2" thickTop="1" thickBot="1" x14ac:dyDescent="0.2">
      <c r="A12" s="7" t="s">
        <v>54</v>
      </c>
      <c r="B12" s="8" t="str">
        <f>MID(体检人信息表!B53,7,4)&amp;"年"&amp;MID(体检人信息表!B53,11,2)&amp;"月"&amp;MID(体检人信息表!B53,13,2)&amp;"日"</f>
        <v>2005年05月21日</v>
      </c>
      <c r="C12" s="8" t="str">
        <f>IF(MOD(MID(体检人信息表!B53,17,1)/2,1),"男","女")</f>
        <v>女</v>
      </c>
      <c r="D12" s="9">
        <v>187</v>
      </c>
      <c r="E12" s="9">
        <v>60</v>
      </c>
      <c r="F12" s="9">
        <v>4.4000000000000004</v>
      </c>
      <c r="G12" s="10">
        <v>4.5</v>
      </c>
    </row>
    <row r="13" spans="1:7" ht="18.75" outlineLevel="2" thickTop="1" thickBot="1" x14ac:dyDescent="0.2">
      <c r="A13" s="7" t="s">
        <v>65</v>
      </c>
      <c r="B13" s="8" t="str">
        <f>MID(体检人信息表!B64,7,4)&amp;"年"&amp;MID(体检人信息表!B64,11,2)&amp;"月"&amp;MID(体检人信息表!B64,13,2)&amp;"日"</f>
        <v>2006年05月11日</v>
      </c>
      <c r="C13" s="8" t="str">
        <f>IF(MOD(MID(体检人信息表!B64,17,1)/2,1),"男","女")</f>
        <v>女</v>
      </c>
      <c r="D13" s="9">
        <v>165</v>
      </c>
      <c r="E13" s="9">
        <v>56</v>
      </c>
      <c r="F13" s="9">
        <v>5.0999999999999996</v>
      </c>
      <c r="G13" s="10">
        <v>5.0999999999999996</v>
      </c>
    </row>
    <row r="14" spans="1:7" ht="18.75" outlineLevel="2" thickTop="1" thickBot="1" x14ac:dyDescent="0.2">
      <c r="A14" s="7" t="s">
        <v>61</v>
      </c>
      <c r="B14" s="8" t="str">
        <f>MID(体检人信息表!B60,7,4)&amp;"年"&amp;MID(体检人信息表!B60,11,2)&amp;"月"&amp;MID(体检人信息表!B60,13,2)&amp;"日"</f>
        <v>2004年11月14日</v>
      </c>
      <c r="C14" s="8" t="str">
        <f>IF(MOD(MID(体检人信息表!B60,17,1)/2,1),"男","女")</f>
        <v>女</v>
      </c>
      <c r="D14" s="9">
        <v>159</v>
      </c>
      <c r="E14" s="9">
        <v>56</v>
      </c>
      <c r="F14" s="9">
        <v>5</v>
      </c>
      <c r="G14" s="10">
        <v>4.9000000000000004</v>
      </c>
    </row>
    <row r="15" spans="1:7" ht="18.75" outlineLevel="2" thickTop="1" thickBot="1" x14ac:dyDescent="0.2">
      <c r="A15" s="7" t="s">
        <v>34</v>
      </c>
      <c r="B15" s="8" t="str">
        <f>MID(体检人信息表!B33,7,4)&amp;"年"&amp;MID(体检人信息表!B33,11,2)&amp;"月"&amp;MID(体检人信息表!B33,13,2)&amp;"日"</f>
        <v>2005年09月29日</v>
      </c>
      <c r="C15" s="8" t="str">
        <f>IF(MOD(MID(体检人信息表!B33,17,1)/2,1),"男","女")</f>
        <v>女</v>
      </c>
      <c r="D15" s="9">
        <v>181</v>
      </c>
      <c r="E15" s="9">
        <v>72.599999999999994</v>
      </c>
      <c r="F15" s="9">
        <v>4.4000000000000004</v>
      </c>
      <c r="G15" s="10">
        <v>4.5</v>
      </c>
    </row>
    <row r="16" spans="1:7" ht="18.75" outlineLevel="2" thickTop="1" thickBot="1" x14ac:dyDescent="0.2">
      <c r="A16" s="7" t="s">
        <v>12</v>
      </c>
      <c r="B16" s="8" t="str">
        <f>MID(体检人信息表!B11,7,4)&amp;"年"&amp;MID(体检人信息表!B11,11,2)&amp;"月"&amp;MID(体检人信息表!B11,13,2)&amp;"日"</f>
        <v>2005年08月17日</v>
      </c>
      <c r="C16" s="8" t="str">
        <f>IF(MOD(MID(体检人信息表!B11,17,1)/2,1),"男","女")</f>
        <v>女</v>
      </c>
      <c r="D16" s="9">
        <v>179</v>
      </c>
      <c r="E16" s="9">
        <v>71.599999999999994</v>
      </c>
      <c r="F16" s="9">
        <v>5.0999999999999996</v>
      </c>
      <c r="G16" s="10">
        <v>5.0999999999999996</v>
      </c>
    </row>
    <row r="17" spans="1:7" ht="18.75" outlineLevel="2" thickTop="1" thickBot="1" x14ac:dyDescent="0.2">
      <c r="A17" s="7" t="s">
        <v>39</v>
      </c>
      <c r="B17" s="8" t="str">
        <f>MID(体检人信息表!B38,7,4)&amp;"年"&amp;MID(体检人信息表!B38,11,2)&amp;"月"&amp;MID(体检人信息表!B38,13,2)&amp;"日"</f>
        <v>2005年01月11日</v>
      </c>
      <c r="C17" s="8" t="str">
        <f>IF(MOD(MID(体检人信息表!B38,17,1)/2,1),"男","女")</f>
        <v>女</v>
      </c>
      <c r="D17" s="9">
        <v>174</v>
      </c>
      <c r="E17" s="9">
        <v>51.3</v>
      </c>
      <c r="F17" s="9">
        <v>5</v>
      </c>
      <c r="G17" s="10">
        <v>5.0999999999999996</v>
      </c>
    </row>
    <row r="18" spans="1:7" ht="18.75" outlineLevel="2" thickTop="1" thickBot="1" x14ac:dyDescent="0.2">
      <c r="A18" s="7" t="s">
        <v>58</v>
      </c>
      <c r="B18" s="8" t="str">
        <f>MID(体检人信息表!B57,7,4)&amp;"年"&amp;MID(体检人信息表!B57,11,2)&amp;"月"&amp;MID(体检人信息表!B57,13,2)&amp;"日"</f>
        <v>2004年06月24日</v>
      </c>
      <c r="C18" s="8" t="str">
        <f>IF(MOD(MID(体检人信息表!B57,17,1)/2,1),"男","女")</f>
        <v>女</v>
      </c>
      <c r="D18" s="9">
        <v>176</v>
      </c>
      <c r="E18" s="9">
        <v>71.3</v>
      </c>
      <c r="F18" s="9">
        <v>5.0999999999999996</v>
      </c>
      <c r="G18" s="10">
        <v>5.0999999999999996</v>
      </c>
    </row>
    <row r="19" spans="1:7" ht="18.75" outlineLevel="2" thickTop="1" thickBot="1" x14ac:dyDescent="0.2">
      <c r="A19" s="7" t="s">
        <v>48</v>
      </c>
      <c r="B19" s="8" t="str">
        <f>MID(体检人信息表!B47,7,4)&amp;"年"&amp;MID(体检人信息表!B47,11,2)&amp;"月"&amp;MID(体检人信息表!B47,13,2)&amp;"日"</f>
        <v>2006年12月06日</v>
      </c>
      <c r="C19" s="8" t="str">
        <f>IF(MOD(MID(体检人信息表!B47,17,1)/2,1),"男","女")</f>
        <v>女</v>
      </c>
      <c r="D19" s="9">
        <v>156</v>
      </c>
      <c r="E19" s="9">
        <v>48</v>
      </c>
      <c r="F19" s="9">
        <v>5</v>
      </c>
      <c r="G19" s="10">
        <v>5</v>
      </c>
    </row>
    <row r="20" spans="1:7" ht="18.75" outlineLevel="2" thickTop="1" thickBot="1" x14ac:dyDescent="0.2">
      <c r="A20" s="7" t="s">
        <v>55</v>
      </c>
      <c r="B20" s="8" t="str">
        <f>MID(体检人信息表!B54,7,4)&amp;"年"&amp;MID(体检人信息表!B54,11,2)&amp;"月"&amp;MID(体检人信息表!B54,13,2)&amp;"日"</f>
        <v>2004年09月16日</v>
      </c>
      <c r="C20" s="8" t="str">
        <f>IF(MOD(MID(体检人信息表!B54,17,1)/2,1),"男","女")</f>
        <v>女</v>
      </c>
      <c r="D20" s="9">
        <v>165</v>
      </c>
      <c r="E20" s="9">
        <v>45.9</v>
      </c>
      <c r="F20" s="9">
        <v>4.7</v>
      </c>
      <c r="G20" s="10">
        <v>4.7</v>
      </c>
    </row>
    <row r="21" spans="1:7" ht="18.75" outlineLevel="2" thickTop="1" thickBot="1" x14ac:dyDescent="0.2">
      <c r="A21" s="7" t="s">
        <v>30</v>
      </c>
      <c r="B21" s="8" t="str">
        <f>MID(体检人信息表!B29,7,4)&amp;"年"&amp;MID(体检人信息表!B29,11,2)&amp;"月"&amp;MID(体检人信息表!B29,13,2)&amp;"日"</f>
        <v>2006年08月07日</v>
      </c>
      <c r="C21" s="8" t="str">
        <f>IF(MOD(MID(体检人信息表!B29,17,1)/2,1),"男","女")</f>
        <v>女</v>
      </c>
      <c r="D21" s="9">
        <v>170</v>
      </c>
      <c r="E21" s="9">
        <v>61</v>
      </c>
      <c r="F21" s="9">
        <v>4.4000000000000004</v>
      </c>
      <c r="G21" s="10">
        <v>4.5</v>
      </c>
    </row>
    <row r="22" spans="1:7" ht="18.75" outlineLevel="2" thickTop="1" thickBot="1" x14ac:dyDescent="0.2">
      <c r="A22" s="7" t="s">
        <v>50</v>
      </c>
      <c r="B22" s="8" t="str">
        <f>MID(体检人信息表!B49,7,4)&amp;"年"&amp;MID(体检人信息表!B49,11,2)&amp;"月"&amp;MID(体检人信息表!B49,13,2)&amp;"日"</f>
        <v>2005年11月14日</v>
      </c>
      <c r="C22" s="8" t="str">
        <f>IF(MOD(MID(体检人信息表!B49,17,1)/2,1),"男","女")</f>
        <v>女</v>
      </c>
      <c r="D22" s="9">
        <v>153</v>
      </c>
      <c r="E22" s="9">
        <v>49</v>
      </c>
      <c r="F22" s="9">
        <v>5</v>
      </c>
      <c r="G22" s="10">
        <v>5</v>
      </c>
    </row>
    <row r="23" spans="1:7" ht="18.75" outlineLevel="2" thickTop="1" thickBot="1" x14ac:dyDescent="0.2">
      <c r="A23" s="7" t="s">
        <v>10</v>
      </c>
      <c r="B23" s="8" t="str">
        <f>MID(体检人信息表!B9,7,4)&amp;"年"&amp;MID(体检人信息表!B9,11,2)&amp;"月"&amp;MID(体检人信息表!B9,13,2)&amp;"日"</f>
        <v>2005年03月27日</v>
      </c>
      <c r="C23" s="8" t="str">
        <f>IF(MOD(MID(体检人信息表!B9,17,1)/2,1),"男","女")</f>
        <v>女</v>
      </c>
      <c r="D23" s="9">
        <v>164</v>
      </c>
      <c r="E23" s="9">
        <v>65</v>
      </c>
      <c r="F23" s="9">
        <v>5.0999999999999996</v>
      </c>
      <c r="G23" s="10">
        <v>5.0999999999999996</v>
      </c>
    </row>
    <row r="24" spans="1:7" ht="18.75" outlineLevel="2" thickTop="1" thickBot="1" x14ac:dyDescent="0.2">
      <c r="A24" s="7" t="s">
        <v>64</v>
      </c>
      <c r="B24" s="8" t="str">
        <f>MID(体检人信息表!B63,7,4)&amp;"年"&amp;MID(体检人信息表!B63,11,2)&amp;"月"&amp;MID(体检人信息表!B63,13,2)&amp;"日"</f>
        <v>2006年11月26日</v>
      </c>
      <c r="C24" s="8" t="str">
        <f>IF(MOD(MID(体检人信息表!B63,17,1)/2,1),"男","女")</f>
        <v>女</v>
      </c>
      <c r="D24" s="9">
        <v>184</v>
      </c>
      <c r="E24" s="9">
        <v>69.599999999999994</v>
      </c>
      <c r="F24" s="9">
        <v>5</v>
      </c>
      <c r="G24" s="10">
        <v>5</v>
      </c>
    </row>
    <row r="25" spans="1:7" ht="18.75" outlineLevel="2" thickTop="1" thickBot="1" x14ac:dyDescent="0.2">
      <c r="A25" s="7" t="s">
        <v>40</v>
      </c>
      <c r="B25" s="8" t="str">
        <f>MID(体检人信息表!B39,7,4)&amp;"年"&amp;MID(体检人信息表!B39,11,2)&amp;"月"&amp;MID(体检人信息表!B39,13,2)&amp;"日"</f>
        <v>2005年10月23日</v>
      </c>
      <c r="C25" s="8" t="str">
        <f>IF(MOD(MID(体检人信息表!B39,17,1)/2,1),"男","女")</f>
        <v>女</v>
      </c>
      <c r="D25" s="9">
        <v>158</v>
      </c>
      <c r="E25" s="9">
        <v>52.6</v>
      </c>
      <c r="F25" s="9">
        <v>5</v>
      </c>
      <c r="G25" s="10">
        <v>5</v>
      </c>
    </row>
    <row r="26" spans="1:7" ht="18.75" outlineLevel="2" thickTop="1" thickBot="1" x14ac:dyDescent="0.2">
      <c r="A26" s="7" t="s">
        <v>33</v>
      </c>
      <c r="B26" s="8" t="str">
        <f>MID(体检人信息表!B32,7,4)&amp;"年"&amp;MID(体检人信息表!B32,11,2)&amp;"月"&amp;MID(体检人信息表!B32,13,2)&amp;"日"</f>
        <v>2006年06月16日</v>
      </c>
      <c r="C26" s="8" t="str">
        <f>IF(MOD(MID(体检人信息表!B32,17,1)/2,1),"男","女")</f>
        <v>女</v>
      </c>
      <c r="D26" s="9">
        <v>182</v>
      </c>
      <c r="E26" s="9">
        <v>70.599999999999994</v>
      </c>
      <c r="F26" s="9">
        <v>5</v>
      </c>
      <c r="G26" s="10">
        <v>5</v>
      </c>
    </row>
    <row r="27" spans="1:7" ht="18.75" outlineLevel="2" thickTop="1" thickBot="1" x14ac:dyDescent="0.2">
      <c r="A27" s="7" t="s">
        <v>66</v>
      </c>
      <c r="B27" s="8" t="str">
        <f>MID(体检人信息表!B65,7,4)&amp;"年"&amp;MID(体检人信息表!B65,11,2)&amp;"月"&amp;MID(体检人信息表!B65,13,2)&amp;"日"</f>
        <v>2005年09月16日</v>
      </c>
      <c r="C27" s="8" t="str">
        <f>IF(MOD(MID(体检人信息表!B65,17,1)/2,1),"男","女")</f>
        <v>女</v>
      </c>
      <c r="D27" s="9">
        <v>145</v>
      </c>
      <c r="E27" s="9">
        <v>45</v>
      </c>
      <c r="F27" s="9">
        <v>4.2</v>
      </c>
      <c r="G27" s="10">
        <v>4.3</v>
      </c>
    </row>
    <row r="28" spans="1:7" ht="18.75" outlineLevel="2" thickTop="1" thickBot="1" x14ac:dyDescent="0.2">
      <c r="A28" s="7" t="s">
        <v>53</v>
      </c>
      <c r="B28" s="8" t="str">
        <f>MID(体检人信息表!B52,7,4)&amp;"年"&amp;MID(体检人信息表!B52,11,2)&amp;"月"&amp;MID(体检人信息表!B52,13,2)&amp;"日"</f>
        <v>2005年11月26日</v>
      </c>
      <c r="C28" s="8" t="str">
        <f>IF(MOD(MID(体检人信息表!B52,17,1)/2,1),"男","女")</f>
        <v>女</v>
      </c>
      <c r="D28" s="9">
        <v>168</v>
      </c>
      <c r="E28" s="9">
        <v>49</v>
      </c>
      <c r="F28" s="9">
        <v>5</v>
      </c>
      <c r="G28" s="10">
        <v>5</v>
      </c>
    </row>
    <row r="29" spans="1:7" ht="18.75" outlineLevel="2" thickTop="1" thickBot="1" x14ac:dyDescent="0.2">
      <c r="A29" s="7" t="s">
        <v>59</v>
      </c>
      <c r="B29" s="8" t="str">
        <f>MID(体检人信息表!B58,7,4)&amp;"年"&amp;MID(体检人信息表!B58,11,2)&amp;"月"&amp;MID(体检人信息表!B58,13,2)&amp;"日"</f>
        <v>2005年12月06日</v>
      </c>
      <c r="C29" s="8" t="str">
        <f>IF(MOD(MID(体检人信息表!B58,17,1)/2,1),"男","女")</f>
        <v>女</v>
      </c>
      <c r="D29" s="9">
        <v>175</v>
      </c>
      <c r="E29" s="9">
        <v>71.5</v>
      </c>
      <c r="F29" s="9">
        <v>5</v>
      </c>
      <c r="G29" s="10">
        <v>5</v>
      </c>
    </row>
    <row r="30" spans="1:7" ht="18.75" outlineLevel="1" thickTop="1" thickBot="1" x14ac:dyDescent="0.2">
      <c r="A30" s="7"/>
      <c r="B30" s="8"/>
      <c r="C30" s="17" t="s">
        <v>143</v>
      </c>
      <c r="D30" s="9">
        <f>SUBTOTAL(1,D2:D29)</f>
        <v>169.32142857142858</v>
      </c>
      <c r="E30" s="9">
        <f>SUBTOTAL(1,E2:E29)</f>
        <v>59.553571428571423</v>
      </c>
      <c r="F30" s="9"/>
      <c r="G30" s="10"/>
    </row>
    <row r="31" spans="1:7" ht="18.75" outlineLevel="2" thickTop="1" thickBot="1" x14ac:dyDescent="0.2">
      <c r="A31" s="7" t="s">
        <v>24</v>
      </c>
      <c r="B31" s="8" t="str">
        <f>MID(体检人信息表!B23,7,4)&amp;"年"&amp;MID(体检人信息表!B23,11,2)&amp;"月"&amp;MID(体检人信息表!B23,13,2)&amp;"日"</f>
        <v>2005年04月23日</v>
      </c>
      <c r="C31" s="8" t="str">
        <f>IF(MOD(MID(体检人信息表!B23,17,1)/2,1),"男","女")</f>
        <v>男</v>
      </c>
      <c r="D31" s="9">
        <v>156</v>
      </c>
      <c r="E31" s="9">
        <v>48</v>
      </c>
      <c r="F31" s="9">
        <v>5</v>
      </c>
      <c r="G31" s="10">
        <v>5</v>
      </c>
    </row>
    <row r="32" spans="1:7" ht="18.75" outlineLevel="2" thickTop="1" thickBot="1" x14ac:dyDescent="0.2">
      <c r="A32" s="7" t="s">
        <v>44</v>
      </c>
      <c r="B32" s="8" t="str">
        <f>MID(体检人信息表!B43,7,4)&amp;"年"&amp;MID(体检人信息表!B43,11,2)&amp;"月"&amp;MID(体检人信息表!B43,13,2)&amp;"日"</f>
        <v>2005年08月09日</v>
      </c>
      <c r="C32" s="8" t="str">
        <f>IF(MOD(MID(体检人信息表!B43,17,1)/2,1),"男","女")</f>
        <v>男</v>
      </c>
      <c r="D32" s="9">
        <v>178</v>
      </c>
      <c r="E32" s="9">
        <v>69</v>
      </c>
      <c r="F32" s="9">
        <v>4.9000000000000004</v>
      </c>
      <c r="G32" s="10">
        <v>4.9000000000000004</v>
      </c>
    </row>
    <row r="33" spans="1:7" ht="18.75" outlineLevel="2" thickTop="1" thickBot="1" x14ac:dyDescent="0.2">
      <c r="A33" s="7" t="s">
        <v>26</v>
      </c>
      <c r="B33" s="8" t="str">
        <f>MID(体检人信息表!B25,7,4)&amp;"年"&amp;MID(体检人信息表!B25,11,2)&amp;"月"&amp;MID(体检人信息表!B25,13,2)&amp;"日"</f>
        <v>2005年12月28日</v>
      </c>
      <c r="C33" s="8" t="str">
        <f>IF(MOD(MID(体检人信息表!B25,17,1)/2,1),"男","女")</f>
        <v>男</v>
      </c>
      <c r="D33" s="9">
        <v>174</v>
      </c>
      <c r="E33" s="9">
        <v>59</v>
      </c>
      <c r="F33" s="9">
        <v>5</v>
      </c>
      <c r="G33" s="10">
        <v>5</v>
      </c>
    </row>
    <row r="34" spans="1:7" ht="18.75" outlineLevel="2" thickTop="1" thickBot="1" x14ac:dyDescent="0.2">
      <c r="A34" s="7" t="s">
        <v>17</v>
      </c>
      <c r="B34" s="8" t="str">
        <f>MID(体检人信息表!B16,7,4)&amp;"年"&amp;MID(体检人信息表!B16,11,2)&amp;"月"&amp;MID(体检人信息表!B16,13,2)&amp;"日"</f>
        <v>2004年10月21日</v>
      </c>
      <c r="C34" s="8" t="str">
        <f>IF(MOD(MID(体检人信息表!B16,17,1)/2,1),"男","女")</f>
        <v>男</v>
      </c>
      <c r="D34" s="9">
        <v>167</v>
      </c>
      <c r="E34" s="9">
        <v>68</v>
      </c>
      <c r="F34" s="9">
        <v>4.8</v>
      </c>
      <c r="G34" s="10">
        <v>4.9000000000000004</v>
      </c>
    </row>
    <row r="35" spans="1:7" ht="18.75" outlineLevel="2" thickTop="1" thickBot="1" x14ac:dyDescent="0.2">
      <c r="A35" s="7" t="s">
        <v>46</v>
      </c>
      <c r="B35" s="8" t="str">
        <f>MID(体检人信息表!B45,7,4)&amp;"年"&amp;MID(体检人信息表!B45,11,2)&amp;"月"&amp;MID(体检人信息表!B45,13,2)&amp;"日"</f>
        <v>2004年12月22日</v>
      </c>
      <c r="C35" s="8" t="str">
        <f>IF(MOD(MID(体检人信息表!B45,17,1)/2,1),"男","女")</f>
        <v>男</v>
      </c>
      <c r="D35" s="9">
        <v>180</v>
      </c>
      <c r="E35" s="9">
        <v>66.8</v>
      </c>
      <c r="F35" s="9">
        <v>4.7</v>
      </c>
      <c r="G35" s="10">
        <v>4.7</v>
      </c>
    </row>
    <row r="36" spans="1:7" ht="18.75" outlineLevel="2" thickTop="1" thickBot="1" x14ac:dyDescent="0.2">
      <c r="A36" s="7" t="s">
        <v>67</v>
      </c>
      <c r="B36" s="8" t="str">
        <f>MID(体检人信息表!B66,7,4)&amp;"年"&amp;MID(体检人信息表!B66,11,2)&amp;"月"&amp;MID(体检人信息表!B66,13,2)&amp;"日"</f>
        <v>2004年12月02日</v>
      </c>
      <c r="C36" s="8" t="str">
        <f>IF(MOD(MID(体检人信息表!B66,17,1)/2,1),"男","女")</f>
        <v>男</v>
      </c>
      <c r="D36" s="9">
        <v>179</v>
      </c>
      <c r="E36" s="9">
        <v>68.599999999999994</v>
      </c>
      <c r="F36" s="9">
        <v>5</v>
      </c>
      <c r="G36" s="10">
        <v>5</v>
      </c>
    </row>
    <row r="37" spans="1:7" ht="18.75" outlineLevel="2" thickTop="1" thickBot="1" x14ac:dyDescent="0.2">
      <c r="A37" s="7" t="s">
        <v>38</v>
      </c>
      <c r="B37" s="8" t="str">
        <f>MID(体检人信息表!B37,7,4)&amp;"年"&amp;MID(体检人信息表!B37,11,2)&amp;"月"&amp;MID(体检人信息表!B37,13,2)&amp;"日"</f>
        <v>2005年10月13日</v>
      </c>
      <c r="C37" s="8" t="str">
        <f>IF(MOD(MID(体检人信息表!B37,17,1)/2,1),"男","女")</f>
        <v>男</v>
      </c>
      <c r="D37" s="9">
        <v>166</v>
      </c>
      <c r="E37" s="9">
        <v>48</v>
      </c>
      <c r="F37" s="9">
        <v>5</v>
      </c>
      <c r="G37" s="10">
        <v>4.9000000000000004</v>
      </c>
    </row>
    <row r="38" spans="1:7" ht="18.75" outlineLevel="2" thickTop="1" thickBot="1" x14ac:dyDescent="0.2">
      <c r="A38" s="7" t="s">
        <v>63</v>
      </c>
      <c r="B38" s="8" t="str">
        <f>MID(体检人信息表!B62,7,4)&amp;"年"&amp;MID(体检人信息表!B62,11,2)&amp;"月"&amp;MID(体检人信息表!B62,13,2)&amp;"日"</f>
        <v>2004年09月06日</v>
      </c>
      <c r="C38" s="8" t="str">
        <f>IF(MOD(MID(体检人信息表!B62,17,1)/2,1),"男","女")</f>
        <v>男</v>
      </c>
      <c r="D38" s="9">
        <v>165</v>
      </c>
      <c r="E38" s="9">
        <v>59</v>
      </c>
      <c r="F38" s="9">
        <v>4.4000000000000004</v>
      </c>
      <c r="G38" s="10">
        <v>4.5</v>
      </c>
    </row>
    <row r="39" spans="1:7" ht="18.75" outlineLevel="2" thickTop="1" thickBot="1" x14ac:dyDescent="0.2">
      <c r="A39" s="7" t="s">
        <v>3</v>
      </c>
      <c r="B39" s="8" t="str">
        <f>MID(体检人信息表!B2,7,4)&amp;"年"&amp;MID(体检人信息表!B2,11,2)&amp;"月"&amp;MID(体检人信息表!B2,13,2)&amp;"日"</f>
        <v>2004年01月05日</v>
      </c>
      <c r="C39" s="8" t="str">
        <f>IF(MOD(MID(体检人信息表!B2,17,1)/2,1),"男","女")</f>
        <v>男</v>
      </c>
      <c r="D39" s="9">
        <v>181</v>
      </c>
      <c r="E39" s="9">
        <v>70</v>
      </c>
      <c r="F39" s="9">
        <v>5</v>
      </c>
      <c r="G39" s="10">
        <v>5.0999999999999996</v>
      </c>
    </row>
    <row r="40" spans="1:7" ht="18.75" outlineLevel="2" thickTop="1" thickBot="1" x14ac:dyDescent="0.2">
      <c r="A40" s="7" t="s">
        <v>21</v>
      </c>
      <c r="B40" s="8" t="str">
        <f>MID(体检人信息表!B20,7,4)&amp;"年"&amp;MID(体检人信息表!B20,11,2)&amp;"月"&amp;MID(体检人信息表!B20,13,2)&amp;"日"</f>
        <v>2004年05月13日</v>
      </c>
      <c r="C40" s="8" t="str">
        <f>IF(MOD(MID(体检人信息表!B20,17,1)/2,1),"男","女")</f>
        <v>男</v>
      </c>
      <c r="D40" s="9">
        <v>181</v>
      </c>
      <c r="E40" s="9">
        <v>76</v>
      </c>
      <c r="F40" s="9">
        <v>5.0999999999999996</v>
      </c>
      <c r="G40" s="10">
        <v>5.0999999999999996</v>
      </c>
    </row>
    <row r="41" spans="1:7" ht="18.75" outlineLevel="2" thickTop="1" thickBot="1" x14ac:dyDescent="0.2">
      <c r="A41" s="7" t="s">
        <v>31</v>
      </c>
      <c r="B41" s="8" t="str">
        <f>MID(体检人信息表!B30,7,4)&amp;"年"&amp;MID(体检人信息表!B30,11,2)&amp;"月"&amp;MID(体检人信息表!B30,13,2)&amp;"日"</f>
        <v>2004年10月01日</v>
      </c>
      <c r="C41" s="8" t="str">
        <f>IF(MOD(MID(体检人信息表!B30,17,1)/2,1),"男","女")</f>
        <v>男</v>
      </c>
      <c r="D41" s="9">
        <v>180</v>
      </c>
      <c r="E41" s="9">
        <v>71.5</v>
      </c>
      <c r="F41" s="9">
        <v>4.7</v>
      </c>
      <c r="G41" s="10">
        <v>4.7</v>
      </c>
    </row>
    <row r="42" spans="1:7" ht="18.75" outlineLevel="2" thickTop="1" thickBot="1" x14ac:dyDescent="0.2">
      <c r="A42" s="7" t="s">
        <v>5</v>
      </c>
      <c r="B42" s="8" t="str">
        <f>MID(体检人信息表!B4,7,4)&amp;"年"&amp;MID(体检人信息表!B4,11,2)&amp;"月"&amp;MID(体检人信息表!B4,13,2)&amp;"日"</f>
        <v>2005年03月29日</v>
      </c>
      <c r="C42" s="8" t="str">
        <f>IF(MOD(MID(体检人信息表!B4,17,1)/2,1),"男","女")</f>
        <v>男</v>
      </c>
      <c r="D42" s="9">
        <v>171</v>
      </c>
      <c r="E42" s="9">
        <v>75</v>
      </c>
      <c r="F42" s="9">
        <v>5</v>
      </c>
      <c r="G42" s="10">
        <v>5</v>
      </c>
    </row>
    <row r="43" spans="1:7" ht="18.75" outlineLevel="2" thickTop="1" thickBot="1" x14ac:dyDescent="0.2">
      <c r="A43" s="7" t="s">
        <v>23</v>
      </c>
      <c r="B43" s="8" t="str">
        <f>MID(体检人信息表!B22,7,4)&amp;"年"&amp;MID(体检人信息表!B22,11,2)&amp;"月"&amp;MID(体检人信息表!B22,13,2)&amp;"日"</f>
        <v>2004年07月25日</v>
      </c>
      <c r="C43" s="8" t="str">
        <f>IF(MOD(MID(体检人信息表!B22,17,1)/2,1),"男","女")</f>
        <v>男</v>
      </c>
      <c r="D43" s="9">
        <v>175</v>
      </c>
      <c r="E43" s="9">
        <v>65</v>
      </c>
      <c r="F43" s="9">
        <v>5</v>
      </c>
      <c r="G43" s="10">
        <v>5.0999999999999996</v>
      </c>
    </row>
    <row r="44" spans="1:7" ht="18.75" outlineLevel="2" thickTop="1" thickBot="1" x14ac:dyDescent="0.2">
      <c r="A44" s="7" t="s">
        <v>4</v>
      </c>
      <c r="B44" s="8" t="str">
        <f>MID(体检人信息表!B3,7,4)&amp;"年"&amp;MID(体检人信息表!B3,11,2)&amp;"月"&amp;MID(体检人信息表!B3,13,2)&amp;"日"</f>
        <v>2005年12月19日</v>
      </c>
      <c r="C44" s="8" t="str">
        <f>IF(MOD(MID(体检人信息表!B3,17,1)/2,1),"男","女")</f>
        <v>男</v>
      </c>
      <c r="D44" s="9">
        <v>182</v>
      </c>
      <c r="E44" s="9">
        <v>71.3</v>
      </c>
      <c r="F44" s="9">
        <v>4.2</v>
      </c>
      <c r="G44" s="10">
        <v>4.3</v>
      </c>
    </row>
    <row r="45" spans="1:7" ht="18.75" outlineLevel="2" thickTop="1" thickBot="1" x14ac:dyDescent="0.2">
      <c r="A45" s="7" t="s">
        <v>47</v>
      </c>
      <c r="B45" s="8" t="str">
        <f>MID(体检人信息表!B46,7,4)&amp;"年"&amp;MID(体检人信息表!B46,11,2)&amp;"月"&amp;MID(体检人信息表!B46,13,2)&amp;"日"</f>
        <v>2005年12月24日</v>
      </c>
      <c r="C45" s="8" t="str">
        <f>IF(MOD(MID(体检人信息表!B46,17,1)/2,1),"男","女")</f>
        <v>男</v>
      </c>
      <c r="D45" s="9">
        <v>163</v>
      </c>
      <c r="E45" s="9">
        <v>54</v>
      </c>
      <c r="F45" s="9">
        <v>4.9000000000000004</v>
      </c>
      <c r="G45" s="10">
        <v>4.9000000000000004</v>
      </c>
    </row>
    <row r="46" spans="1:7" ht="18.75" outlineLevel="2" thickTop="1" thickBot="1" x14ac:dyDescent="0.2">
      <c r="A46" s="7" t="s">
        <v>16</v>
      </c>
      <c r="B46" s="8" t="str">
        <f>MID(体检人信息表!B15,7,4)&amp;"年"&amp;MID(体检人信息表!B15,11,2)&amp;"月"&amp;MID(体检人信息表!B15,13,2)&amp;"日"</f>
        <v>2005年10月05日</v>
      </c>
      <c r="C46" s="8" t="str">
        <f>IF(MOD(MID(体检人信息表!B15,17,1)/2,1),"男","女")</f>
        <v>男</v>
      </c>
      <c r="D46" s="9">
        <v>174</v>
      </c>
      <c r="E46" s="9">
        <v>75</v>
      </c>
      <c r="F46" s="9">
        <v>4.7</v>
      </c>
      <c r="G46" s="10">
        <v>4.7</v>
      </c>
    </row>
    <row r="47" spans="1:7" ht="18.75" outlineLevel="2" thickTop="1" thickBot="1" x14ac:dyDescent="0.2">
      <c r="A47" s="7" t="s">
        <v>52</v>
      </c>
      <c r="B47" s="8" t="str">
        <f>MID(体检人信息表!B51,7,4)&amp;"年"&amp;MID(体检人信息表!B51,11,2)&amp;"月"&amp;MID(体检人信息表!B51,13,2)&amp;"日"</f>
        <v>2005年09月06日</v>
      </c>
      <c r="C47" s="8" t="str">
        <f>IF(MOD(MID(体检人信息表!B51,17,1)/2,1),"男","女")</f>
        <v>男</v>
      </c>
      <c r="D47" s="9">
        <v>164</v>
      </c>
      <c r="E47" s="9">
        <v>50</v>
      </c>
      <c r="F47" s="9">
        <v>4.2</v>
      </c>
      <c r="G47" s="10">
        <v>4.3</v>
      </c>
    </row>
    <row r="48" spans="1:7" ht="18.75" outlineLevel="2" thickTop="1" thickBot="1" x14ac:dyDescent="0.2">
      <c r="A48" s="7" t="s">
        <v>51</v>
      </c>
      <c r="B48" s="8" t="str">
        <f>MID(体检人信息表!B50,7,4)&amp;"年"&amp;MID(体检人信息表!B50,11,2)&amp;"月"&amp;MID(体检人信息表!B50,13,2)&amp;"日"</f>
        <v>2005年09月01日</v>
      </c>
      <c r="C48" s="8" t="str">
        <f>IF(MOD(MID(体检人信息表!B50,17,1)/2,1),"男","女")</f>
        <v>男</v>
      </c>
      <c r="D48" s="9">
        <v>154</v>
      </c>
      <c r="E48" s="9">
        <v>47.6</v>
      </c>
      <c r="F48" s="9">
        <v>5.0999999999999996</v>
      </c>
      <c r="G48" s="10">
        <v>5.0999999999999996</v>
      </c>
    </row>
    <row r="49" spans="1:7" ht="18.75" outlineLevel="2" thickTop="1" thickBot="1" x14ac:dyDescent="0.2">
      <c r="A49" s="7" t="s">
        <v>25</v>
      </c>
      <c r="B49" s="8" t="str">
        <f>MID(体检人信息表!B24,7,4)&amp;"年"&amp;MID(体检人信息表!B24,11,2)&amp;"月"&amp;MID(体检人信息表!B24,13,2)&amp;"日"</f>
        <v>2004年11月06日</v>
      </c>
      <c r="C49" s="8" t="str">
        <f>IF(MOD(MID(体检人信息表!B24,17,1)/2,1),"男","女")</f>
        <v>男</v>
      </c>
      <c r="D49" s="9">
        <v>175</v>
      </c>
      <c r="E49" s="9">
        <v>50</v>
      </c>
      <c r="F49" s="9">
        <v>5.0999999999999996</v>
      </c>
      <c r="G49" s="10">
        <v>5.0999999999999996</v>
      </c>
    </row>
    <row r="50" spans="1:7" ht="18.75" outlineLevel="2" thickTop="1" thickBot="1" x14ac:dyDescent="0.2">
      <c r="A50" s="7" t="s">
        <v>60</v>
      </c>
      <c r="B50" s="8" t="str">
        <f>MID(体检人信息表!B59,7,4)&amp;"年"&amp;MID(体检人信息表!B59,11,2)&amp;"月"&amp;MID(体检人信息表!B59,13,2)&amp;"日"</f>
        <v>2006年09月04日</v>
      </c>
      <c r="C50" s="8" t="str">
        <f>IF(MOD(MID(体检人信息表!B59,17,1)/2,1),"男","女")</f>
        <v>男</v>
      </c>
      <c r="D50" s="9">
        <v>176</v>
      </c>
      <c r="E50" s="9">
        <v>69.5</v>
      </c>
      <c r="F50" s="9">
        <v>5.0999999999999996</v>
      </c>
      <c r="G50" s="10">
        <v>5.0999999999999996</v>
      </c>
    </row>
    <row r="51" spans="1:7" ht="18.75" outlineLevel="2" thickTop="1" thickBot="1" x14ac:dyDescent="0.2">
      <c r="A51" s="7" t="s">
        <v>6</v>
      </c>
      <c r="B51" s="8" t="str">
        <f>MID(体检人信息表!B5,7,4)&amp;"年"&amp;MID(体检人信息表!B5,11,2)&amp;"月"&amp;MID(体检人信息表!B5,13,2)&amp;"日"</f>
        <v>2004年04月27日</v>
      </c>
      <c r="C51" s="8" t="str">
        <f>IF(MOD(MID(体检人信息表!B5,17,1)/2,1),"男","女")</f>
        <v>男</v>
      </c>
      <c r="D51" s="9">
        <v>165</v>
      </c>
      <c r="E51" s="9">
        <v>60</v>
      </c>
      <c r="F51" s="9">
        <v>4.4000000000000004</v>
      </c>
      <c r="G51" s="10">
        <v>4.5</v>
      </c>
    </row>
    <row r="52" spans="1:7" ht="18.75" outlineLevel="2" thickTop="1" thickBot="1" x14ac:dyDescent="0.2">
      <c r="A52" s="7" t="s">
        <v>8</v>
      </c>
      <c r="B52" s="8" t="str">
        <f>MID(体检人信息表!B7,7,4)&amp;"年"&amp;MID(体检人信息表!B7,11,2)&amp;"月"&amp;MID(体检人信息表!B7,13,2)&amp;"日"</f>
        <v>2004年05月28日</v>
      </c>
      <c r="C52" s="8" t="str">
        <f>IF(MOD(MID(体检人信息表!B7,17,1)/2,1),"男","女")</f>
        <v>男</v>
      </c>
      <c r="D52" s="9">
        <v>180</v>
      </c>
      <c r="E52" s="9">
        <v>70.599999999999994</v>
      </c>
      <c r="F52" s="9">
        <v>4.8</v>
      </c>
      <c r="G52" s="10">
        <v>4.9000000000000004</v>
      </c>
    </row>
    <row r="53" spans="1:7" ht="18.75" outlineLevel="2" thickTop="1" thickBot="1" x14ac:dyDescent="0.2">
      <c r="A53" s="7" t="s">
        <v>29</v>
      </c>
      <c r="B53" s="8" t="str">
        <f>MID(体检人信息表!B28,7,4)&amp;"年"&amp;MID(体检人信息表!B28,11,2)&amp;"月"&amp;MID(体检人信息表!B28,13,2)&amp;"日"</f>
        <v>2005年10月24日</v>
      </c>
      <c r="C53" s="8" t="str">
        <f>IF(MOD(MID(体检人信息表!B28,17,1)/2,1),"男","女")</f>
        <v>男</v>
      </c>
      <c r="D53" s="9">
        <v>171</v>
      </c>
      <c r="E53" s="9">
        <v>60</v>
      </c>
      <c r="F53" s="9">
        <v>4.5</v>
      </c>
      <c r="G53" s="10">
        <v>4.5</v>
      </c>
    </row>
    <row r="54" spans="1:7" ht="18.75" outlineLevel="2" thickTop="1" thickBot="1" x14ac:dyDescent="0.2">
      <c r="A54" s="7" t="s">
        <v>28</v>
      </c>
      <c r="B54" s="8" t="str">
        <f>MID(体检人信息表!B27,7,4)&amp;"年"&amp;MID(体检人信息表!B27,11,2)&amp;"月"&amp;MID(体检人信息表!B27,13,2)&amp;"日"</f>
        <v>2005年01月29日</v>
      </c>
      <c r="C54" s="8" t="str">
        <f>IF(MOD(MID(体检人信息表!B27,17,1)/2,1),"男","女")</f>
        <v>男</v>
      </c>
      <c r="D54" s="9">
        <v>160</v>
      </c>
      <c r="E54" s="9">
        <v>49</v>
      </c>
      <c r="F54" s="9">
        <v>4.9000000000000004</v>
      </c>
      <c r="G54" s="10">
        <v>4.9000000000000004</v>
      </c>
    </row>
    <row r="55" spans="1:7" ht="18.75" outlineLevel="2" thickTop="1" thickBot="1" x14ac:dyDescent="0.2">
      <c r="A55" s="7" t="s">
        <v>45</v>
      </c>
      <c r="B55" s="8" t="str">
        <f>MID(体检人信息表!B44,7,4)&amp;"年"&amp;MID(体检人信息表!B44,11,2)&amp;"月"&amp;MID(体检人信息表!B44,13,2)&amp;"日"</f>
        <v>2005年10月02日</v>
      </c>
      <c r="C55" s="8" t="str">
        <f>IF(MOD(MID(体检人信息表!B44,17,1)/2,1),"男","女")</f>
        <v>男</v>
      </c>
      <c r="D55" s="9">
        <v>179</v>
      </c>
      <c r="E55" s="9">
        <v>58.6</v>
      </c>
      <c r="F55" s="9">
        <v>4.5</v>
      </c>
      <c r="G55" s="10">
        <v>4.5</v>
      </c>
    </row>
    <row r="56" spans="1:7" ht="18.75" outlineLevel="2" thickTop="1" thickBot="1" x14ac:dyDescent="0.2">
      <c r="A56" s="7" t="s">
        <v>18</v>
      </c>
      <c r="B56" s="8" t="str">
        <f>MID(体检人信息表!B17,7,4)&amp;"年"&amp;MID(体检人信息表!B17,11,2)&amp;"月"&amp;MID(体检人信息表!B17,13,2)&amp;"日"</f>
        <v>2005年11月11日</v>
      </c>
      <c r="C56" s="8" t="str">
        <f>IF(MOD(MID(体检人信息表!B17,17,1)/2,1),"男","女")</f>
        <v>男</v>
      </c>
      <c r="D56" s="9">
        <v>167</v>
      </c>
      <c r="E56" s="9">
        <v>60</v>
      </c>
      <c r="F56" s="9">
        <v>5</v>
      </c>
      <c r="G56" s="10">
        <v>5</v>
      </c>
    </row>
    <row r="57" spans="1:7" ht="18.75" outlineLevel="2" thickTop="1" thickBot="1" x14ac:dyDescent="0.2">
      <c r="A57" s="7" t="s">
        <v>35</v>
      </c>
      <c r="B57" s="8" t="str">
        <f>MID(体检人信息表!B34,7,4)&amp;"年"&amp;MID(体检人信息表!B34,11,2)&amp;"月"&amp;MID(体检人信息表!B34,13,2)&amp;"日"</f>
        <v>2006年02月04日</v>
      </c>
      <c r="C57" s="8" t="str">
        <f>IF(MOD(MID(体检人信息表!B34,17,1)/2,1),"男","女")</f>
        <v>男</v>
      </c>
      <c r="D57" s="9">
        <v>183</v>
      </c>
      <c r="E57" s="9">
        <v>69.3</v>
      </c>
      <c r="F57" s="9">
        <v>4.7</v>
      </c>
      <c r="G57" s="10">
        <v>4.7</v>
      </c>
    </row>
    <row r="58" spans="1:7" ht="18.75" outlineLevel="2" thickTop="1" thickBot="1" x14ac:dyDescent="0.2">
      <c r="A58" s="7" t="s">
        <v>62</v>
      </c>
      <c r="B58" s="8" t="str">
        <f>MID(体检人信息表!B61,7,4)&amp;"年"&amp;MID(体检人信息表!B61,11,2)&amp;"月"&amp;MID(体检人信息表!B61,13,2)&amp;"日"</f>
        <v>2006年09月01日</v>
      </c>
      <c r="C58" s="8" t="str">
        <f>IF(MOD(MID(体检人信息表!B61,17,1)/2,1),"男","女")</f>
        <v>男</v>
      </c>
      <c r="D58" s="9">
        <v>178</v>
      </c>
      <c r="E58" s="9">
        <v>58</v>
      </c>
      <c r="F58" s="9">
        <v>5</v>
      </c>
      <c r="G58" s="10">
        <v>5.0999999999999996</v>
      </c>
    </row>
    <row r="59" spans="1:7" ht="18.75" outlineLevel="2" thickTop="1" thickBot="1" x14ac:dyDescent="0.2">
      <c r="A59" s="7" t="s">
        <v>22</v>
      </c>
      <c r="B59" s="8" t="str">
        <f>MID(体检人信息表!B21,7,4)&amp;"年"&amp;MID(体检人信息表!B21,11,2)&amp;"月"&amp;MID(体检人信息表!B21,13,2)&amp;"日"</f>
        <v>2005年05月17日</v>
      </c>
      <c r="C59" s="8" t="str">
        <f>IF(MOD(MID(体检人信息表!B21,17,1)/2,1),"男","女")</f>
        <v>男</v>
      </c>
      <c r="D59" s="9">
        <v>182</v>
      </c>
      <c r="E59" s="9">
        <v>70</v>
      </c>
      <c r="F59" s="9">
        <v>5</v>
      </c>
      <c r="G59" s="10">
        <v>4.9000000000000004</v>
      </c>
    </row>
    <row r="60" spans="1:7" ht="18.75" outlineLevel="2" thickTop="1" thickBot="1" x14ac:dyDescent="0.2">
      <c r="A60" s="7" t="s">
        <v>13</v>
      </c>
      <c r="B60" s="8" t="str">
        <f>MID(体检人信息表!B12,7,4)&amp;"年"&amp;MID(体检人信息表!B12,11,2)&amp;"月"&amp;MID(体检人信息表!B12,13,2)&amp;"日"</f>
        <v>2005年10月26日</v>
      </c>
      <c r="C60" s="8" t="str">
        <f>IF(MOD(MID(体检人信息表!B12,17,1)/2,1),"男","女")</f>
        <v>男</v>
      </c>
      <c r="D60" s="9">
        <v>183</v>
      </c>
      <c r="E60" s="9">
        <v>78</v>
      </c>
      <c r="F60" s="9">
        <v>5</v>
      </c>
      <c r="G60" s="10">
        <v>4.9000000000000004</v>
      </c>
    </row>
    <row r="61" spans="1:7" ht="18.75" outlineLevel="2" thickTop="1" thickBot="1" x14ac:dyDescent="0.2">
      <c r="A61" s="7" t="s">
        <v>36</v>
      </c>
      <c r="B61" s="8" t="str">
        <f>MID(体检人信息表!B35,7,4)&amp;"年"&amp;MID(体检人信息表!B35,11,2)&amp;"月"&amp;MID(体检人信息表!B35,13,2)&amp;"日"</f>
        <v>2005年05月06日</v>
      </c>
      <c r="C61" s="8" t="str">
        <f>IF(MOD(MID(体检人信息表!B35,17,1)/2,1),"男","女")</f>
        <v>男</v>
      </c>
      <c r="D61" s="9">
        <v>165</v>
      </c>
      <c r="E61" s="9">
        <v>58</v>
      </c>
      <c r="F61" s="9">
        <v>4.8</v>
      </c>
      <c r="G61" s="10">
        <v>4.9000000000000004</v>
      </c>
    </row>
    <row r="62" spans="1:7" ht="18.75" outlineLevel="2" thickTop="1" thickBot="1" x14ac:dyDescent="0.2">
      <c r="A62" s="7" t="s">
        <v>11</v>
      </c>
      <c r="B62" s="8" t="str">
        <f>MID(体检人信息表!B10,7,4)&amp;"年"&amp;MID(体检人信息表!B10,11,2)&amp;"月"&amp;MID(体检人信息表!B10,13,2)&amp;"日"</f>
        <v>2005年04月29日</v>
      </c>
      <c r="C62" s="8" t="str">
        <f>IF(MOD(MID(体检人信息表!B10,17,1)/2,1),"男","女")</f>
        <v>男</v>
      </c>
      <c r="D62" s="9">
        <v>176</v>
      </c>
      <c r="E62" s="9">
        <v>78</v>
      </c>
      <c r="F62" s="9">
        <v>5</v>
      </c>
      <c r="G62" s="10">
        <v>5</v>
      </c>
    </row>
    <row r="63" spans="1:7" ht="18.75" outlineLevel="2" thickTop="1" thickBot="1" x14ac:dyDescent="0.2">
      <c r="A63" s="7" t="s">
        <v>49</v>
      </c>
      <c r="B63" s="8" t="str">
        <f>MID(体检人信息表!B48,7,4)&amp;"年"&amp;MID(体检人信息表!B48,11,2)&amp;"月"&amp;MID(体检人信息表!B48,13,2)&amp;"日"</f>
        <v>2005年09月04日</v>
      </c>
      <c r="C63" s="8" t="str">
        <f>IF(MOD(MID(体检人信息表!B48,17,1)/2,1),"男","女")</f>
        <v>男</v>
      </c>
      <c r="D63" s="9">
        <v>174</v>
      </c>
      <c r="E63" s="9">
        <v>65</v>
      </c>
      <c r="F63" s="9">
        <v>5.0999999999999996</v>
      </c>
      <c r="G63" s="10">
        <v>5.0999999999999996</v>
      </c>
    </row>
    <row r="64" spans="1:7" ht="18.75" outlineLevel="2" thickTop="1" thickBot="1" x14ac:dyDescent="0.2">
      <c r="A64" s="7" t="s">
        <v>14</v>
      </c>
      <c r="B64" s="8" t="str">
        <f>MID(体检人信息表!B13,7,4)&amp;"年"&amp;MID(体检人信息表!B13,11,2)&amp;"月"&amp;MID(体检人信息表!B13,13,2)&amp;"日"</f>
        <v>2004年03月05日</v>
      </c>
      <c r="C64" s="8" t="str">
        <f>IF(MOD(MID(体检人信息表!B13,17,1)/2,1),"男","女")</f>
        <v>男</v>
      </c>
      <c r="D64" s="9">
        <v>188</v>
      </c>
      <c r="E64" s="9">
        <v>79</v>
      </c>
      <c r="F64" s="9">
        <v>5</v>
      </c>
      <c r="G64" s="10">
        <v>5.0999999999999996</v>
      </c>
    </row>
    <row r="65" spans="1:7" ht="18.75" outlineLevel="2" thickTop="1" thickBot="1" x14ac:dyDescent="0.2">
      <c r="A65" s="7" t="s">
        <v>7</v>
      </c>
      <c r="B65" s="8" t="str">
        <f>MID(体检人信息表!B6,7,4)&amp;"年"&amp;MID(体检人信息表!B6,11,2)&amp;"月"&amp;MID(体检人信息表!B6,13,2)&amp;"日"</f>
        <v>2005年05月24日</v>
      </c>
      <c r="C65" s="8" t="str">
        <f>IF(MOD(MID(体检人信息表!B6,17,1)/2,1),"男","女")</f>
        <v>男</v>
      </c>
      <c r="D65" s="9">
        <v>182</v>
      </c>
      <c r="E65" s="9">
        <v>71.3</v>
      </c>
      <c r="F65" s="9">
        <v>4.7</v>
      </c>
      <c r="G65" s="10">
        <v>4.7</v>
      </c>
    </row>
    <row r="66" spans="1:7" ht="18.75" outlineLevel="2" thickTop="1" thickBot="1" x14ac:dyDescent="0.2">
      <c r="A66" s="7" t="s">
        <v>41</v>
      </c>
      <c r="B66" s="8" t="str">
        <f>MID(体检人信息表!B40,7,4)&amp;"年"&amp;MID(体检人信息表!B40,11,2)&amp;"月"&amp;MID(体检人信息表!B40,13,2)&amp;"日"</f>
        <v>2006年07月04日</v>
      </c>
      <c r="C66" s="8" t="str">
        <f>IF(MOD(MID(体检人信息表!B40,17,1)/2,1),"男","女")</f>
        <v>男</v>
      </c>
      <c r="D66" s="9">
        <v>174</v>
      </c>
      <c r="E66" s="9">
        <v>64</v>
      </c>
      <c r="F66" s="9">
        <v>5.0999999999999996</v>
      </c>
      <c r="G66" s="10">
        <v>5.0999999999999996</v>
      </c>
    </row>
    <row r="67" spans="1:7" ht="18.75" outlineLevel="2" thickTop="1" thickBot="1" x14ac:dyDescent="0.2">
      <c r="A67" s="11" t="s">
        <v>20</v>
      </c>
      <c r="B67" s="12" t="str">
        <f>MID(体检人信息表!B19,7,4)&amp;"年"&amp;MID(体检人信息表!B19,11,2)&amp;"月"&amp;MID(体检人信息表!B19,13,2)&amp;"日"</f>
        <v>2005年03月29日</v>
      </c>
      <c r="C67" s="12" t="str">
        <f>IF(MOD(MID(体检人信息表!B19,17,1)/2,1),"男","女")</f>
        <v>男</v>
      </c>
      <c r="D67" s="13">
        <v>168</v>
      </c>
      <c r="E67" s="13">
        <v>74</v>
      </c>
      <c r="F67" s="13">
        <v>5</v>
      </c>
      <c r="G67" s="14">
        <v>5</v>
      </c>
    </row>
    <row r="68" spans="1:7" ht="18" outlineLevel="1" thickTop="1" x14ac:dyDescent="0.15">
      <c r="A68" s="18"/>
      <c r="B68" s="18"/>
      <c r="C68" s="20" t="s">
        <v>144</v>
      </c>
      <c r="D68" s="19">
        <f>SUBTOTAL(1,D31:D67)</f>
        <v>173.40540540540542</v>
      </c>
      <c r="E68" s="19">
        <f>SUBTOTAL(1,E31:E67)</f>
        <v>64.435135135135127</v>
      </c>
      <c r="F68" s="19"/>
      <c r="G68" s="19"/>
    </row>
    <row r="69" spans="1:7" ht="17.25" x14ac:dyDescent="0.15">
      <c r="A69" s="18"/>
      <c r="B69" s="18"/>
      <c r="C69" s="20" t="s">
        <v>145</v>
      </c>
      <c r="D69" s="19">
        <f>SUBTOTAL(1,D2:D67)</f>
        <v>171.64615384615385</v>
      </c>
      <c r="E69" s="19">
        <f>SUBTOTAL(1,E2:E67)</f>
        <v>62.332307692307694</v>
      </c>
      <c r="F69" s="19"/>
      <c r="G69" s="19"/>
    </row>
  </sheetData>
  <sortState ref="A2:G66">
    <sortCondition descending="1" ref="C2:C66"/>
    <sortCondition descending="1" ref="A2:A66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E10" sqref="E10"/>
    </sheetView>
  </sheetViews>
  <sheetFormatPr defaultRowHeight="13.5" x14ac:dyDescent="0.1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</vt:i4>
      </vt:variant>
    </vt:vector>
  </HeadingPairs>
  <TitlesOfParts>
    <vt:vector size="6" baseType="lpstr">
      <vt:lpstr>体检表</vt:lpstr>
      <vt:lpstr>体检人信息表</vt:lpstr>
      <vt:lpstr>筛选</vt:lpstr>
      <vt:lpstr>分类汇总</vt:lpstr>
      <vt:lpstr>体检流程表</vt:lpstr>
      <vt:lpstr>筛选!Criteria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2021-12-17T07:52:04Z</dcterms:modified>
</cp:coreProperties>
</file>