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员工工资表" sheetId="1" r:id="rId1"/>
    <sheet name="加班费" sheetId="2" r:id="rId2"/>
    <sheet name="筛选" sheetId="3" r:id="rId3"/>
  </sheets>
  <definedNames>
    <definedName name="_xlnm._FilterDatabase" localSheetId="2" hidden="1">筛选!$A$3:$H$17</definedName>
    <definedName name="_xlnm.Criteria" localSheetId="2">筛选!$A$1:$E$2</definedName>
  </definedNames>
  <calcPr calcId="144525"/>
</workbook>
</file>

<file path=xl/calcChain.xml><?xml version="1.0" encoding="utf-8"?>
<calcChain xmlns="http://schemas.openxmlformats.org/spreadsheetml/2006/main">
  <c r="K10" i="1" l="1"/>
  <c r="K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</calcChain>
</file>

<file path=xl/sharedStrings.xml><?xml version="1.0" encoding="utf-8"?>
<sst xmlns="http://schemas.openxmlformats.org/spreadsheetml/2006/main" count="111" uniqueCount="62">
  <si>
    <t>姓名</t>
    <phoneticPr fontId="1" type="noConversion"/>
  </si>
  <si>
    <t>性别</t>
    <phoneticPr fontId="1" type="noConversion"/>
  </si>
  <si>
    <t>年龄</t>
    <phoneticPr fontId="1" type="noConversion"/>
  </si>
  <si>
    <t>职务</t>
    <phoneticPr fontId="1" type="noConversion"/>
  </si>
  <si>
    <t>李琴</t>
    <phoneticPr fontId="1" type="noConversion"/>
  </si>
  <si>
    <t>王小雪</t>
    <phoneticPr fontId="1" type="noConversion"/>
  </si>
  <si>
    <t>张妍</t>
    <phoneticPr fontId="1" type="noConversion"/>
  </si>
  <si>
    <t>雷云东</t>
    <phoneticPr fontId="1" type="noConversion"/>
  </si>
  <si>
    <t>王海涛</t>
    <phoneticPr fontId="1" type="noConversion"/>
  </si>
  <si>
    <t>刘畅</t>
    <phoneticPr fontId="1" type="noConversion"/>
  </si>
  <si>
    <t>李斯</t>
    <phoneticPr fontId="1" type="noConversion"/>
  </si>
  <si>
    <t>苏小北</t>
    <phoneticPr fontId="1" type="noConversion"/>
  </si>
  <si>
    <t>封信</t>
    <phoneticPr fontId="1" type="noConversion"/>
  </si>
  <si>
    <t>封铭朗</t>
    <phoneticPr fontId="1" type="noConversion"/>
  </si>
  <si>
    <t>沈佳亮</t>
    <phoneticPr fontId="1" type="noConversion"/>
  </si>
  <si>
    <t>王娜娜</t>
    <phoneticPr fontId="1" type="noConversion"/>
  </si>
  <si>
    <t>苏华阳</t>
    <phoneticPr fontId="1" type="noConversion"/>
  </si>
  <si>
    <t>陈晓凯</t>
    <phoneticPr fontId="1" type="noConversion"/>
  </si>
  <si>
    <t>女</t>
    <phoneticPr fontId="1" type="noConversion"/>
  </si>
  <si>
    <t>男</t>
    <phoneticPr fontId="1" type="noConversion"/>
  </si>
  <si>
    <t>会计</t>
    <phoneticPr fontId="1" type="noConversion"/>
  </si>
  <si>
    <t>销售员</t>
    <phoneticPr fontId="1" type="noConversion"/>
  </si>
  <si>
    <t>采购员</t>
    <phoneticPr fontId="1" type="noConversion"/>
  </si>
  <si>
    <t>经理</t>
    <phoneticPr fontId="1" type="noConversion"/>
  </si>
  <si>
    <t>加班时长</t>
    <phoneticPr fontId="1" type="noConversion"/>
  </si>
  <si>
    <t>加班总费用</t>
    <phoneticPr fontId="1" type="noConversion"/>
  </si>
  <si>
    <t>加班费（每小时）</t>
    <phoneticPr fontId="1" type="noConversion"/>
  </si>
  <si>
    <t>应发工资</t>
    <phoneticPr fontId="1" type="noConversion"/>
  </si>
  <si>
    <t>实发工资</t>
    <phoneticPr fontId="1" type="noConversion"/>
  </si>
  <si>
    <t>男员工平均年龄</t>
    <phoneticPr fontId="1" type="noConversion"/>
  </si>
  <si>
    <t>女员工平均年龄</t>
    <phoneticPr fontId="1" type="noConversion"/>
  </si>
  <si>
    <t>2021年11月份员工工资表</t>
    <phoneticPr fontId="1" type="noConversion"/>
  </si>
  <si>
    <t>评价</t>
    <phoneticPr fontId="1" type="noConversion"/>
  </si>
  <si>
    <t>姓名</t>
  </si>
  <si>
    <t>性别</t>
  </si>
  <si>
    <t>年龄</t>
  </si>
  <si>
    <t>职务</t>
  </si>
  <si>
    <t>应发工资</t>
  </si>
  <si>
    <t>加班时长</t>
  </si>
  <si>
    <t>加班总费用</t>
  </si>
  <si>
    <t>实发工资</t>
  </si>
  <si>
    <t>李琴</t>
  </si>
  <si>
    <t>女</t>
  </si>
  <si>
    <t>会计</t>
  </si>
  <si>
    <t>王小雪</t>
  </si>
  <si>
    <t>张妍</t>
  </si>
  <si>
    <t>销售员</t>
  </si>
  <si>
    <t>雷云东</t>
  </si>
  <si>
    <t>男</t>
  </si>
  <si>
    <t>王海涛</t>
  </si>
  <si>
    <t>采购员</t>
  </si>
  <si>
    <t>刘畅</t>
  </si>
  <si>
    <t>经理</t>
  </si>
  <si>
    <t>李斯</t>
  </si>
  <si>
    <t>苏小北</t>
  </si>
  <si>
    <t>封信</t>
  </si>
  <si>
    <t>封铭朗</t>
  </si>
  <si>
    <t>沈佳亮</t>
  </si>
  <si>
    <t>王娜娜</t>
  </si>
  <si>
    <t>苏华阳</t>
  </si>
  <si>
    <t>陈晓凯</t>
  </si>
  <si>
    <t>&gt;=1200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</si>
</sst>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.0;&quot;¥&quot;\-#,##0.0"/>
    <numFmt numFmtId="177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rgb="FF7030A0"/>
      <name val="楷体"/>
      <family val="3"/>
      <charset val="134"/>
    </font>
    <font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177" fontId="0" fillId="0" borderId="0" xfId="0" applyNumberFormat="1"/>
    <xf numFmtId="0" fontId="0" fillId="0" borderId="1" xfId="0" applyBorder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工资对比图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员工工资表!$E$2</c:f>
              <c:strCache>
                <c:ptCount val="1"/>
                <c:pt idx="0">
                  <c:v>应发工资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员工工资表!$E$3:$E$16</c:f>
              <c:numCache>
                <c:formatCode>"¥"#,##0.0;"¥"\-#,##0.0</c:formatCode>
                <c:ptCount val="14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1100</c:v>
                </c:pt>
                <c:pt idx="4">
                  <c:v>1260</c:v>
                </c:pt>
                <c:pt idx="5">
                  <c:v>1350</c:v>
                </c:pt>
                <c:pt idx="6">
                  <c:v>1250</c:v>
                </c:pt>
                <c:pt idx="7">
                  <c:v>1050</c:v>
                </c:pt>
                <c:pt idx="8">
                  <c:v>1500</c:v>
                </c:pt>
                <c:pt idx="9">
                  <c:v>1080</c:v>
                </c:pt>
                <c:pt idx="10">
                  <c:v>1180</c:v>
                </c:pt>
                <c:pt idx="11">
                  <c:v>1220</c:v>
                </c:pt>
                <c:pt idx="12">
                  <c:v>1350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员工工资表!$H$2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员工工资表!$H$3:$H$16</c:f>
              <c:numCache>
                <c:formatCode>"¥"#,##0.0;"¥"\-#,##0.0</c:formatCode>
                <c:ptCount val="14"/>
                <c:pt idx="0">
                  <c:v>1350</c:v>
                </c:pt>
                <c:pt idx="1">
                  <c:v>1287.5</c:v>
                </c:pt>
                <c:pt idx="2">
                  <c:v>1260</c:v>
                </c:pt>
                <c:pt idx="3">
                  <c:v>1190</c:v>
                </c:pt>
                <c:pt idx="4">
                  <c:v>1312.5</c:v>
                </c:pt>
                <c:pt idx="5">
                  <c:v>1390</c:v>
                </c:pt>
                <c:pt idx="6">
                  <c:v>1320</c:v>
                </c:pt>
                <c:pt idx="7">
                  <c:v>1170</c:v>
                </c:pt>
                <c:pt idx="8">
                  <c:v>1590</c:v>
                </c:pt>
                <c:pt idx="9">
                  <c:v>1142.5</c:v>
                </c:pt>
                <c:pt idx="10">
                  <c:v>1215</c:v>
                </c:pt>
                <c:pt idx="11">
                  <c:v>1295</c:v>
                </c:pt>
                <c:pt idx="12">
                  <c:v>1455</c:v>
                </c:pt>
                <c:pt idx="13">
                  <c:v>1262.5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511680"/>
        <c:axId val="186041856"/>
        <c:axId val="0"/>
      </c:bar3DChart>
      <c:catAx>
        <c:axId val="181511680"/>
        <c:scaling>
          <c:orientation val="minMax"/>
        </c:scaling>
        <c:delete val="0"/>
        <c:axPos val="b"/>
        <c:majorTickMark val="out"/>
        <c:minorTickMark val="none"/>
        <c:tickLblPos val="nextTo"/>
        <c:crossAx val="186041856"/>
        <c:crosses val="autoZero"/>
        <c:auto val="1"/>
        <c:lblAlgn val="ctr"/>
        <c:lblOffset val="100"/>
        <c:noMultiLvlLbl val="0"/>
      </c:catAx>
      <c:valAx>
        <c:axId val="186041856"/>
        <c:scaling>
          <c:orientation val="minMax"/>
        </c:scaling>
        <c:delete val="0"/>
        <c:axPos val="l"/>
        <c:majorGridlines/>
        <c:numFmt formatCode="&quot;¥&quot;#,##0.0;&quot;¥&quot;\-#,##0.0" sourceLinked="1"/>
        <c:majorTickMark val="out"/>
        <c:minorTickMark val="none"/>
        <c:tickLblPos val="nextTo"/>
        <c:crossAx val="181511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6</xdr:col>
      <xdr:colOff>866775</xdr:colOff>
      <xdr:row>29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I16" totalsRowShown="0" headerRowDxfId="1" dataDxfId="2">
  <autoFilter ref="A2:I16"/>
  <tableColumns count="9">
    <tableColumn id="1" name="姓名" dataDxfId="11"/>
    <tableColumn id="2" name="性别" dataDxfId="10"/>
    <tableColumn id="3" name="年龄" dataDxfId="9"/>
    <tableColumn id="4" name="职务" dataDxfId="8"/>
    <tableColumn id="5" name="应发工资" dataDxfId="7"/>
    <tableColumn id="6" name="加班时长" dataDxfId="6"/>
    <tableColumn id="7" name="加班总费用" dataDxfId="5">
      <calculatedColumnFormula>F3*VLOOKUP(D3,加班费!$A$2:$B$5,2,FALSE)</calculatedColumnFormula>
    </tableColumn>
    <tableColumn id="8" name="实发工资" dataDxfId="4">
      <calculatedColumnFormula>SUM(E3,G3)</calculatedColumnFormula>
    </tableColumn>
    <tableColumn id="9" name="评价" dataDxfId="3">
      <calculatedColumnFormula>IF(F3&gt;=2.5,"优秀","加油干")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6"/>
  <sheetViews>
    <sheetView workbookViewId="0">
      <selection activeCell="A2" sqref="A2:H16"/>
    </sheetView>
  </sheetViews>
  <sheetFormatPr defaultRowHeight="13.5" x14ac:dyDescent="0.15"/>
  <cols>
    <col min="1" max="1" width="7.125" customWidth="1"/>
    <col min="2" max="3" width="6.5" customWidth="1"/>
    <col min="4" max="4" width="7.125" customWidth="1"/>
    <col min="5" max="6" width="10.25" customWidth="1"/>
    <col min="7" max="7" width="12.125" customWidth="1"/>
    <col min="8" max="8" width="10.25" customWidth="1"/>
    <col min="11" max="11" width="9" customWidth="1"/>
  </cols>
  <sheetData>
    <row r="1" spans="1:11" ht="32.1" customHeight="1" x14ac:dyDescent="0.15">
      <c r="A1" s="1" t="s">
        <v>31</v>
      </c>
      <c r="B1" s="1"/>
      <c r="C1" s="1"/>
      <c r="D1" s="1"/>
      <c r="E1" s="1"/>
      <c r="F1" s="1"/>
      <c r="G1" s="1"/>
      <c r="H1" s="1"/>
      <c r="I1" s="1"/>
    </row>
    <row r="2" spans="1:11" ht="16.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27</v>
      </c>
      <c r="F2" s="3" t="s">
        <v>24</v>
      </c>
      <c r="G2" s="3" t="s">
        <v>25</v>
      </c>
      <c r="H2" s="3" t="s">
        <v>28</v>
      </c>
      <c r="I2" s="3" t="s">
        <v>32</v>
      </c>
    </row>
    <row r="3" spans="1:11" ht="16.5" x14ac:dyDescent="0.3">
      <c r="A3" s="3" t="s">
        <v>4</v>
      </c>
      <c r="B3" s="3" t="s">
        <v>18</v>
      </c>
      <c r="C3" s="3">
        <v>22</v>
      </c>
      <c r="D3" s="3" t="s">
        <v>20</v>
      </c>
      <c r="E3" s="5">
        <v>1300</v>
      </c>
      <c r="F3" s="4">
        <v>2</v>
      </c>
      <c r="G3" s="5">
        <f>F3*VLOOKUP(D3,加班费!$A$2:$B$5,2,FALSE)</f>
        <v>50</v>
      </c>
      <c r="H3" s="5">
        <f>SUM(E3,G3)</f>
        <v>1350</v>
      </c>
      <c r="I3" s="2" t="str">
        <f>IF(F3&gt;=2.5,"优秀","加油干")</f>
        <v>加油干</v>
      </c>
    </row>
    <row r="4" spans="1:11" ht="16.5" x14ac:dyDescent="0.3">
      <c r="A4" s="3" t="s">
        <v>5</v>
      </c>
      <c r="B4" s="3" t="s">
        <v>18</v>
      </c>
      <c r="C4" s="3">
        <v>20</v>
      </c>
      <c r="D4" s="3" t="s">
        <v>20</v>
      </c>
      <c r="E4" s="5">
        <v>1250</v>
      </c>
      <c r="F4" s="4">
        <v>1.5</v>
      </c>
      <c r="G4" s="5">
        <f>F4*VLOOKUP(D4,加班费!$A$2:$B$5,2,FALSE)</f>
        <v>37.5</v>
      </c>
      <c r="H4" s="5">
        <f t="shared" ref="H4:H16" si="0">SUM(E4,G4)</f>
        <v>1287.5</v>
      </c>
      <c r="I4" s="2" t="str">
        <f t="shared" ref="I4:I16" si="1">IF(F4&gt;=2.5,"优秀","加油干")</f>
        <v>加油干</v>
      </c>
    </row>
    <row r="5" spans="1:11" ht="16.5" x14ac:dyDescent="0.3">
      <c r="A5" s="3" t="s">
        <v>6</v>
      </c>
      <c r="B5" s="3" t="s">
        <v>18</v>
      </c>
      <c r="C5" s="3">
        <v>21</v>
      </c>
      <c r="D5" s="3" t="s">
        <v>21</v>
      </c>
      <c r="E5" s="5">
        <v>1200</v>
      </c>
      <c r="F5" s="4">
        <v>2</v>
      </c>
      <c r="G5" s="5">
        <f>F5*VLOOKUP(D5,加班费!$A$2:$B$5,2,FALSE)</f>
        <v>60</v>
      </c>
      <c r="H5" s="5">
        <f t="shared" si="0"/>
        <v>1260</v>
      </c>
      <c r="I5" s="2" t="str">
        <f t="shared" si="1"/>
        <v>加油干</v>
      </c>
    </row>
    <row r="6" spans="1:11" ht="16.5" x14ac:dyDescent="0.3">
      <c r="A6" s="3" t="s">
        <v>7</v>
      </c>
      <c r="B6" s="3" t="s">
        <v>19</v>
      </c>
      <c r="C6" s="3">
        <v>25</v>
      </c>
      <c r="D6" s="3" t="s">
        <v>21</v>
      </c>
      <c r="E6" s="5">
        <v>1100</v>
      </c>
      <c r="F6" s="4">
        <v>3</v>
      </c>
      <c r="G6" s="5">
        <f>F6*VLOOKUP(D6,加班费!$A$2:$B$5,2,FALSE)</f>
        <v>90</v>
      </c>
      <c r="H6" s="5">
        <f t="shared" si="0"/>
        <v>1190</v>
      </c>
      <c r="I6" s="2" t="str">
        <f t="shared" si="1"/>
        <v>优秀</v>
      </c>
    </row>
    <row r="7" spans="1:11" ht="16.5" x14ac:dyDescent="0.3">
      <c r="A7" s="3" t="s">
        <v>8</v>
      </c>
      <c r="B7" s="3" t="s">
        <v>19</v>
      </c>
      <c r="C7" s="3">
        <v>24</v>
      </c>
      <c r="D7" s="3" t="s">
        <v>22</v>
      </c>
      <c r="E7" s="5">
        <v>1260</v>
      </c>
      <c r="F7" s="4">
        <v>1.5</v>
      </c>
      <c r="G7" s="5">
        <f>F7*VLOOKUP(D7,加班费!$A$2:$B$5,2,FALSE)</f>
        <v>52.5</v>
      </c>
      <c r="H7" s="5">
        <f t="shared" si="0"/>
        <v>1312.5</v>
      </c>
      <c r="I7" s="2" t="str">
        <f t="shared" si="1"/>
        <v>加油干</v>
      </c>
      <c r="K7" t="s">
        <v>30</v>
      </c>
    </row>
    <row r="8" spans="1:11" ht="16.5" x14ac:dyDescent="0.3">
      <c r="A8" s="3" t="s">
        <v>9</v>
      </c>
      <c r="B8" s="3" t="s">
        <v>19</v>
      </c>
      <c r="C8" s="3">
        <v>23</v>
      </c>
      <c r="D8" s="3" t="s">
        <v>23</v>
      </c>
      <c r="E8" s="5">
        <v>1350</v>
      </c>
      <c r="F8" s="4">
        <v>2</v>
      </c>
      <c r="G8" s="5">
        <f>F8*VLOOKUP(D8,加班费!$A$2:$B$5,2,FALSE)</f>
        <v>40</v>
      </c>
      <c r="H8" s="5">
        <f t="shared" si="0"/>
        <v>1390</v>
      </c>
      <c r="I8" s="2" t="str">
        <f t="shared" si="1"/>
        <v>加油干</v>
      </c>
      <c r="K8" s="6">
        <f>SUMIF($B$2:$B$16,"女",$C$2:$C$16)/COUNTIF($B$2:$B$16,"女")</f>
        <v>21</v>
      </c>
    </row>
    <row r="9" spans="1:11" ht="16.5" x14ac:dyDescent="0.3">
      <c r="A9" s="3" t="s">
        <v>10</v>
      </c>
      <c r="B9" s="3" t="s">
        <v>19</v>
      </c>
      <c r="C9" s="3">
        <v>26</v>
      </c>
      <c r="D9" s="3" t="s">
        <v>22</v>
      </c>
      <c r="E9" s="5">
        <v>1250</v>
      </c>
      <c r="F9" s="4">
        <v>2</v>
      </c>
      <c r="G9" s="5">
        <f>F9*VLOOKUP(D9,加班费!$A$2:$B$5,2,FALSE)</f>
        <v>70</v>
      </c>
      <c r="H9" s="5">
        <f t="shared" si="0"/>
        <v>1320</v>
      </c>
      <c r="I9" s="2" t="str">
        <f t="shared" si="1"/>
        <v>加油干</v>
      </c>
      <c r="K9" t="s">
        <v>29</v>
      </c>
    </row>
    <row r="10" spans="1:11" ht="16.5" x14ac:dyDescent="0.3">
      <c r="A10" s="3" t="s">
        <v>11</v>
      </c>
      <c r="B10" s="3" t="s">
        <v>18</v>
      </c>
      <c r="C10" s="3">
        <v>21</v>
      </c>
      <c r="D10" s="3" t="s">
        <v>21</v>
      </c>
      <c r="E10" s="5">
        <v>1050</v>
      </c>
      <c r="F10" s="4">
        <v>4</v>
      </c>
      <c r="G10" s="5">
        <f>F10*VLOOKUP(D10,加班费!$A$2:$B$5,2,FALSE)</f>
        <v>120</v>
      </c>
      <c r="H10" s="5">
        <f t="shared" si="0"/>
        <v>1170</v>
      </c>
      <c r="I10" s="2" t="str">
        <f t="shared" si="1"/>
        <v>优秀</v>
      </c>
      <c r="K10" s="6">
        <f>SUMIF($B$2:$B$16,"男",$C$2:$C$16)/COUNTIF($B$2:$B$16,"男")</f>
        <v>23.111111111111111</v>
      </c>
    </row>
    <row r="11" spans="1:11" ht="16.5" x14ac:dyDescent="0.3">
      <c r="A11" s="3" t="s">
        <v>12</v>
      </c>
      <c r="B11" s="3" t="s">
        <v>19</v>
      </c>
      <c r="C11" s="3">
        <v>20</v>
      </c>
      <c r="D11" s="3" t="s">
        <v>21</v>
      </c>
      <c r="E11" s="5">
        <v>1500</v>
      </c>
      <c r="F11" s="4">
        <v>3</v>
      </c>
      <c r="G11" s="5">
        <f>F11*VLOOKUP(D11,加班费!$A$2:$B$5,2,FALSE)</f>
        <v>90</v>
      </c>
      <c r="H11" s="5">
        <f t="shared" si="0"/>
        <v>1590</v>
      </c>
      <c r="I11" s="2" t="str">
        <f t="shared" si="1"/>
        <v>优秀</v>
      </c>
    </row>
    <row r="12" spans="1:11" ht="16.5" x14ac:dyDescent="0.3">
      <c r="A12" s="3" t="s">
        <v>13</v>
      </c>
      <c r="B12" s="3" t="s">
        <v>19</v>
      </c>
      <c r="C12" s="3">
        <v>20</v>
      </c>
      <c r="D12" s="3" t="s">
        <v>20</v>
      </c>
      <c r="E12" s="5">
        <v>1080</v>
      </c>
      <c r="F12" s="4">
        <v>2.5</v>
      </c>
      <c r="G12" s="5">
        <f>F12*VLOOKUP(D12,加班费!$A$2:$B$5,2,FALSE)</f>
        <v>62.5</v>
      </c>
      <c r="H12" s="5">
        <f t="shared" si="0"/>
        <v>1142.5</v>
      </c>
      <c r="I12" s="2" t="str">
        <f t="shared" si="1"/>
        <v>优秀</v>
      </c>
    </row>
    <row r="13" spans="1:11" ht="16.5" x14ac:dyDescent="0.3">
      <c r="A13" s="3" t="s">
        <v>14</v>
      </c>
      <c r="B13" s="3" t="s">
        <v>19</v>
      </c>
      <c r="C13" s="3">
        <v>22</v>
      </c>
      <c r="D13" s="3" t="s">
        <v>22</v>
      </c>
      <c r="E13" s="5">
        <v>1180</v>
      </c>
      <c r="F13" s="4">
        <v>1</v>
      </c>
      <c r="G13" s="5">
        <f>F13*VLOOKUP(D13,加班费!$A$2:$B$5,2,FALSE)</f>
        <v>35</v>
      </c>
      <c r="H13" s="5">
        <f t="shared" si="0"/>
        <v>1215</v>
      </c>
      <c r="I13" s="2" t="str">
        <f t="shared" si="1"/>
        <v>加油干</v>
      </c>
    </row>
    <row r="14" spans="1:11" ht="16.5" x14ac:dyDescent="0.3">
      <c r="A14" s="3" t="s">
        <v>15</v>
      </c>
      <c r="B14" s="3" t="s">
        <v>18</v>
      </c>
      <c r="C14" s="3">
        <v>21</v>
      </c>
      <c r="D14" s="3" t="s">
        <v>21</v>
      </c>
      <c r="E14" s="5">
        <v>1220</v>
      </c>
      <c r="F14" s="4">
        <v>2.5</v>
      </c>
      <c r="G14" s="5">
        <f>F14*VLOOKUP(D14,加班费!$A$2:$B$5,2,FALSE)</f>
        <v>75</v>
      </c>
      <c r="H14" s="5">
        <f t="shared" si="0"/>
        <v>1295</v>
      </c>
      <c r="I14" s="2" t="str">
        <f t="shared" si="1"/>
        <v>优秀</v>
      </c>
    </row>
    <row r="15" spans="1:11" ht="16.5" x14ac:dyDescent="0.3">
      <c r="A15" s="3" t="s">
        <v>16</v>
      </c>
      <c r="B15" s="3" t="s">
        <v>19</v>
      </c>
      <c r="C15" s="3">
        <v>25</v>
      </c>
      <c r="D15" s="3" t="s">
        <v>22</v>
      </c>
      <c r="E15" s="5">
        <v>1350</v>
      </c>
      <c r="F15" s="4">
        <v>3</v>
      </c>
      <c r="G15" s="5">
        <f>F15*VLOOKUP(D15,加班费!$A$2:$B$5,2,FALSE)</f>
        <v>105</v>
      </c>
      <c r="H15" s="5">
        <f t="shared" si="0"/>
        <v>1455</v>
      </c>
      <c r="I15" s="2" t="str">
        <f t="shared" si="1"/>
        <v>优秀</v>
      </c>
    </row>
    <row r="16" spans="1:11" ht="16.5" x14ac:dyDescent="0.3">
      <c r="A16" s="3" t="s">
        <v>17</v>
      </c>
      <c r="B16" s="3" t="s">
        <v>19</v>
      </c>
      <c r="C16" s="3">
        <v>23</v>
      </c>
      <c r="D16" s="3" t="s">
        <v>20</v>
      </c>
      <c r="E16" s="5">
        <v>1200</v>
      </c>
      <c r="F16" s="4">
        <v>2.5</v>
      </c>
      <c r="G16" s="5">
        <f>F16*VLOOKUP(D16,加班费!$A$2:$B$5,2,FALSE)</f>
        <v>62.5</v>
      </c>
      <c r="H16" s="5">
        <f t="shared" si="0"/>
        <v>1262.5</v>
      </c>
      <c r="I16" s="2" t="str">
        <f t="shared" si="1"/>
        <v>优秀</v>
      </c>
    </row>
  </sheetData>
  <mergeCells count="1">
    <mergeCell ref="A1:I1"/>
  </mergeCells>
  <phoneticPr fontId="1" type="noConversion"/>
  <conditionalFormatting sqref="F3:F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{3AB73D03-C42F-4366-B153-B882265FDC90}</x14:id>
        </ext>
      </extLst>
    </cfRule>
  </conditionalFormatting>
  <conditionalFormatting sqref="H3:H16 E3:E16">
    <cfRule type="cellIs" dxfId="0" priority="1" operator="greaterThan">
      <formula>1250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B73D03-C42F-4366-B153-B882265FD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3.5" x14ac:dyDescent="0.15"/>
  <sheetData>
    <row r="1" spans="1:2" x14ac:dyDescent="0.15">
      <c r="A1" t="s">
        <v>26</v>
      </c>
    </row>
    <row r="2" spans="1:2" x14ac:dyDescent="0.15">
      <c r="A2" t="s">
        <v>20</v>
      </c>
      <c r="B2">
        <v>25</v>
      </c>
    </row>
    <row r="3" spans="1:2" x14ac:dyDescent="0.15">
      <c r="A3" t="s">
        <v>21</v>
      </c>
      <c r="B3">
        <v>30</v>
      </c>
    </row>
    <row r="4" spans="1:2" x14ac:dyDescent="0.15">
      <c r="A4" t="s">
        <v>23</v>
      </c>
      <c r="B4">
        <v>20</v>
      </c>
    </row>
    <row r="5" spans="1:2" x14ac:dyDescent="0.15">
      <c r="A5" t="s">
        <v>22</v>
      </c>
      <c r="B5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8"/>
  <sheetViews>
    <sheetView tabSelected="1" zoomScaleNormal="100" workbookViewId="0">
      <selection activeCell="C32" sqref="C32"/>
    </sheetView>
  </sheetViews>
  <sheetFormatPr defaultRowHeight="13.5" x14ac:dyDescent="0.15"/>
  <sheetData>
    <row r="1" spans="1:8" x14ac:dyDescent="0.15">
      <c r="E1" t="s">
        <v>37</v>
      </c>
    </row>
    <row r="2" spans="1:8" ht="14.25" thickBot="1" x14ac:dyDescent="0.2">
      <c r="E2" t="s">
        <v>61</v>
      </c>
    </row>
    <row r="3" spans="1:8" ht="15" thickTop="1" thickBot="1" x14ac:dyDescent="0.2">
      <c r="A3" s="7" t="s">
        <v>33</v>
      </c>
      <c r="B3" s="7" t="s">
        <v>34</v>
      </c>
      <c r="C3" s="7" t="s">
        <v>35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</row>
    <row r="4" spans="1:8" ht="15" thickTop="1" thickBot="1" x14ac:dyDescent="0.2">
      <c r="A4" s="7" t="s">
        <v>41</v>
      </c>
      <c r="B4" s="7" t="s">
        <v>42</v>
      </c>
      <c r="C4" s="7">
        <v>22</v>
      </c>
      <c r="D4" s="7" t="s">
        <v>43</v>
      </c>
      <c r="E4" s="7">
        <v>1300</v>
      </c>
      <c r="F4" s="7">
        <v>2</v>
      </c>
      <c r="G4" s="7">
        <v>50</v>
      </c>
      <c r="H4" s="7">
        <v>1350</v>
      </c>
    </row>
    <row r="5" spans="1:8" ht="15" thickTop="1" thickBot="1" x14ac:dyDescent="0.2">
      <c r="A5" s="7" t="s">
        <v>44</v>
      </c>
      <c r="B5" s="7" t="s">
        <v>42</v>
      </c>
      <c r="C5" s="7">
        <v>20</v>
      </c>
      <c r="D5" s="7" t="s">
        <v>43</v>
      </c>
      <c r="E5" s="7">
        <v>1250</v>
      </c>
      <c r="F5" s="7">
        <v>1.5</v>
      </c>
      <c r="G5" s="7">
        <v>37.5</v>
      </c>
      <c r="H5" s="7">
        <v>1287.5</v>
      </c>
    </row>
    <row r="6" spans="1:8" ht="15" thickTop="1" thickBot="1" x14ac:dyDescent="0.2">
      <c r="A6" s="7" t="s">
        <v>45</v>
      </c>
      <c r="B6" s="7" t="s">
        <v>42</v>
      </c>
      <c r="C6" s="7">
        <v>21</v>
      </c>
      <c r="D6" s="7" t="s">
        <v>46</v>
      </c>
      <c r="E6" s="7">
        <v>1200</v>
      </c>
      <c r="F6" s="7">
        <v>2</v>
      </c>
      <c r="G6" s="7">
        <v>60</v>
      </c>
      <c r="H6" s="7">
        <v>1260</v>
      </c>
    </row>
    <row r="7" spans="1:8" hidden="1" x14ac:dyDescent="0.15">
      <c r="A7" t="s">
        <v>47</v>
      </c>
      <c r="B7" t="s">
        <v>48</v>
      </c>
      <c r="C7">
        <v>25</v>
      </c>
      <c r="D7" t="s">
        <v>46</v>
      </c>
      <c r="E7">
        <v>1100</v>
      </c>
      <c r="F7">
        <v>3</v>
      </c>
      <c r="G7">
        <v>90</v>
      </c>
      <c r="H7">
        <v>1190</v>
      </c>
    </row>
    <row r="8" spans="1:8" ht="15" thickTop="1" thickBot="1" x14ac:dyDescent="0.2">
      <c r="A8" s="7" t="s">
        <v>49</v>
      </c>
      <c r="B8" s="7" t="s">
        <v>48</v>
      </c>
      <c r="C8" s="7">
        <v>24</v>
      </c>
      <c r="D8" s="7" t="s">
        <v>50</v>
      </c>
      <c r="E8" s="7">
        <v>1260</v>
      </c>
      <c r="F8" s="7">
        <v>1.5</v>
      </c>
      <c r="G8" s="7">
        <v>52.5</v>
      </c>
      <c r="H8" s="7">
        <v>1312.5</v>
      </c>
    </row>
    <row r="9" spans="1:8" ht="15" thickTop="1" thickBot="1" x14ac:dyDescent="0.2">
      <c r="A9" s="7" t="s">
        <v>51</v>
      </c>
      <c r="B9" s="7" t="s">
        <v>48</v>
      </c>
      <c r="C9" s="7">
        <v>23</v>
      </c>
      <c r="D9" s="7" t="s">
        <v>52</v>
      </c>
      <c r="E9" s="7">
        <v>1350</v>
      </c>
      <c r="F9" s="7">
        <v>2</v>
      </c>
      <c r="G9" s="7">
        <v>40</v>
      </c>
      <c r="H9" s="7">
        <v>1390</v>
      </c>
    </row>
    <row r="10" spans="1:8" ht="15" thickTop="1" thickBot="1" x14ac:dyDescent="0.2">
      <c r="A10" s="7" t="s">
        <v>53</v>
      </c>
      <c r="B10" s="7" t="s">
        <v>48</v>
      </c>
      <c r="C10" s="7">
        <v>26</v>
      </c>
      <c r="D10" s="7" t="s">
        <v>50</v>
      </c>
      <c r="E10" s="7">
        <v>1250</v>
      </c>
      <c r="F10" s="7">
        <v>2</v>
      </c>
      <c r="G10" s="7">
        <v>70</v>
      </c>
      <c r="H10" s="7">
        <v>1320</v>
      </c>
    </row>
    <row r="11" spans="1:8" hidden="1" x14ac:dyDescent="0.15">
      <c r="A11" t="s">
        <v>54</v>
      </c>
      <c r="B11" t="s">
        <v>42</v>
      </c>
      <c r="C11">
        <v>21</v>
      </c>
      <c r="D11" t="s">
        <v>46</v>
      </c>
      <c r="E11">
        <v>1050</v>
      </c>
      <c r="F11">
        <v>4</v>
      </c>
      <c r="G11">
        <v>120</v>
      </c>
      <c r="H11">
        <v>1170</v>
      </c>
    </row>
    <row r="12" spans="1:8" ht="15" thickTop="1" thickBot="1" x14ac:dyDescent="0.2">
      <c r="A12" s="7" t="s">
        <v>55</v>
      </c>
      <c r="B12" s="7" t="s">
        <v>48</v>
      </c>
      <c r="C12" s="7">
        <v>20</v>
      </c>
      <c r="D12" s="7" t="s">
        <v>46</v>
      </c>
      <c r="E12" s="7">
        <v>1500</v>
      </c>
      <c r="F12" s="7">
        <v>3</v>
      </c>
      <c r="G12" s="7">
        <v>90</v>
      </c>
      <c r="H12" s="7">
        <v>1590</v>
      </c>
    </row>
    <row r="13" spans="1:8" hidden="1" x14ac:dyDescent="0.15">
      <c r="A13" t="s">
        <v>56</v>
      </c>
      <c r="B13" t="s">
        <v>48</v>
      </c>
      <c r="C13">
        <v>20</v>
      </c>
      <c r="D13" t="s">
        <v>43</v>
      </c>
      <c r="E13">
        <v>1080</v>
      </c>
      <c r="F13">
        <v>2.5</v>
      </c>
      <c r="G13">
        <v>62.5</v>
      </c>
      <c r="H13">
        <v>1142.5</v>
      </c>
    </row>
    <row r="14" spans="1:8" hidden="1" x14ac:dyDescent="0.15">
      <c r="A14" t="s">
        <v>57</v>
      </c>
      <c r="B14" t="s">
        <v>48</v>
      </c>
      <c r="C14">
        <v>22</v>
      </c>
      <c r="D14" t="s">
        <v>50</v>
      </c>
      <c r="E14">
        <v>1180</v>
      </c>
      <c r="F14">
        <v>1</v>
      </c>
      <c r="G14">
        <v>35</v>
      </c>
      <c r="H14">
        <v>1215</v>
      </c>
    </row>
    <row r="15" spans="1:8" ht="15" thickTop="1" thickBot="1" x14ac:dyDescent="0.2">
      <c r="A15" s="7" t="s">
        <v>58</v>
      </c>
      <c r="B15" s="7" t="s">
        <v>42</v>
      </c>
      <c r="C15" s="7">
        <v>21</v>
      </c>
      <c r="D15" s="7" t="s">
        <v>46</v>
      </c>
      <c r="E15" s="7">
        <v>1220</v>
      </c>
      <c r="F15" s="7">
        <v>2.5</v>
      </c>
      <c r="G15" s="7">
        <v>75</v>
      </c>
      <c r="H15" s="7">
        <v>1295</v>
      </c>
    </row>
    <row r="16" spans="1:8" ht="15" thickTop="1" thickBot="1" x14ac:dyDescent="0.2">
      <c r="A16" s="7" t="s">
        <v>59</v>
      </c>
      <c r="B16" s="7" t="s">
        <v>48</v>
      </c>
      <c r="C16" s="7">
        <v>25</v>
      </c>
      <c r="D16" s="7" t="s">
        <v>50</v>
      </c>
      <c r="E16" s="7">
        <v>1350</v>
      </c>
      <c r="F16" s="7">
        <v>3</v>
      </c>
      <c r="G16" s="7">
        <v>105</v>
      </c>
      <c r="H16" s="7">
        <v>1455</v>
      </c>
    </row>
    <row r="17" spans="1:8" ht="15" thickTop="1" thickBot="1" x14ac:dyDescent="0.2">
      <c r="A17" s="7" t="s">
        <v>60</v>
      </c>
      <c r="B17" s="7" t="s">
        <v>48</v>
      </c>
      <c r="C17" s="7">
        <v>23</v>
      </c>
      <c r="D17" s="7" t="s">
        <v>43</v>
      </c>
      <c r="E17" s="7">
        <v>1200</v>
      </c>
      <c r="F17" s="7">
        <v>2.5</v>
      </c>
      <c r="G17" s="7">
        <v>62.5</v>
      </c>
      <c r="H17" s="7">
        <v>1262.5</v>
      </c>
    </row>
    <row r="18" spans="1:8" ht="14.25" thickTop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员工工资表</vt:lpstr>
      <vt:lpstr>加班费</vt:lpstr>
      <vt:lpstr>筛选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2021-12-16T06:03:31Z</dcterms:modified>
</cp:coreProperties>
</file>