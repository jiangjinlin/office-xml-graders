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53F2F7EA-DB88-4F56-BB93-05B455DA3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销售报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_FilterDatabase" localSheetId="1" hidden="1">Sheet2!$A$1:$G$43</definedName>
    <definedName name="_xlnm._FilterDatabase" localSheetId="2" hidden="1">筛选!$A$3:$G$45</definedName>
    <definedName name="_xlnm.Criteria" localSheetId="2">筛选!$A$1:$A$2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4" l="1"/>
  <c r="G40" i="4"/>
  <c r="G29" i="4"/>
  <c r="G19" i="4"/>
  <c r="G13" i="4"/>
  <c r="G9" i="4"/>
  <c r="G52" i="4"/>
  <c r="G18" i="4"/>
  <c r="G47" i="4"/>
  <c r="G17" i="4"/>
  <c r="G51" i="4"/>
  <c r="G22" i="4"/>
  <c r="G46" i="4"/>
  <c r="G45" i="4"/>
  <c r="G16" i="4"/>
  <c r="G50" i="4"/>
  <c r="G21" i="4"/>
  <c r="G23" i="4" s="1"/>
  <c r="G44" i="4"/>
  <c r="G48" i="4" s="1"/>
  <c r="G15" i="4"/>
  <c r="G43" i="4"/>
  <c r="G49" i="4"/>
  <c r="G20" i="4"/>
  <c r="G42" i="4"/>
  <c r="G14" i="4"/>
  <c r="G41" i="4"/>
  <c r="G4" i="4"/>
  <c r="G39" i="4"/>
  <c r="G38" i="4"/>
  <c r="G28" i="4"/>
  <c r="G8" i="4"/>
  <c r="G27" i="4"/>
  <c r="G26" i="4"/>
  <c r="G12" i="4"/>
  <c r="G25" i="4"/>
  <c r="G33" i="4"/>
  <c r="G32" i="4"/>
  <c r="G31" i="4"/>
  <c r="G30" i="4"/>
  <c r="G34" i="4" s="1"/>
  <c r="G11" i="4"/>
  <c r="G37" i="4"/>
  <c r="G24" i="4"/>
  <c r="G10" i="4"/>
  <c r="G36" i="4"/>
  <c r="G3" i="4"/>
  <c r="G2" i="4"/>
  <c r="G7" i="4"/>
  <c r="G35" i="4"/>
  <c r="G6" i="4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3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2" i="2"/>
  <c r="G5" i="4" l="1"/>
  <c r="G54" i="4" s="1"/>
</calcChain>
</file>

<file path=xl/sharedStrings.xml><?xml version="1.0" encoding="utf-8"?>
<sst xmlns="http://schemas.openxmlformats.org/spreadsheetml/2006/main" count="714" uniqueCount="58">
  <si>
    <t>日期</t>
    <phoneticPr fontId="1" type="noConversion"/>
  </si>
  <si>
    <t>品名</t>
    <phoneticPr fontId="1" type="noConversion"/>
  </si>
  <si>
    <t>型号</t>
    <phoneticPr fontId="1" type="noConversion"/>
  </si>
  <si>
    <t>地区</t>
    <phoneticPr fontId="1" type="noConversion"/>
  </si>
  <si>
    <t>销售量</t>
    <phoneticPr fontId="1" type="noConversion"/>
  </si>
  <si>
    <t>单价</t>
    <phoneticPr fontId="1" type="noConversion"/>
  </si>
  <si>
    <t>一季度</t>
    <phoneticPr fontId="1" type="noConversion"/>
  </si>
  <si>
    <t>二季度</t>
    <phoneticPr fontId="1" type="noConversion"/>
  </si>
  <si>
    <t>电脑</t>
  </si>
  <si>
    <t>电脑</t>
    <phoneticPr fontId="1" type="noConversion"/>
  </si>
  <si>
    <t>华中</t>
  </si>
  <si>
    <t>华东</t>
  </si>
  <si>
    <t>p3-733</t>
  </si>
  <si>
    <t>华北</t>
  </si>
  <si>
    <t>打印机</t>
  </si>
  <si>
    <t>EPSO-LQ300</t>
  </si>
  <si>
    <t>p4-1.8</t>
  </si>
  <si>
    <t>p4-2.0</t>
    <phoneticPr fontId="1" type="noConversion"/>
  </si>
  <si>
    <t>p4-17</t>
    <phoneticPr fontId="1" type="noConversion"/>
  </si>
  <si>
    <t>打印机</t>
    <phoneticPr fontId="1" type="noConversion"/>
  </si>
  <si>
    <t>复印机</t>
    <phoneticPr fontId="1" type="noConversion"/>
  </si>
  <si>
    <t>HP-激光-1000</t>
    <phoneticPr fontId="1" type="noConversion"/>
  </si>
  <si>
    <t>CANON-2100</t>
    <phoneticPr fontId="1" type="noConversion"/>
  </si>
  <si>
    <t>夏普</t>
    <phoneticPr fontId="1" type="noConversion"/>
  </si>
  <si>
    <t>松下</t>
    <phoneticPr fontId="1" type="noConversion"/>
  </si>
  <si>
    <t>美能达</t>
    <phoneticPr fontId="1" type="noConversion"/>
  </si>
  <si>
    <t>p4-1.7</t>
    <phoneticPr fontId="1" type="noConversion"/>
  </si>
  <si>
    <t>P3-733</t>
    <phoneticPr fontId="1" type="noConversion"/>
  </si>
  <si>
    <t>针式</t>
    <phoneticPr fontId="1" type="noConversion"/>
  </si>
  <si>
    <t>喷墨</t>
    <phoneticPr fontId="1" type="noConversion"/>
  </si>
  <si>
    <t>激光</t>
    <phoneticPr fontId="1" type="noConversion"/>
  </si>
  <si>
    <t>联想</t>
    <phoneticPr fontId="1" type="noConversion"/>
  </si>
  <si>
    <t>华南</t>
    <phoneticPr fontId="1" type="noConversion"/>
  </si>
  <si>
    <t>华东</t>
    <phoneticPr fontId="1" type="noConversion"/>
  </si>
  <si>
    <t>华中</t>
    <phoneticPr fontId="1" type="noConversion"/>
  </si>
  <si>
    <t>华北</t>
    <phoneticPr fontId="1" type="noConversion"/>
  </si>
  <si>
    <t>复印机</t>
    <phoneticPr fontId="1" type="noConversion"/>
  </si>
  <si>
    <t>二季度</t>
    <phoneticPr fontId="1" type="noConversion"/>
  </si>
  <si>
    <t>一季度</t>
    <phoneticPr fontId="1" type="noConversion"/>
  </si>
  <si>
    <t>投影仪</t>
    <phoneticPr fontId="1" type="noConversion"/>
  </si>
  <si>
    <t>松下</t>
    <phoneticPr fontId="1" type="noConversion"/>
  </si>
  <si>
    <t>华中</t>
    <phoneticPr fontId="1" type="noConversion"/>
  </si>
  <si>
    <t>联想</t>
    <phoneticPr fontId="1" type="noConversion"/>
  </si>
  <si>
    <t>华北</t>
    <phoneticPr fontId="1" type="noConversion"/>
  </si>
  <si>
    <t>华东</t>
    <phoneticPr fontId="1" type="noConversion"/>
  </si>
  <si>
    <t>显示器</t>
    <phoneticPr fontId="1" type="noConversion"/>
  </si>
  <si>
    <t>京东方</t>
    <phoneticPr fontId="1" type="noConversion"/>
  </si>
  <si>
    <t>广东长贸有限公司2021年上半年销售报表</t>
  </si>
  <si>
    <t>销售额</t>
    <phoneticPr fontId="1" type="noConversion"/>
  </si>
  <si>
    <t>评语</t>
    <phoneticPr fontId="1" type="noConversion"/>
  </si>
  <si>
    <t>销售量</t>
    <phoneticPr fontId="1" type="noConversion"/>
  </si>
  <si>
    <t>&gt;=1500</t>
    <phoneticPr fontId="1" type="noConversion"/>
  </si>
  <si>
    <t>打印机 最大值</t>
  </si>
  <si>
    <t>电脑 最大值</t>
  </si>
  <si>
    <t>复印机 最大值</t>
  </si>
  <si>
    <t>投影仪 最大值</t>
  </si>
  <si>
    <t>显示器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</si>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</sst>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rgb="FFFF0000"/>
      <name val="微软雅黑"/>
      <family val="2"/>
      <charset val="134"/>
    </font>
    <font>
      <sz val="11"/>
      <color theme="1"/>
      <name val="华文楷体"/>
      <family val="3"/>
      <charset val="134"/>
    </font>
    <font>
      <b/>
      <sz val="11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double">
        <color rgb="FFFF0000"/>
      </right>
      <top style="thick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thick">
        <color rgb="FFFF0000"/>
      </top>
      <bottom style="double">
        <color rgb="FFFF0000"/>
      </bottom>
      <diagonal/>
    </border>
    <border>
      <left style="double">
        <color rgb="FFFF0000"/>
      </left>
      <right style="thick">
        <color rgb="FFFF0000"/>
      </right>
      <top style="thick">
        <color rgb="FFFF0000"/>
      </top>
      <bottom style="double">
        <color rgb="FFFF0000"/>
      </bottom>
      <diagonal/>
    </border>
    <border>
      <left style="thick">
        <color rgb="FFFF0000"/>
      </left>
      <right style="double">
        <color rgb="FFFF0000"/>
      </right>
      <top style="double">
        <color rgb="FFFF0000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thick">
        <color rgb="FFFF0000"/>
      </bottom>
      <diagonal/>
    </border>
    <border>
      <left style="double">
        <color rgb="FFFF0000"/>
      </left>
      <right style="thick">
        <color rgb="FFFF0000"/>
      </right>
      <top style="double">
        <color rgb="FFFF0000"/>
      </top>
      <bottom style="thick">
        <color rgb="FFFF0000"/>
      </bottom>
      <diagonal/>
    </border>
    <border>
      <left style="thick">
        <color rgb="FFFF0000"/>
      </left>
      <right style="double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17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0" fillId="0" borderId="6" xfId="0" applyNumberFormat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0" fillId="0" borderId="9" xfId="0" applyNumberFormat="1" applyBorder="1"/>
    <xf numFmtId="176" fontId="0" fillId="0" borderId="3" xfId="0" applyNumberForma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0">
    <dxf>
      <font>
        <color rgb="FF00206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销售量统计图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销售量</c:v>
                </c:pt>
              </c:strCache>
            </c:strRef>
          </c:tx>
          <c:invertIfNegative val="0"/>
          <c:cat>
            <c:strRef>
              <c:f>Sheet2!$B$2:$B$43</c:f>
              <c:strCache>
                <c:ptCount val="42"/>
                <c:pt idx="0">
                  <c:v>电脑</c:v>
                </c:pt>
                <c:pt idx="1">
                  <c:v>复印机</c:v>
                </c:pt>
                <c:pt idx="2">
                  <c:v>电脑</c:v>
                </c:pt>
                <c:pt idx="3">
                  <c:v>打印机</c:v>
                </c:pt>
                <c:pt idx="4">
                  <c:v>打印机</c:v>
                </c:pt>
                <c:pt idx="5">
                  <c:v>复印机</c:v>
                </c:pt>
                <c:pt idx="6">
                  <c:v>复印机</c:v>
                </c:pt>
                <c:pt idx="7">
                  <c:v>打印机</c:v>
                </c:pt>
                <c:pt idx="8">
                  <c:v>复印机</c:v>
                </c:pt>
                <c:pt idx="9">
                  <c:v>复印机</c:v>
                </c:pt>
                <c:pt idx="10">
                  <c:v>电脑</c:v>
                </c:pt>
                <c:pt idx="11">
                  <c:v>电脑</c:v>
                </c:pt>
                <c:pt idx="12">
                  <c:v>电脑</c:v>
                </c:pt>
                <c:pt idx="13">
                  <c:v>电脑</c:v>
                </c:pt>
                <c:pt idx="14">
                  <c:v>打印机</c:v>
                </c:pt>
                <c:pt idx="15">
                  <c:v>复印机</c:v>
                </c:pt>
                <c:pt idx="16">
                  <c:v>打印机</c:v>
                </c:pt>
                <c:pt idx="17">
                  <c:v>打印机</c:v>
                </c:pt>
                <c:pt idx="18">
                  <c:v>电脑</c:v>
                </c:pt>
                <c:pt idx="19">
                  <c:v>打印机</c:v>
                </c:pt>
                <c:pt idx="20">
                  <c:v>复印机</c:v>
                </c:pt>
                <c:pt idx="21">
                  <c:v>复印机</c:v>
                </c:pt>
                <c:pt idx="22">
                  <c:v>打印机</c:v>
                </c:pt>
                <c:pt idx="23">
                  <c:v>投影仪</c:v>
                </c:pt>
                <c:pt idx="24">
                  <c:v>投影仪</c:v>
                </c:pt>
                <c:pt idx="25">
                  <c:v>投影仪</c:v>
                </c:pt>
                <c:pt idx="26">
                  <c:v>显示器</c:v>
                </c:pt>
                <c:pt idx="27">
                  <c:v>显示器</c:v>
                </c:pt>
                <c:pt idx="28">
                  <c:v>投影仪</c:v>
                </c:pt>
                <c:pt idx="29">
                  <c:v>投影仪</c:v>
                </c:pt>
                <c:pt idx="30">
                  <c:v>投影仪</c:v>
                </c:pt>
                <c:pt idx="31">
                  <c:v>显示器</c:v>
                </c:pt>
                <c:pt idx="32">
                  <c:v>显示器</c:v>
                </c:pt>
                <c:pt idx="33">
                  <c:v>投影仪</c:v>
                </c:pt>
                <c:pt idx="34">
                  <c:v>投影仪</c:v>
                </c:pt>
                <c:pt idx="35">
                  <c:v>投影仪</c:v>
                </c:pt>
                <c:pt idx="36">
                  <c:v>显示器</c:v>
                </c:pt>
                <c:pt idx="37">
                  <c:v>显示器</c:v>
                </c:pt>
                <c:pt idx="38">
                  <c:v>投影仪</c:v>
                </c:pt>
                <c:pt idx="39">
                  <c:v>投影仪</c:v>
                </c:pt>
                <c:pt idx="40">
                  <c:v>投影仪</c:v>
                </c:pt>
                <c:pt idx="41">
                  <c:v>显示器</c:v>
                </c:pt>
              </c:strCache>
            </c:strRef>
          </c:cat>
          <c:val>
            <c:numRef>
              <c:f>Sheet2!$E$2:$E$43</c:f>
              <c:numCache>
                <c:formatCode>General</c:formatCode>
                <c:ptCount val="42"/>
                <c:pt idx="0">
                  <c:v>1560</c:v>
                </c:pt>
                <c:pt idx="1">
                  <c:v>1192</c:v>
                </c:pt>
                <c:pt idx="2">
                  <c:v>1875</c:v>
                </c:pt>
                <c:pt idx="3">
                  <c:v>860</c:v>
                </c:pt>
                <c:pt idx="4">
                  <c:v>2100</c:v>
                </c:pt>
                <c:pt idx="5">
                  <c:v>1204</c:v>
                </c:pt>
                <c:pt idx="6">
                  <c:v>780</c:v>
                </c:pt>
                <c:pt idx="7">
                  <c:v>800</c:v>
                </c:pt>
                <c:pt idx="8">
                  <c:v>1038</c:v>
                </c:pt>
                <c:pt idx="9">
                  <c:v>640</c:v>
                </c:pt>
                <c:pt idx="10">
                  <c:v>590</c:v>
                </c:pt>
                <c:pt idx="11">
                  <c:v>365</c:v>
                </c:pt>
                <c:pt idx="12">
                  <c:v>2730</c:v>
                </c:pt>
                <c:pt idx="13">
                  <c:v>1200</c:v>
                </c:pt>
                <c:pt idx="14">
                  <c:v>424</c:v>
                </c:pt>
                <c:pt idx="15">
                  <c:v>550</c:v>
                </c:pt>
                <c:pt idx="16">
                  <c:v>577</c:v>
                </c:pt>
                <c:pt idx="17">
                  <c:v>731</c:v>
                </c:pt>
                <c:pt idx="18">
                  <c:v>1254</c:v>
                </c:pt>
                <c:pt idx="19">
                  <c:v>885</c:v>
                </c:pt>
                <c:pt idx="20">
                  <c:v>1499</c:v>
                </c:pt>
                <c:pt idx="21">
                  <c:v>1050</c:v>
                </c:pt>
                <c:pt idx="22">
                  <c:v>980</c:v>
                </c:pt>
                <c:pt idx="23">
                  <c:v>599</c:v>
                </c:pt>
                <c:pt idx="24">
                  <c:v>1890</c:v>
                </c:pt>
                <c:pt idx="25">
                  <c:v>958</c:v>
                </c:pt>
                <c:pt idx="26">
                  <c:v>1656</c:v>
                </c:pt>
                <c:pt idx="27">
                  <c:v>1399</c:v>
                </c:pt>
                <c:pt idx="28">
                  <c:v>865</c:v>
                </c:pt>
                <c:pt idx="29">
                  <c:v>2550</c:v>
                </c:pt>
                <c:pt idx="30">
                  <c:v>1855</c:v>
                </c:pt>
                <c:pt idx="31">
                  <c:v>758</c:v>
                </c:pt>
                <c:pt idx="32">
                  <c:v>2980</c:v>
                </c:pt>
                <c:pt idx="33">
                  <c:v>1980</c:v>
                </c:pt>
                <c:pt idx="34">
                  <c:v>589</c:v>
                </c:pt>
                <c:pt idx="35">
                  <c:v>1899</c:v>
                </c:pt>
                <c:pt idx="36">
                  <c:v>758</c:v>
                </c:pt>
                <c:pt idx="37">
                  <c:v>852</c:v>
                </c:pt>
                <c:pt idx="38">
                  <c:v>699</c:v>
                </c:pt>
                <c:pt idx="39">
                  <c:v>580</c:v>
                </c:pt>
                <c:pt idx="40">
                  <c:v>1890</c:v>
                </c:pt>
                <c:pt idx="41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1-491C-9596-5E5EA38D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0036096"/>
        <c:axId val="140276480"/>
        <c:axId val="0"/>
      </c:bar3DChart>
      <c:catAx>
        <c:axId val="220036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0276480"/>
        <c:crosses val="autoZero"/>
        <c:auto val="1"/>
        <c:lblAlgn val="ctr"/>
        <c:lblOffset val="100"/>
        <c:noMultiLvlLbl val="0"/>
      </c:catAx>
      <c:valAx>
        <c:axId val="140276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036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14</xdr:row>
      <xdr:rowOff>109537</xdr:rowOff>
    </xdr:from>
    <xdr:to>
      <xdr:col>9</xdr:col>
      <xdr:colOff>600075</xdr:colOff>
      <xdr:row>30</xdr:row>
      <xdr:rowOff>109537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2:G44" totalsRowShown="0" headerRowDxfId="9" dataDxfId="8">
  <autoFilter ref="A2:G44" xr:uid="{00000000-0009-0000-0100-000001000000}"/>
  <tableColumns count="7">
    <tableColumn id="1" xr3:uid="{00000000-0010-0000-0000-000001000000}" name="日期" dataDxfId="7"/>
    <tableColumn id="2" xr3:uid="{00000000-0010-0000-0000-000002000000}" name="品名" dataDxfId="6"/>
    <tableColumn id="3" xr3:uid="{00000000-0010-0000-0000-000003000000}" name="型号" dataDxfId="5"/>
    <tableColumn id="4" xr3:uid="{00000000-0010-0000-0000-000004000000}" name="地区" dataDxfId="4"/>
    <tableColumn id="5" xr3:uid="{00000000-0010-0000-0000-000005000000}" name="销售量" dataDxfId="3"/>
    <tableColumn id="6" xr3:uid="{00000000-0010-0000-0000-000006000000}" name="单价" dataDxfId="2"/>
    <tableColumn id="7" xr3:uid="{00000000-0010-0000-0000-000007000000}" name="评语" dataDxfId="1">
      <calculatedColumnFormula>IF(E3&gt;=1000,"硕果累累","劳苦功高")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29" zoomScaleNormal="100" workbookViewId="0">
      <selection activeCell="E2" sqref="E2:E44"/>
    </sheetView>
  </sheetViews>
  <sheetFormatPr defaultRowHeight="13.5" x14ac:dyDescent="0.15"/>
  <cols>
    <col min="1" max="2" width="9.5" bestFit="1" customWidth="1"/>
    <col min="3" max="3" width="12.875" bestFit="1" customWidth="1"/>
    <col min="4" max="4" width="9.5" bestFit="1" customWidth="1"/>
    <col min="5" max="5" width="11.5" bestFit="1" customWidth="1"/>
    <col min="6" max="7" width="9.5" bestFit="1" customWidth="1"/>
  </cols>
  <sheetData>
    <row r="1" spans="1:7" ht="30" customHeight="1" x14ac:dyDescent="0.15">
      <c r="A1" s="14" t="s">
        <v>47</v>
      </c>
      <c r="B1" s="14"/>
      <c r="C1" s="14"/>
      <c r="D1" s="14"/>
      <c r="E1" s="14"/>
      <c r="F1" s="14"/>
      <c r="G1" s="14"/>
    </row>
    <row r="2" spans="1:7" ht="16.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49</v>
      </c>
    </row>
    <row r="3" spans="1:7" ht="16.5" x14ac:dyDescent="0.15">
      <c r="A3" s="1" t="s">
        <v>6</v>
      </c>
      <c r="B3" s="1" t="s">
        <v>8</v>
      </c>
      <c r="C3" s="1" t="s">
        <v>18</v>
      </c>
      <c r="D3" s="1" t="s">
        <v>10</v>
      </c>
      <c r="E3" s="1">
        <v>1560</v>
      </c>
      <c r="F3" s="1">
        <v>3680</v>
      </c>
      <c r="G3" s="1" t="str">
        <f>IF(E3&gt;=1000,"硕果累累","劳苦功高")</f>
        <v>硕果累累</v>
      </c>
    </row>
    <row r="4" spans="1:7" ht="16.5" x14ac:dyDescent="0.15">
      <c r="A4" s="1" t="s">
        <v>7</v>
      </c>
      <c r="B4" s="1" t="s">
        <v>20</v>
      </c>
      <c r="C4" s="1" t="s">
        <v>24</v>
      </c>
      <c r="D4" s="1" t="s">
        <v>34</v>
      </c>
      <c r="E4" s="1">
        <v>1192</v>
      </c>
      <c r="F4" s="1">
        <v>7920</v>
      </c>
      <c r="G4" s="1" t="str">
        <f t="shared" ref="G4:G44" si="0">IF(E4&gt;=1000,"硕果累累","劳苦功高")</f>
        <v>硕果累累</v>
      </c>
    </row>
    <row r="5" spans="1:7" ht="16.5" x14ac:dyDescent="0.15">
      <c r="A5" s="1" t="s">
        <v>6</v>
      </c>
      <c r="B5" s="1" t="s">
        <v>8</v>
      </c>
      <c r="C5" s="1" t="s">
        <v>17</v>
      </c>
      <c r="D5" s="1" t="s">
        <v>11</v>
      </c>
      <c r="E5" s="1">
        <v>1875</v>
      </c>
      <c r="F5" s="1">
        <v>4230</v>
      </c>
      <c r="G5" s="1" t="str">
        <f t="shared" si="0"/>
        <v>硕果累累</v>
      </c>
    </row>
    <row r="6" spans="1:7" ht="16.5" x14ac:dyDescent="0.15">
      <c r="A6" s="1" t="s">
        <v>6</v>
      </c>
      <c r="B6" s="1" t="s">
        <v>14</v>
      </c>
      <c r="C6" s="1" t="s">
        <v>15</v>
      </c>
      <c r="D6" s="1" t="s">
        <v>10</v>
      </c>
      <c r="E6" s="1">
        <v>860</v>
      </c>
      <c r="F6" s="1">
        <v>1450</v>
      </c>
      <c r="G6" s="1" t="str">
        <f t="shared" si="0"/>
        <v>劳苦功高</v>
      </c>
    </row>
    <row r="7" spans="1:7" ht="16.5" x14ac:dyDescent="0.15">
      <c r="A7" s="1" t="s">
        <v>6</v>
      </c>
      <c r="B7" s="1" t="s">
        <v>19</v>
      </c>
      <c r="C7" s="1" t="s">
        <v>22</v>
      </c>
      <c r="D7" s="1" t="s">
        <v>33</v>
      </c>
      <c r="E7" s="1">
        <v>2100</v>
      </c>
      <c r="F7" s="1">
        <v>385</v>
      </c>
      <c r="G7" s="1" t="str">
        <f t="shared" si="0"/>
        <v>硕果累累</v>
      </c>
    </row>
    <row r="8" spans="1:7" ht="16.5" x14ac:dyDescent="0.15">
      <c r="A8" s="1" t="s">
        <v>7</v>
      </c>
      <c r="B8" s="1" t="s">
        <v>20</v>
      </c>
      <c r="C8" s="1" t="s">
        <v>31</v>
      </c>
      <c r="D8" s="1" t="s">
        <v>32</v>
      </c>
      <c r="E8" s="1">
        <v>1204</v>
      </c>
      <c r="F8" s="1">
        <v>5640</v>
      </c>
      <c r="G8" s="1" t="str">
        <f t="shared" si="0"/>
        <v>硕果累累</v>
      </c>
    </row>
    <row r="9" spans="1:7" ht="16.5" x14ac:dyDescent="0.15">
      <c r="A9" s="1" t="s">
        <v>6</v>
      </c>
      <c r="B9" s="1" t="s">
        <v>36</v>
      </c>
      <c r="C9" s="1" t="s">
        <v>23</v>
      </c>
      <c r="D9" s="1" t="s">
        <v>34</v>
      </c>
      <c r="E9" s="1">
        <v>780</v>
      </c>
      <c r="F9" s="1">
        <v>6780</v>
      </c>
      <c r="G9" s="1" t="str">
        <f t="shared" si="0"/>
        <v>劳苦功高</v>
      </c>
    </row>
    <row r="10" spans="1:7" ht="16.5" x14ac:dyDescent="0.15">
      <c r="A10" s="1" t="s">
        <v>7</v>
      </c>
      <c r="B10" s="1" t="s">
        <v>19</v>
      </c>
      <c r="C10" s="1" t="s">
        <v>30</v>
      </c>
      <c r="D10" s="1" t="s">
        <v>35</v>
      </c>
      <c r="E10" s="1">
        <v>800</v>
      </c>
      <c r="F10" s="1">
        <v>1920</v>
      </c>
      <c r="G10" s="1" t="str">
        <f t="shared" si="0"/>
        <v>劳苦功高</v>
      </c>
    </row>
    <row r="11" spans="1:7" ht="16.5" x14ac:dyDescent="0.15">
      <c r="A11" s="1" t="s">
        <v>7</v>
      </c>
      <c r="B11" s="1" t="s">
        <v>20</v>
      </c>
      <c r="C11" s="1" t="s">
        <v>23</v>
      </c>
      <c r="D11" s="1" t="s">
        <v>33</v>
      </c>
      <c r="E11" s="1">
        <v>1038</v>
      </c>
      <c r="F11" s="1">
        <v>8561</v>
      </c>
      <c r="G11" s="1" t="str">
        <f t="shared" si="0"/>
        <v>硕果累累</v>
      </c>
    </row>
    <row r="12" spans="1:7" ht="16.5" x14ac:dyDescent="0.15">
      <c r="A12" s="1" t="s">
        <v>6</v>
      </c>
      <c r="B12" s="1" t="s">
        <v>20</v>
      </c>
      <c r="C12" s="1" t="s">
        <v>25</v>
      </c>
      <c r="D12" s="1" t="s">
        <v>33</v>
      </c>
      <c r="E12" s="1">
        <v>640</v>
      </c>
      <c r="F12" s="1">
        <v>7685</v>
      </c>
      <c r="G12" s="1" t="str">
        <f t="shared" si="0"/>
        <v>劳苦功高</v>
      </c>
    </row>
    <row r="13" spans="1:7" ht="16.5" x14ac:dyDescent="0.15">
      <c r="A13" s="1" t="s">
        <v>7</v>
      </c>
      <c r="B13" s="1" t="s">
        <v>9</v>
      </c>
      <c r="C13" s="1" t="s">
        <v>26</v>
      </c>
      <c r="D13" s="1" t="s">
        <v>34</v>
      </c>
      <c r="E13" s="1">
        <v>590</v>
      </c>
      <c r="F13" s="1">
        <v>3567</v>
      </c>
      <c r="G13" s="1" t="str">
        <f t="shared" si="0"/>
        <v>劳苦功高</v>
      </c>
    </row>
    <row r="14" spans="1:7" ht="16.5" x14ac:dyDescent="0.15">
      <c r="A14" s="1" t="s">
        <v>7</v>
      </c>
      <c r="B14" s="1" t="s">
        <v>9</v>
      </c>
      <c r="C14" s="1" t="s">
        <v>16</v>
      </c>
      <c r="D14" s="1" t="s">
        <v>32</v>
      </c>
      <c r="E14" s="1">
        <v>365</v>
      </c>
      <c r="F14" s="1">
        <v>3897</v>
      </c>
      <c r="G14" s="1" t="str">
        <f t="shared" si="0"/>
        <v>劳苦功高</v>
      </c>
    </row>
    <row r="15" spans="1:7" ht="16.5" x14ac:dyDescent="0.15">
      <c r="A15" s="1" t="s">
        <v>7</v>
      </c>
      <c r="B15" s="1" t="s">
        <v>9</v>
      </c>
      <c r="C15" s="1" t="s">
        <v>27</v>
      </c>
      <c r="D15" s="1" t="s">
        <v>35</v>
      </c>
      <c r="E15" s="1">
        <v>2730</v>
      </c>
      <c r="F15" s="1">
        <v>3426</v>
      </c>
      <c r="G15" s="1" t="str">
        <f t="shared" si="0"/>
        <v>硕果累累</v>
      </c>
    </row>
    <row r="16" spans="1:7" ht="16.5" x14ac:dyDescent="0.15">
      <c r="A16" s="1" t="s">
        <v>7</v>
      </c>
      <c r="B16" s="1" t="s">
        <v>9</v>
      </c>
      <c r="C16" s="1" t="s">
        <v>18</v>
      </c>
      <c r="D16" s="1" t="s">
        <v>34</v>
      </c>
      <c r="E16" s="1">
        <v>1200</v>
      </c>
      <c r="F16" s="1">
        <v>3680</v>
      </c>
      <c r="G16" s="1" t="str">
        <f t="shared" si="0"/>
        <v>硕果累累</v>
      </c>
    </row>
    <row r="17" spans="1:7" ht="16.5" x14ac:dyDescent="0.15">
      <c r="A17" s="1" t="s">
        <v>7</v>
      </c>
      <c r="B17" s="1" t="s">
        <v>19</v>
      </c>
      <c r="C17" s="1" t="s">
        <v>28</v>
      </c>
      <c r="D17" s="1" t="s">
        <v>35</v>
      </c>
      <c r="E17" s="1">
        <v>424</v>
      </c>
      <c r="F17" s="1">
        <v>1245</v>
      </c>
      <c r="G17" s="1" t="str">
        <f t="shared" si="0"/>
        <v>劳苦功高</v>
      </c>
    </row>
    <row r="18" spans="1:7" ht="16.5" x14ac:dyDescent="0.15">
      <c r="A18" s="1" t="s">
        <v>6</v>
      </c>
      <c r="B18" s="1" t="s">
        <v>20</v>
      </c>
      <c r="C18" s="1" t="s">
        <v>24</v>
      </c>
      <c r="D18" s="1" t="s">
        <v>32</v>
      </c>
      <c r="E18" s="1">
        <v>550</v>
      </c>
      <c r="F18" s="1">
        <v>8950</v>
      </c>
      <c r="G18" s="1" t="str">
        <f t="shared" si="0"/>
        <v>劳苦功高</v>
      </c>
    </row>
    <row r="19" spans="1:7" ht="16.5" x14ac:dyDescent="0.15">
      <c r="A19" s="1" t="s">
        <v>7</v>
      </c>
      <c r="B19" s="1" t="s">
        <v>19</v>
      </c>
      <c r="C19" s="1" t="s">
        <v>29</v>
      </c>
      <c r="D19" s="1" t="s">
        <v>33</v>
      </c>
      <c r="E19" s="1">
        <v>577</v>
      </c>
      <c r="F19" s="1">
        <v>452</v>
      </c>
      <c r="G19" s="1" t="str">
        <f t="shared" si="0"/>
        <v>劳苦功高</v>
      </c>
    </row>
    <row r="20" spans="1:7" ht="16.5" x14ac:dyDescent="0.15">
      <c r="A20" s="1" t="s">
        <v>7</v>
      </c>
      <c r="B20" s="1" t="s">
        <v>19</v>
      </c>
      <c r="C20" s="1" t="s">
        <v>30</v>
      </c>
      <c r="D20" s="1" t="s">
        <v>32</v>
      </c>
      <c r="E20" s="1">
        <v>731</v>
      </c>
      <c r="F20" s="1">
        <v>1783</v>
      </c>
      <c r="G20" s="1" t="str">
        <f t="shared" si="0"/>
        <v>劳苦功高</v>
      </c>
    </row>
    <row r="21" spans="1:7" ht="16.5" x14ac:dyDescent="0.15">
      <c r="A21" s="1" t="s">
        <v>6</v>
      </c>
      <c r="B21" s="1" t="s">
        <v>8</v>
      </c>
      <c r="C21" s="1" t="s">
        <v>12</v>
      </c>
      <c r="D21" s="1" t="s">
        <v>13</v>
      </c>
      <c r="E21" s="1">
        <v>1254</v>
      </c>
      <c r="F21" s="1">
        <v>3360</v>
      </c>
      <c r="G21" s="1" t="str">
        <f t="shared" si="0"/>
        <v>硕果累累</v>
      </c>
    </row>
    <row r="22" spans="1:7" ht="16.5" x14ac:dyDescent="0.15">
      <c r="A22" s="1" t="s">
        <v>7</v>
      </c>
      <c r="B22" s="1" t="s">
        <v>19</v>
      </c>
      <c r="C22" s="1" t="s">
        <v>29</v>
      </c>
      <c r="D22" s="1" t="s">
        <v>34</v>
      </c>
      <c r="E22" s="1">
        <v>885</v>
      </c>
      <c r="F22" s="1">
        <v>500</v>
      </c>
      <c r="G22" s="1" t="str">
        <f t="shared" si="0"/>
        <v>劳苦功高</v>
      </c>
    </row>
    <row r="23" spans="1:7" ht="16.5" x14ac:dyDescent="0.15">
      <c r="A23" s="1" t="s">
        <v>7</v>
      </c>
      <c r="B23" s="1" t="s">
        <v>36</v>
      </c>
      <c r="C23" s="1" t="s">
        <v>31</v>
      </c>
      <c r="D23" s="1" t="s">
        <v>35</v>
      </c>
      <c r="E23" s="1">
        <v>1499</v>
      </c>
      <c r="F23" s="1">
        <v>5738</v>
      </c>
      <c r="G23" s="1" t="str">
        <f t="shared" si="0"/>
        <v>硕果累累</v>
      </c>
    </row>
    <row r="24" spans="1:7" ht="16.5" x14ac:dyDescent="0.15">
      <c r="A24" s="1" t="s">
        <v>7</v>
      </c>
      <c r="B24" s="1" t="s">
        <v>20</v>
      </c>
      <c r="C24" s="1" t="s">
        <v>24</v>
      </c>
      <c r="D24" s="1" t="s">
        <v>33</v>
      </c>
      <c r="E24" s="1">
        <v>1050</v>
      </c>
      <c r="F24" s="1">
        <v>7600</v>
      </c>
      <c r="G24" s="1" t="str">
        <f t="shared" si="0"/>
        <v>硕果累累</v>
      </c>
    </row>
    <row r="25" spans="1:7" ht="16.5" x14ac:dyDescent="0.15">
      <c r="A25" s="1" t="s">
        <v>6</v>
      </c>
      <c r="B25" s="1" t="s">
        <v>19</v>
      </c>
      <c r="C25" s="1" t="s">
        <v>21</v>
      </c>
      <c r="D25" s="1" t="s">
        <v>32</v>
      </c>
      <c r="E25" s="1">
        <v>980</v>
      </c>
      <c r="F25" s="1">
        <v>1980</v>
      </c>
      <c r="G25" s="1" t="str">
        <f t="shared" si="0"/>
        <v>劳苦功高</v>
      </c>
    </row>
    <row r="26" spans="1:7" ht="16.5" x14ac:dyDescent="0.15">
      <c r="A26" s="1" t="s">
        <v>37</v>
      </c>
      <c r="B26" s="1" t="s">
        <v>39</v>
      </c>
      <c r="C26" s="1" t="s">
        <v>40</v>
      </c>
      <c r="D26" s="1" t="s">
        <v>41</v>
      </c>
      <c r="E26" s="1">
        <v>599</v>
      </c>
      <c r="F26" s="1">
        <v>3199</v>
      </c>
      <c r="G26" s="1" t="str">
        <f t="shared" si="0"/>
        <v>劳苦功高</v>
      </c>
    </row>
    <row r="27" spans="1:7" ht="16.5" x14ac:dyDescent="0.15">
      <c r="A27" s="1" t="s">
        <v>38</v>
      </c>
      <c r="B27" s="1" t="s">
        <v>39</v>
      </c>
      <c r="C27" s="1" t="s">
        <v>42</v>
      </c>
      <c r="D27" s="1" t="s">
        <v>43</v>
      </c>
      <c r="E27" s="1">
        <v>1890</v>
      </c>
      <c r="F27" s="1">
        <v>2980</v>
      </c>
      <c r="G27" s="1" t="str">
        <f t="shared" si="0"/>
        <v>硕果累累</v>
      </c>
    </row>
    <row r="28" spans="1:7" ht="16.5" x14ac:dyDescent="0.15">
      <c r="A28" s="1" t="s">
        <v>37</v>
      </c>
      <c r="B28" s="1" t="s">
        <v>39</v>
      </c>
      <c r="C28" s="1" t="s">
        <v>42</v>
      </c>
      <c r="D28" s="1" t="s">
        <v>44</v>
      </c>
      <c r="E28" s="1">
        <v>958</v>
      </c>
      <c r="F28" s="1">
        <v>3199</v>
      </c>
      <c r="G28" s="1" t="str">
        <f t="shared" si="0"/>
        <v>劳苦功高</v>
      </c>
    </row>
    <row r="29" spans="1:7" ht="16.5" x14ac:dyDescent="0.15">
      <c r="A29" s="1" t="s">
        <v>38</v>
      </c>
      <c r="B29" s="1" t="s">
        <v>45</v>
      </c>
      <c r="C29" s="1" t="s">
        <v>46</v>
      </c>
      <c r="D29" s="1" t="s">
        <v>41</v>
      </c>
      <c r="E29" s="1">
        <v>1656</v>
      </c>
      <c r="F29" s="1">
        <v>3299</v>
      </c>
      <c r="G29" s="1" t="str">
        <f t="shared" si="0"/>
        <v>硕果累累</v>
      </c>
    </row>
    <row r="30" spans="1:7" ht="16.5" x14ac:dyDescent="0.15">
      <c r="A30" s="1" t="s">
        <v>37</v>
      </c>
      <c r="B30" s="1" t="s">
        <v>45</v>
      </c>
      <c r="C30" s="1" t="s">
        <v>46</v>
      </c>
      <c r="D30" s="1" t="s">
        <v>43</v>
      </c>
      <c r="E30" s="1">
        <v>1399</v>
      </c>
      <c r="F30" s="1">
        <v>1399</v>
      </c>
      <c r="G30" s="1" t="str">
        <f t="shared" si="0"/>
        <v>硕果累累</v>
      </c>
    </row>
    <row r="31" spans="1:7" ht="16.5" x14ac:dyDescent="0.15">
      <c r="A31" s="1" t="s">
        <v>7</v>
      </c>
      <c r="B31" s="1" t="s">
        <v>39</v>
      </c>
      <c r="C31" s="1" t="s">
        <v>40</v>
      </c>
      <c r="D31" s="1" t="s">
        <v>32</v>
      </c>
      <c r="E31" s="1">
        <v>865</v>
      </c>
      <c r="F31" s="1">
        <v>2595</v>
      </c>
      <c r="G31" s="1" t="str">
        <f t="shared" si="0"/>
        <v>劳苦功高</v>
      </c>
    </row>
    <row r="32" spans="1:7" ht="16.5" x14ac:dyDescent="0.15">
      <c r="A32" s="1" t="s">
        <v>6</v>
      </c>
      <c r="B32" s="1" t="s">
        <v>39</v>
      </c>
      <c r="C32" s="1" t="s">
        <v>42</v>
      </c>
      <c r="D32" s="1" t="s">
        <v>41</v>
      </c>
      <c r="E32" s="1">
        <v>2550</v>
      </c>
      <c r="F32" s="1">
        <v>3599</v>
      </c>
      <c r="G32" s="1" t="str">
        <f t="shared" si="0"/>
        <v>硕果累累</v>
      </c>
    </row>
    <row r="33" spans="1:7" ht="16.5" x14ac:dyDescent="0.15">
      <c r="A33" s="1" t="s">
        <v>37</v>
      </c>
      <c r="B33" s="1" t="s">
        <v>39</v>
      </c>
      <c r="C33" s="1" t="s">
        <v>42</v>
      </c>
      <c r="D33" s="1" t="s">
        <v>43</v>
      </c>
      <c r="E33" s="1">
        <v>1855</v>
      </c>
      <c r="F33" s="1">
        <v>2590</v>
      </c>
      <c r="G33" s="1" t="str">
        <f t="shared" si="0"/>
        <v>硕果累累</v>
      </c>
    </row>
    <row r="34" spans="1:7" ht="16.5" x14ac:dyDescent="0.15">
      <c r="A34" s="1" t="s">
        <v>38</v>
      </c>
      <c r="B34" s="1" t="s">
        <v>45</v>
      </c>
      <c r="C34" s="1" t="s">
        <v>46</v>
      </c>
      <c r="D34" s="1" t="s">
        <v>44</v>
      </c>
      <c r="E34" s="1">
        <v>758</v>
      </c>
      <c r="F34" s="1">
        <v>2880</v>
      </c>
      <c r="G34" s="1" t="str">
        <f t="shared" si="0"/>
        <v>劳苦功高</v>
      </c>
    </row>
    <row r="35" spans="1:7" ht="16.5" x14ac:dyDescent="0.15">
      <c r="A35" s="1" t="s">
        <v>37</v>
      </c>
      <c r="B35" s="1" t="s">
        <v>45</v>
      </c>
      <c r="C35" s="1" t="s">
        <v>46</v>
      </c>
      <c r="D35" s="1" t="s">
        <v>41</v>
      </c>
      <c r="E35" s="1">
        <v>2980</v>
      </c>
      <c r="F35" s="1">
        <v>3660</v>
      </c>
      <c r="G35" s="1" t="str">
        <f t="shared" si="0"/>
        <v>硕果累累</v>
      </c>
    </row>
    <row r="36" spans="1:7" ht="16.5" x14ac:dyDescent="0.15">
      <c r="A36" s="1" t="s">
        <v>38</v>
      </c>
      <c r="B36" s="1" t="s">
        <v>39</v>
      </c>
      <c r="C36" s="1" t="s">
        <v>40</v>
      </c>
      <c r="D36" s="1" t="s">
        <v>43</v>
      </c>
      <c r="E36" s="1">
        <v>1980</v>
      </c>
      <c r="F36" s="1">
        <v>1250</v>
      </c>
      <c r="G36" s="1" t="str">
        <f t="shared" si="0"/>
        <v>硕果累累</v>
      </c>
    </row>
    <row r="37" spans="1:7" ht="16.5" x14ac:dyDescent="0.15">
      <c r="A37" s="1" t="s">
        <v>37</v>
      </c>
      <c r="B37" s="1" t="s">
        <v>39</v>
      </c>
      <c r="C37" s="1" t="s">
        <v>42</v>
      </c>
      <c r="D37" s="1" t="s">
        <v>32</v>
      </c>
      <c r="E37" s="1">
        <v>589</v>
      </c>
      <c r="F37" s="1">
        <v>3555</v>
      </c>
      <c r="G37" s="1" t="str">
        <f t="shared" si="0"/>
        <v>劳苦功高</v>
      </c>
    </row>
    <row r="38" spans="1:7" ht="16.5" x14ac:dyDescent="0.15">
      <c r="A38" s="1" t="s">
        <v>7</v>
      </c>
      <c r="B38" s="1" t="s">
        <v>39</v>
      </c>
      <c r="C38" s="1" t="s">
        <v>42</v>
      </c>
      <c r="D38" s="1" t="s">
        <v>41</v>
      </c>
      <c r="E38" s="1">
        <v>1899</v>
      </c>
      <c r="F38" s="1">
        <v>1455</v>
      </c>
      <c r="G38" s="1" t="str">
        <f t="shared" si="0"/>
        <v>硕果累累</v>
      </c>
    </row>
    <row r="39" spans="1:7" ht="16.5" x14ac:dyDescent="0.15">
      <c r="A39" s="1" t="s">
        <v>6</v>
      </c>
      <c r="B39" s="1" t="s">
        <v>45</v>
      </c>
      <c r="C39" s="1" t="s">
        <v>46</v>
      </c>
      <c r="D39" s="1" t="s">
        <v>43</v>
      </c>
      <c r="E39" s="1">
        <v>758</v>
      </c>
      <c r="F39" s="1">
        <v>2699</v>
      </c>
      <c r="G39" s="1" t="str">
        <f t="shared" si="0"/>
        <v>劳苦功高</v>
      </c>
    </row>
    <row r="40" spans="1:7" ht="16.5" x14ac:dyDescent="0.15">
      <c r="A40" s="1" t="s">
        <v>37</v>
      </c>
      <c r="B40" s="1" t="s">
        <v>45</v>
      </c>
      <c r="C40" s="1" t="s">
        <v>46</v>
      </c>
      <c r="D40" s="1" t="s">
        <v>44</v>
      </c>
      <c r="E40" s="1">
        <v>852</v>
      </c>
      <c r="F40" s="1">
        <v>2458</v>
      </c>
      <c r="G40" s="1" t="str">
        <f t="shared" si="0"/>
        <v>劳苦功高</v>
      </c>
    </row>
    <row r="41" spans="1:7" ht="16.5" x14ac:dyDescent="0.15">
      <c r="A41" s="1" t="s">
        <v>38</v>
      </c>
      <c r="B41" s="1" t="s">
        <v>39</v>
      </c>
      <c r="C41" s="1" t="s">
        <v>40</v>
      </c>
      <c r="D41" s="1" t="s">
        <v>41</v>
      </c>
      <c r="E41" s="1">
        <v>699</v>
      </c>
      <c r="F41" s="1">
        <v>3699</v>
      </c>
      <c r="G41" s="1" t="str">
        <f t="shared" si="0"/>
        <v>劳苦功高</v>
      </c>
    </row>
    <row r="42" spans="1:7" ht="16.5" x14ac:dyDescent="0.15">
      <c r="A42" s="1" t="s">
        <v>37</v>
      </c>
      <c r="B42" s="1" t="s">
        <v>39</v>
      </c>
      <c r="C42" s="1" t="s">
        <v>42</v>
      </c>
      <c r="D42" s="1" t="s">
        <v>43</v>
      </c>
      <c r="E42" s="1">
        <v>580</v>
      </c>
      <c r="F42" s="1">
        <v>1990</v>
      </c>
      <c r="G42" s="1" t="str">
        <f t="shared" si="0"/>
        <v>劳苦功高</v>
      </c>
    </row>
    <row r="43" spans="1:7" ht="16.5" x14ac:dyDescent="0.15">
      <c r="A43" s="1" t="s">
        <v>38</v>
      </c>
      <c r="B43" s="1" t="s">
        <v>39</v>
      </c>
      <c r="C43" s="1" t="s">
        <v>42</v>
      </c>
      <c r="D43" s="1" t="s">
        <v>32</v>
      </c>
      <c r="E43" s="1">
        <v>1890</v>
      </c>
      <c r="F43" s="1">
        <v>2699</v>
      </c>
      <c r="G43" s="1" t="str">
        <f t="shared" si="0"/>
        <v>硕果累累</v>
      </c>
    </row>
    <row r="44" spans="1:7" ht="16.5" x14ac:dyDescent="0.15">
      <c r="A44" s="1" t="s">
        <v>37</v>
      </c>
      <c r="B44" s="1" t="s">
        <v>45</v>
      </c>
      <c r="C44" s="1" t="s">
        <v>46</v>
      </c>
      <c r="D44" s="1" t="s">
        <v>41</v>
      </c>
      <c r="E44" s="1">
        <v>699</v>
      </c>
      <c r="F44" s="1">
        <v>1655</v>
      </c>
      <c r="G44" s="1" t="str">
        <f t="shared" si="0"/>
        <v>劳苦功高</v>
      </c>
    </row>
  </sheetData>
  <mergeCells count="1">
    <mergeCell ref="A1:G1"/>
  </mergeCells>
  <phoneticPr fontId="1" type="noConversion"/>
  <conditionalFormatting sqref="E2:E44">
    <cfRule type="cellIs" dxfId="0" priority="1" operator="greaterThanOrEqual">
      <formula>1000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view="pageLayout" topLeftCell="A31" zoomScaleNormal="100" workbookViewId="0">
      <selection activeCell="E43" activeCellId="1" sqref="B1:B43 E1:E43"/>
    </sheetView>
  </sheetViews>
  <sheetFormatPr defaultRowHeight="13.5" x14ac:dyDescent="0.15"/>
  <cols>
    <col min="1" max="2" width="7.75" bestFit="1" customWidth="1"/>
    <col min="3" max="3" width="14" bestFit="1" customWidth="1"/>
    <col min="4" max="4" width="5.75" bestFit="1" customWidth="1"/>
    <col min="5" max="5" width="7.75" bestFit="1" customWidth="1"/>
    <col min="6" max="6" width="5.75" bestFit="1" customWidth="1"/>
    <col min="7" max="7" width="11.375" bestFit="1" customWidth="1"/>
  </cols>
  <sheetData>
    <row r="1" spans="1:7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</row>
    <row r="2" spans="1:7" ht="16.5" x14ac:dyDescent="0.15">
      <c r="A2" s="1" t="s">
        <v>6</v>
      </c>
      <c r="B2" s="1" t="s">
        <v>8</v>
      </c>
      <c r="C2" s="1" t="s">
        <v>18</v>
      </c>
      <c r="D2" s="1" t="s">
        <v>10</v>
      </c>
      <c r="E2" s="1">
        <v>1560</v>
      </c>
      <c r="F2" s="1">
        <v>3680</v>
      </c>
      <c r="G2" s="2">
        <f>PRODUCT(E2:F2)</f>
        <v>5740800</v>
      </c>
    </row>
    <row r="3" spans="1:7" ht="16.5" x14ac:dyDescent="0.15">
      <c r="A3" s="1" t="s">
        <v>7</v>
      </c>
      <c r="B3" s="1" t="s">
        <v>20</v>
      </c>
      <c r="C3" s="1" t="s">
        <v>24</v>
      </c>
      <c r="D3" s="1" t="s">
        <v>34</v>
      </c>
      <c r="E3" s="1">
        <v>1192</v>
      </c>
      <c r="F3" s="1">
        <v>7920</v>
      </c>
      <c r="G3" s="2">
        <f t="shared" ref="G3:G43" si="0">PRODUCT(E3:F3)</f>
        <v>9440640</v>
      </c>
    </row>
    <row r="4" spans="1:7" ht="16.5" x14ac:dyDescent="0.15">
      <c r="A4" s="1" t="s">
        <v>6</v>
      </c>
      <c r="B4" s="1" t="s">
        <v>8</v>
      </c>
      <c r="C4" s="1" t="s">
        <v>17</v>
      </c>
      <c r="D4" s="1" t="s">
        <v>11</v>
      </c>
      <c r="E4" s="1">
        <v>1875</v>
      </c>
      <c r="F4" s="1">
        <v>4230</v>
      </c>
      <c r="G4" s="2">
        <f t="shared" si="0"/>
        <v>7931250</v>
      </c>
    </row>
    <row r="5" spans="1:7" ht="16.5" x14ac:dyDescent="0.15">
      <c r="A5" s="1" t="s">
        <v>6</v>
      </c>
      <c r="B5" s="1" t="s">
        <v>14</v>
      </c>
      <c r="C5" s="1" t="s">
        <v>15</v>
      </c>
      <c r="D5" s="1" t="s">
        <v>10</v>
      </c>
      <c r="E5" s="1">
        <v>860</v>
      </c>
      <c r="F5" s="1">
        <v>1450</v>
      </c>
      <c r="G5" s="2">
        <f t="shared" si="0"/>
        <v>1247000</v>
      </c>
    </row>
    <row r="6" spans="1:7" ht="16.5" x14ac:dyDescent="0.15">
      <c r="A6" s="1" t="s">
        <v>6</v>
      </c>
      <c r="B6" s="1" t="s">
        <v>19</v>
      </c>
      <c r="C6" s="1" t="s">
        <v>22</v>
      </c>
      <c r="D6" s="1" t="s">
        <v>33</v>
      </c>
      <c r="E6" s="1">
        <v>2100</v>
      </c>
      <c r="F6" s="1">
        <v>385</v>
      </c>
      <c r="G6" s="2">
        <f t="shared" si="0"/>
        <v>808500</v>
      </c>
    </row>
    <row r="7" spans="1:7" ht="16.5" x14ac:dyDescent="0.15">
      <c r="A7" s="1" t="s">
        <v>7</v>
      </c>
      <c r="B7" s="1" t="s">
        <v>20</v>
      </c>
      <c r="C7" s="1" t="s">
        <v>31</v>
      </c>
      <c r="D7" s="1" t="s">
        <v>32</v>
      </c>
      <c r="E7" s="1">
        <v>1204</v>
      </c>
      <c r="F7" s="1">
        <v>5640</v>
      </c>
      <c r="G7" s="2">
        <f t="shared" si="0"/>
        <v>6790560</v>
      </c>
    </row>
    <row r="8" spans="1:7" ht="16.5" x14ac:dyDescent="0.15">
      <c r="A8" s="1" t="s">
        <v>6</v>
      </c>
      <c r="B8" s="1" t="s">
        <v>20</v>
      </c>
      <c r="C8" s="1" t="s">
        <v>23</v>
      </c>
      <c r="D8" s="1" t="s">
        <v>34</v>
      </c>
      <c r="E8" s="1">
        <v>780</v>
      </c>
      <c r="F8" s="1">
        <v>6780</v>
      </c>
      <c r="G8" s="2">
        <f t="shared" si="0"/>
        <v>5288400</v>
      </c>
    </row>
    <row r="9" spans="1:7" ht="16.5" x14ac:dyDescent="0.15">
      <c r="A9" s="1" t="s">
        <v>7</v>
      </c>
      <c r="B9" s="1" t="s">
        <v>19</v>
      </c>
      <c r="C9" s="1" t="s">
        <v>30</v>
      </c>
      <c r="D9" s="1" t="s">
        <v>35</v>
      </c>
      <c r="E9" s="1">
        <v>800</v>
      </c>
      <c r="F9" s="1">
        <v>1920</v>
      </c>
      <c r="G9" s="2">
        <f t="shared" si="0"/>
        <v>1536000</v>
      </c>
    </row>
    <row r="10" spans="1:7" ht="16.5" x14ac:dyDescent="0.15">
      <c r="A10" s="1" t="s">
        <v>7</v>
      </c>
      <c r="B10" s="1" t="s">
        <v>20</v>
      </c>
      <c r="C10" s="1" t="s">
        <v>23</v>
      </c>
      <c r="D10" s="1" t="s">
        <v>33</v>
      </c>
      <c r="E10" s="1">
        <v>1038</v>
      </c>
      <c r="F10" s="1">
        <v>8561</v>
      </c>
      <c r="G10" s="2">
        <f t="shared" si="0"/>
        <v>8886318</v>
      </c>
    </row>
    <row r="11" spans="1:7" ht="16.5" x14ac:dyDescent="0.15">
      <c r="A11" s="1" t="s">
        <v>6</v>
      </c>
      <c r="B11" s="1" t="s">
        <v>20</v>
      </c>
      <c r="C11" s="1" t="s">
        <v>25</v>
      </c>
      <c r="D11" s="1" t="s">
        <v>33</v>
      </c>
      <c r="E11" s="1">
        <v>640</v>
      </c>
      <c r="F11" s="1">
        <v>7685</v>
      </c>
      <c r="G11" s="2">
        <f t="shared" si="0"/>
        <v>4918400</v>
      </c>
    </row>
    <row r="12" spans="1:7" ht="16.5" x14ac:dyDescent="0.15">
      <c r="A12" s="1" t="s">
        <v>7</v>
      </c>
      <c r="B12" s="1" t="s">
        <v>9</v>
      </c>
      <c r="C12" s="1" t="s">
        <v>26</v>
      </c>
      <c r="D12" s="1" t="s">
        <v>34</v>
      </c>
      <c r="E12" s="1">
        <v>590</v>
      </c>
      <c r="F12" s="1">
        <v>3567</v>
      </c>
      <c r="G12" s="2">
        <f t="shared" si="0"/>
        <v>2104530</v>
      </c>
    </row>
    <row r="13" spans="1:7" ht="16.5" x14ac:dyDescent="0.15">
      <c r="A13" s="1" t="s">
        <v>7</v>
      </c>
      <c r="B13" s="1" t="s">
        <v>9</v>
      </c>
      <c r="C13" s="1" t="s">
        <v>16</v>
      </c>
      <c r="D13" s="1" t="s">
        <v>32</v>
      </c>
      <c r="E13" s="1">
        <v>365</v>
      </c>
      <c r="F13" s="1">
        <v>3897</v>
      </c>
      <c r="G13" s="2">
        <f t="shared" si="0"/>
        <v>1422405</v>
      </c>
    </row>
    <row r="14" spans="1:7" ht="16.5" x14ac:dyDescent="0.15">
      <c r="A14" s="1" t="s">
        <v>7</v>
      </c>
      <c r="B14" s="1" t="s">
        <v>9</v>
      </c>
      <c r="C14" s="1" t="s">
        <v>27</v>
      </c>
      <c r="D14" s="1" t="s">
        <v>35</v>
      </c>
      <c r="E14" s="1">
        <v>2730</v>
      </c>
      <c r="F14" s="1">
        <v>3426</v>
      </c>
      <c r="G14" s="2">
        <f t="shared" si="0"/>
        <v>9352980</v>
      </c>
    </row>
    <row r="15" spans="1:7" ht="16.5" x14ac:dyDescent="0.15">
      <c r="A15" s="1" t="s">
        <v>7</v>
      </c>
      <c r="B15" s="1" t="s">
        <v>9</v>
      </c>
      <c r="C15" s="1" t="s">
        <v>18</v>
      </c>
      <c r="D15" s="1" t="s">
        <v>34</v>
      </c>
      <c r="E15" s="1">
        <v>1200</v>
      </c>
      <c r="F15" s="1">
        <v>3680</v>
      </c>
      <c r="G15" s="2">
        <f t="shared" si="0"/>
        <v>4416000</v>
      </c>
    </row>
    <row r="16" spans="1:7" ht="16.5" x14ac:dyDescent="0.15">
      <c r="A16" s="1" t="s">
        <v>7</v>
      </c>
      <c r="B16" s="1" t="s">
        <v>19</v>
      </c>
      <c r="C16" s="1" t="s">
        <v>28</v>
      </c>
      <c r="D16" s="1" t="s">
        <v>35</v>
      </c>
      <c r="E16" s="1">
        <v>424</v>
      </c>
      <c r="F16" s="1">
        <v>1245</v>
      </c>
      <c r="G16" s="2">
        <f t="shared" si="0"/>
        <v>527880</v>
      </c>
    </row>
    <row r="17" spans="1:7" ht="16.5" x14ac:dyDescent="0.15">
      <c r="A17" s="1" t="s">
        <v>6</v>
      </c>
      <c r="B17" s="1" t="s">
        <v>20</v>
      </c>
      <c r="C17" s="1" t="s">
        <v>24</v>
      </c>
      <c r="D17" s="1" t="s">
        <v>32</v>
      </c>
      <c r="E17" s="1">
        <v>550</v>
      </c>
      <c r="F17" s="1">
        <v>8950</v>
      </c>
      <c r="G17" s="2">
        <f t="shared" si="0"/>
        <v>4922500</v>
      </c>
    </row>
    <row r="18" spans="1:7" ht="16.5" x14ac:dyDescent="0.15">
      <c r="A18" s="1" t="s">
        <v>7</v>
      </c>
      <c r="B18" s="1" t="s">
        <v>19</v>
      </c>
      <c r="C18" s="1" t="s">
        <v>29</v>
      </c>
      <c r="D18" s="1" t="s">
        <v>33</v>
      </c>
      <c r="E18" s="1">
        <v>577</v>
      </c>
      <c r="F18" s="1">
        <v>452</v>
      </c>
      <c r="G18" s="2">
        <f t="shared" si="0"/>
        <v>260804</v>
      </c>
    </row>
    <row r="19" spans="1:7" ht="16.5" x14ac:dyDescent="0.15">
      <c r="A19" s="1" t="s">
        <v>7</v>
      </c>
      <c r="B19" s="1" t="s">
        <v>19</v>
      </c>
      <c r="C19" s="1" t="s">
        <v>30</v>
      </c>
      <c r="D19" s="1" t="s">
        <v>32</v>
      </c>
      <c r="E19" s="1">
        <v>731</v>
      </c>
      <c r="F19" s="1">
        <v>1783</v>
      </c>
      <c r="G19" s="2">
        <f t="shared" si="0"/>
        <v>1303373</v>
      </c>
    </row>
    <row r="20" spans="1:7" ht="16.5" x14ac:dyDescent="0.15">
      <c r="A20" s="1" t="s">
        <v>6</v>
      </c>
      <c r="B20" s="1" t="s">
        <v>8</v>
      </c>
      <c r="C20" s="1" t="s">
        <v>12</v>
      </c>
      <c r="D20" s="1" t="s">
        <v>13</v>
      </c>
      <c r="E20" s="1">
        <v>1254</v>
      </c>
      <c r="F20" s="1">
        <v>3360</v>
      </c>
      <c r="G20" s="2">
        <f t="shared" si="0"/>
        <v>4213440</v>
      </c>
    </row>
    <row r="21" spans="1:7" ht="16.5" x14ac:dyDescent="0.15">
      <c r="A21" s="1" t="s">
        <v>7</v>
      </c>
      <c r="B21" s="1" t="s">
        <v>19</v>
      </c>
      <c r="C21" s="1" t="s">
        <v>29</v>
      </c>
      <c r="D21" s="1" t="s">
        <v>34</v>
      </c>
      <c r="E21" s="1">
        <v>885</v>
      </c>
      <c r="F21" s="1">
        <v>500</v>
      </c>
      <c r="G21" s="2">
        <f t="shared" si="0"/>
        <v>442500</v>
      </c>
    </row>
    <row r="22" spans="1:7" ht="16.5" x14ac:dyDescent="0.15">
      <c r="A22" s="1" t="s">
        <v>7</v>
      </c>
      <c r="B22" s="1" t="s">
        <v>20</v>
      </c>
      <c r="C22" s="1" t="s">
        <v>31</v>
      </c>
      <c r="D22" s="1" t="s">
        <v>35</v>
      </c>
      <c r="E22" s="1">
        <v>1499</v>
      </c>
      <c r="F22" s="1">
        <v>5738</v>
      </c>
      <c r="G22" s="2">
        <f t="shared" si="0"/>
        <v>8601262</v>
      </c>
    </row>
    <row r="23" spans="1:7" ht="16.5" x14ac:dyDescent="0.15">
      <c r="A23" s="1" t="s">
        <v>7</v>
      </c>
      <c r="B23" s="1" t="s">
        <v>20</v>
      </c>
      <c r="C23" s="1" t="s">
        <v>24</v>
      </c>
      <c r="D23" s="1" t="s">
        <v>33</v>
      </c>
      <c r="E23" s="1">
        <v>1050</v>
      </c>
      <c r="F23" s="1">
        <v>7600</v>
      </c>
      <c r="G23" s="2">
        <f t="shared" si="0"/>
        <v>7980000</v>
      </c>
    </row>
    <row r="24" spans="1:7" ht="16.5" x14ac:dyDescent="0.15">
      <c r="A24" s="1" t="s">
        <v>6</v>
      </c>
      <c r="B24" s="1" t="s">
        <v>19</v>
      </c>
      <c r="C24" s="1" t="s">
        <v>21</v>
      </c>
      <c r="D24" s="1" t="s">
        <v>32</v>
      </c>
      <c r="E24" s="1">
        <v>980</v>
      </c>
      <c r="F24" s="1">
        <v>1980</v>
      </c>
      <c r="G24" s="2">
        <f t="shared" si="0"/>
        <v>1940400</v>
      </c>
    </row>
    <row r="25" spans="1:7" ht="16.5" x14ac:dyDescent="0.15">
      <c r="A25" s="1" t="s">
        <v>7</v>
      </c>
      <c r="B25" s="1" t="s">
        <v>39</v>
      </c>
      <c r="C25" s="1" t="s">
        <v>24</v>
      </c>
      <c r="D25" s="1" t="s">
        <v>34</v>
      </c>
      <c r="E25" s="1">
        <v>599</v>
      </c>
      <c r="F25" s="1">
        <v>3199</v>
      </c>
      <c r="G25" s="2">
        <f t="shared" si="0"/>
        <v>1916201</v>
      </c>
    </row>
    <row r="26" spans="1:7" ht="16.5" x14ac:dyDescent="0.15">
      <c r="A26" s="1" t="s">
        <v>6</v>
      </c>
      <c r="B26" s="1" t="s">
        <v>39</v>
      </c>
      <c r="C26" s="1" t="s">
        <v>31</v>
      </c>
      <c r="D26" s="1" t="s">
        <v>35</v>
      </c>
      <c r="E26" s="1">
        <v>1890</v>
      </c>
      <c r="F26" s="1">
        <v>2980</v>
      </c>
      <c r="G26" s="2">
        <f t="shared" si="0"/>
        <v>5632200</v>
      </c>
    </row>
    <row r="27" spans="1:7" ht="16.5" x14ac:dyDescent="0.15">
      <c r="A27" s="1" t="s">
        <v>7</v>
      </c>
      <c r="B27" s="1" t="s">
        <v>39</v>
      </c>
      <c r="C27" s="1" t="s">
        <v>31</v>
      </c>
      <c r="D27" s="1" t="s">
        <v>33</v>
      </c>
      <c r="E27" s="1">
        <v>958</v>
      </c>
      <c r="F27" s="1">
        <v>3199</v>
      </c>
      <c r="G27" s="2">
        <f t="shared" si="0"/>
        <v>3064642</v>
      </c>
    </row>
    <row r="28" spans="1:7" ht="16.5" x14ac:dyDescent="0.15">
      <c r="A28" s="1" t="s">
        <v>6</v>
      </c>
      <c r="B28" s="1" t="s">
        <v>45</v>
      </c>
      <c r="C28" s="1" t="s">
        <v>46</v>
      </c>
      <c r="D28" s="1" t="s">
        <v>34</v>
      </c>
      <c r="E28" s="1">
        <v>1656</v>
      </c>
      <c r="F28" s="1">
        <v>3299</v>
      </c>
      <c r="G28" s="2">
        <f t="shared" si="0"/>
        <v>5463144</v>
      </c>
    </row>
    <row r="29" spans="1:7" ht="16.5" x14ac:dyDescent="0.15">
      <c r="A29" s="1" t="s">
        <v>7</v>
      </c>
      <c r="B29" s="1" t="s">
        <v>45</v>
      </c>
      <c r="C29" s="1" t="s">
        <v>46</v>
      </c>
      <c r="D29" s="1" t="s">
        <v>35</v>
      </c>
      <c r="E29" s="1">
        <v>1399</v>
      </c>
      <c r="F29" s="1">
        <v>1399</v>
      </c>
      <c r="G29" s="2">
        <f t="shared" si="0"/>
        <v>1957201</v>
      </c>
    </row>
    <row r="30" spans="1:7" ht="16.5" x14ac:dyDescent="0.15">
      <c r="A30" s="1" t="s">
        <v>7</v>
      </c>
      <c r="B30" s="1" t="s">
        <v>39</v>
      </c>
      <c r="C30" s="1" t="s">
        <v>24</v>
      </c>
      <c r="D30" s="1" t="s">
        <v>32</v>
      </c>
      <c r="E30" s="1">
        <v>865</v>
      </c>
      <c r="F30" s="1">
        <v>2595</v>
      </c>
      <c r="G30" s="2">
        <f t="shared" si="0"/>
        <v>2244675</v>
      </c>
    </row>
    <row r="31" spans="1:7" ht="16.5" x14ac:dyDescent="0.15">
      <c r="A31" s="1" t="s">
        <v>6</v>
      </c>
      <c r="B31" s="1" t="s">
        <v>39</v>
      </c>
      <c r="C31" s="1" t="s">
        <v>31</v>
      </c>
      <c r="D31" s="1" t="s">
        <v>34</v>
      </c>
      <c r="E31" s="1">
        <v>2550</v>
      </c>
      <c r="F31" s="1">
        <v>3599</v>
      </c>
      <c r="G31" s="2">
        <f t="shared" si="0"/>
        <v>9177450</v>
      </c>
    </row>
    <row r="32" spans="1:7" ht="16.5" x14ac:dyDescent="0.15">
      <c r="A32" s="1" t="s">
        <v>7</v>
      </c>
      <c r="B32" s="1" t="s">
        <v>39</v>
      </c>
      <c r="C32" s="1" t="s">
        <v>31</v>
      </c>
      <c r="D32" s="1" t="s">
        <v>35</v>
      </c>
      <c r="E32" s="1">
        <v>1855</v>
      </c>
      <c r="F32" s="1">
        <v>2590</v>
      </c>
      <c r="G32" s="2">
        <f t="shared" si="0"/>
        <v>4804450</v>
      </c>
    </row>
    <row r="33" spans="1:7" ht="16.5" x14ac:dyDescent="0.15">
      <c r="A33" s="1" t="s">
        <v>6</v>
      </c>
      <c r="B33" s="1" t="s">
        <v>45</v>
      </c>
      <c r="C33" s="1" t="s">
        <v>46</v>
      </c>
      <c r="D33" s="1" t="s">
        <v>33</v>
      </c>
      <c r="E33" s="1">
        <v>758</v>
      </c>
      <c r="F33" s="1">
        <v>2880</v>
      </c>
      <c r="G33" s="2">
        <f t="shared" si="0"/>
        <v>2183040</v>
      </c>
    </row>
    <row r="34" spans="1:7" ht="16.5" x14ac:dyDescent="0.15">
      <c r="A34" s="1" t="s">
        <v>7</v>
      </c>
      <c r="B34" s="1" t="s">
        <v>45</v>
      </c>
      <c r="C34" s="1" t="s">
        <v>46</v>
      </c>
      <c r="D34" s="1" t="s">
        <v>34</v>
      </c>
      <c r="E34" s="1">
        <v>2980</v>
      </c>
      <c r="F34" s="1">
        <v>3660</v>
      </c>
      <c r="G34" s="2">
        <f t="shared" si="0"/>
        <v>10906800</v>
      </c>
    </row>
    <row r="35" spans="1:7" ht="16.5" x14ac:dyDescent="0.15">
      <c r="A35" s="1" t="s">
        <v>6</v>
      </c>
      <c r="B35" s="1" t="s">
        <v>39</v>
      </c>
      <c r="C35" s="1" t="s">
        <v>24</v>
      </c>
      <c r="D35" s="1" t="s">
        <v>35</v>
      </c>
      <c r="E35" s="1">
        <v>1980</v>
      </c>
      <c r="F35" s="1">
        <v>1250</v>
      </c>
      <c r="G35" s="2">
        <f t="shared" si="0"/>
        <v>2475000</v>
      </c>
    </row>
    <row r="36" spans="1:7" ht="16.5" x14ac:dyDescent="0.15">
      <c r="A36" s="1" t="s">
        <v>7</v>
      </c>
      <c r="B36" s="1" t="s">
        <v>39</v>
      </c>
      <c r="C36" s="1" t="s">
        <v>31</v>
      </c>
      <c r="D36" s="1" t="s">
        <v>32</v>
      </c>
      <c r="E36" s="1">
        <v>589</v>
      </c>
      <c r="F36" s="1">
        <v>3555</v>
      </c>
      <c r="G36" s="2">
        <f t="shared" si="0"/>
        <v>2093895</v>
      </c>
    </row>
    <row r="37" spans="1:7" ht="16.5" x14ac:dyDescent="0.15">
      <c r="A37" s="1" t="s">
        <v>7</v>
      </c>
      <c r="B37" s="1" t="s">
        <v>39</v>
      </c>
      <c r="C37" s="1" t="s">
        <v>31</v>
      </c>
      <c r="D37" s="1" t="s">
        <v>34</v>
      </c>
      <c r="E37" s="1">
        <v>1899</v>
      </c>
      <c r="F37" s="1">
        <v>1455</v>
      </c>
      <c r="G37" s="2">
        <f t="shared" si="0"/>
        <v>2763045</v>
      </c>
    </row>
    <row r="38" spans="1:7" ht="16.5" x14ac:dyDescent="0.15">
      <c r="A38" s="1" t="s">
        <v>6</v>
      </c>
      <c r="B38" s="1" t="s">
        <v>45</v>
      </c>
      <c r="C38" s="1" t="s">
        <v>46</v>
      </c>
      <c r="D38" s="1" t="s">
        <v>35</v>
      </c>
      <c r="E38" s="1">
        <v>758</v>
      </c>
      <c r="F38" s="1">
        <v>2699</v>
      </c>
      <c r="G38" s="2">
        <f t="shared" si="0"/>
        <v>2045842</v>
      </c>
    </row>
    <row r="39" spans="1:7" ht="16.5" x14ac:dyDescent="0.15">
      <c r="A39" s="1" t="s">
        <v>7</v>
      </c>
      <c r="B39" s="1" t="s">
        <v>45</v>
      </c>
      <c r="C39" s="1" t="s">
        <v>46</v>
      </c>
      <c r="D39" s="1" t="s">
        <v>33</v>
      </c>
      <c r="E39" s="1">
        <v>852</v>
      </c>
      <c r="F39" s="1">
        <v>2458</v>
      </c>
      <c r="G39" s="2">
        <f t="shared" si="0"/>
        <v>2094216</v>
      </c>
    </row>
    <row r="40" spans="1:7" ht="16.5" x14ac:dyDescent="0.15">
      <c r="A40" s="1" t="s">
        <v>6</v>
      </c>
      <c r="B40" s="1" t="s">
        <v>39</v>
      </c>
      <c r="C40" s="1" t="s">
        <v>24</v>
      </c>
      <c r="D40" s="1" t="s">
        <v>34</v>
      </c>
      <c r="E40" s="1">
        <v>699</v>
      </c>
      <c r="F40" s="1">
        <v>3699</v>
      </c>
      <c r="G40" s="2">
        <f t="shared" si="0"/>
        <v>2585601</v>
      </c>
    </row>
    <row r="41" spans="1:7" ht="16.5" x14ac:dyDescent="0.15">
      <c r="A41" s="1" t="s">
        <v>7</v>
      </c>
      <c r="B41" s="1" t="s">
        <v>39</v>
      </c>
      <c r="C41" s="1" t="s">
        <v>31</v>
      </c>
      <c r="D41" s="1" t="s">
        <v>35</v>
      </c>
      <c r="E41" s="1">
        <v>580</v>
      </c>
      <c r="F41" s="1">
        <v>1990</v>
      </c>
      <c r="G41" s="2">
        <f t="shared" si="0"/>
        <v>1154200</v>
      </c>
    </row>
    <row r="42" spans="1:7" ht="16.5" x14ac:dyDescent="0.15">
      <c r="A42" s="1" t="s">
        <v>6</v>
      </c>
      <c r="B42" s="1" t="s">
        <v>39</v>
      </c>
      <c r="C42" s="1" t="s">
        <v>31</v>
      </c>
      <c r="D42" s="1" t="s">
        <v>32</v>
      </c>
      <c r="E42" s="1">
        <v>1890</v>
      </c>
      <c r="F42" s="1">
        <v>2699</v>
      </c>
      <c r="G42" s="2">
        <f t="shared" si="0"/>
        <v>5101110</v>
      </c>
    </row>
    <row r="43" spans="1:7" ht="16.5" x14ac:dyDescent="0.15">
      <c r="A43" s="1" t="s">
        <v>7</v>
      </c>
      <c r="B43" s="1" t="s">
        <v>45</v>
      </c>
      <c r="C43" s="1" t="s">
        <v>46</v>
      </c>
      <c r="D43" s="1" t="s">
        <v>34</v>
      </c>
      <c r="E43" s="1">
        <v>699</v>
      </c>
      <c r="F43" s="1">
        <v>1655</v>
      </c>
      <c r="G43" s="2">
        <f t="shared" si="0"/>
        <v>1156845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rstPageNumber="5" orientation="landscape" useFirstPageNumber="1" r:id="rId1"/>
  <headerFooter>
    <oddHeader>&amp;C&amp;10销售情况表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46"/>
  <sheetViews>
    <sheetView workbookViewId="0">
      <selection activeCell="E59" sqref="E59"/>
    </sheetView>
  </sheetViews>
  <sheetFormatPr defaultRowHeight="13.5" x14ac:dyDescent="0.15"/>
  <cols>
    <col min="1" max="2" width="7.75" bestFit="1" customWidth="1"/>
    <col min="3" max="3" width="14" bestFit="1" customWidth="1"/>
    <col min="4" max="4" width="5.75" bestFit="1" customWidth="1"/>
    <col min="5" max="5" width="7.75" bestFit="1" customWidth="1"/>
    <col min="6" max="6" width="5.75" bestFit="1" customWidth="1"/>
    <col min="7" max="7" width="11.375" bestFit="1" customWidth="1"/>
  </cols>
  <sheetData>
    <row r="1" spans="1:7" x14ac:dyDescent="0.15">
      <c r="A1" t="s">
        <v>50</v>
      </c>
    </row>
    <row r="2" spans="1:7" ht="14.25" thickBot="1" x14ac:dyDescent="0.2">
      <c r="A2" t="s">
        <v>51</v>
      </c>
    </row>
    <row r="3" spans="1:7" ht="18" thickTop="1" thickBot="1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48</v>
      </c>
    </row>
    <row r="4" spans="1:7" ht="18" thickTop="1" thickBot="1" x14ac:dyDescent="0.2">
      <c r="A4" s="6" t="s">
        <v>6</v>
      </c>
      <c r="B4" s="7" t="s">
        <v>8</v>
      </c>
      <c r="C4" s="7" t="s">
        <v>18</v>
      </c>
      <c r="D4" s="7" t="s">
        <v>10</v>
      </c>
      <c r="E4" s="7">
        <v>1560</v>
      </c>
      <c r="F4" s="7">
        <v>3680</v>
      </c>
      <c r="G4" s="8">
        <f>PRODUCT(E4:F4)</f>
        <v>5740800</v>
      </c>
    </row>
    <row r="5" spans="1:7" ht="16.5" hidden="1" x14ac:dyDescent="0.15">
      <c r="A5" s="1" t="s">
        <v>7</v>
      </c>
      <c r="B5" s="1" t="s">
        <v>20</v>
      </c>
      <c r="C5" s="1" t="s">
        <v>24</v>
      </c>
      <c r="D5" s="1" t="s">
        <v>34</v>
      </c>
      <c r="E5" s="1">
        <v>1192</v>
      </c>
      <c r="F5" s="1">
        <v>7920</v>
      </c>
      <c r="G5" s="2">
        <f t="shared" ref="G5:G45" si="0">PRODUCT(E5:F5)</f>
        <v>9440640</v>
      </c>
    </row>
    <row r="6" spans="1:7" ht="18" thickTop="1" thickBot="1" x14ac:dyDescent="0.2">
      <c r="A6" s="9" t="s">
        <v>6</v>
      </c>
      <c r="B6" s="10" t="s">
        <v>8</v>
      </c>
      <c r="C6" s="10" t="s">
        <v>17</v>
      </c>
      <c r="D6" s="10" t="s">
        <v>11</v>
      </c>
      <c r="E6" s="10">
        <v>1875</v>
      </c>
      <c r="F6" s="10">
        <v>4230</v>
      </c>
      <c r="G6" s="11">
        <f t="shared" si="0"/>
        <v>7931250</v>
      </c>
    </row>
    <row r="7" spans="1:7" ht="16.5" hidden="1" x14ac:dyDescent="0.15">
      <c r="A7" s="1" t="s">
        <v>6</v>
      </c>
      <c r="B7" s="1" t="s">
        <v>14</v>
      </c>
      <c r="C7" s="1" t="s">
        <v>15</v>
      </c>
      <c r="D7" s="1" t="s">
        <v>10</v>
      </c>
      <c r="E7" s="1">
        <v>860</v>
      </c>
      <c r="F7" s="1">
        <v>1450</v>
      </c>
      <c r="G7" s="2">
        <f t="shared" si="0"/>
        <v>1247000</v>
      </c>
    </row>
    <row r="8" spans="1:7" ht="18" thickTop="1" thickBot="1" x14ac:dyDescent="0.2">
      <c r="A8" s="9" t="s">
        <v>6</v>
      </c>
      <c r="B8" s="10" t="s">
        <v>19</v>
      </c>
      <c r="C8" s="10" t="s">
        <v>22</v>
      </c>
      <c r="D8" s="10" t="s">
        <v>33</v>
      </c>
      <c r="E8" s="10">
        <v>2100</v>
      </c>
      <c r="F8" s="10">
        <v>385</v>
      </c>
      <c r="G8" s="11">
        <f t="shared" si="0"/>
        <v>808500</v>
      </c>
    </row>
    <row r="9" spans="1:7" ht="16.5" hidden="1" x14ac:dyDescent="0.15">
      <c r="A9" s="1" t="s">
        <v>7</v>
      </c>
      <c r="B9" s="1" t="s">
        <v>20</v>
      </c>
      <c r="C9" s="1" t="s">
        <v>31</v>
      </c>
      <c r="D9" s="1" t="s">
        <v>32</v>
      </c>
      <c r="E9" s="1">
        <v>1204</v>
      </c>
      <c r="F9" s="1">
        <v>5640</v>
      </c>
      <c r="G9" s="2">
        <f t="shared" si="0"/>
        <v>6790560</v>
      </c>
    </row>
    <row r="10" spans="1:7" ht="16.5" hidden="1" x14ac:dyDescent="0.15">
      <c r="A10" s="1" t="s">
        <v>6</v>
      </c>
      <c r="B10" s="1" t="s">
        <v>20</v>
      </c>
      <c r="C10" s="1" t="s">
        <v>23</v>
      </c>
      <c r="D10" s="1" t="s">
        <v>34</v>
      </c>
      <c r="E10" s="1">
        <v>780</v>
      </c>
      <c r="F10" s="1">
        <v>6780</v>
      </c>
      <c r="G10" s="2">
        <f t="shared" si="0"/>
        <v>5288400</v>
      </c>
    </row>
    <row r="11" spans="1:7" ht="16.5" hidden="1" x14ac:dyDescent="0.15">
      <c r="A11" s="1" t="s">
        <v>7</v>
      </c>
      <c r="B11" s="1" t="s">
        <v>19</v>
      </c>
      <c r="C11" s="1" t="s">
        <v>30</v>
      </c>
      <c r="D11" s="1" t="s">
        <v>35</v>
      </c>
      <c r="E11" s="1">
        <v>800</v>
      </c>
      <c r="F11" s="1">
        <v>1920</v>
      </c>
      <c r="G11" s="2">
        <f t="shared" si="0"/>
        <v>1536000</v>
      </c>
    </row>
    <row r="12" spans="1:7" ht="16.5" hidden="1" x14ac:dyDescent="0.15">
      <c r="A12" s="1" t="s">
        <v>7</v>
      </c>
      <c r="B12" s="1" t="s">
        <v>20</v>
      </c>
      <c r="C12" s="1" t="s">
        <v>23</v>
      </c>
      <c r="D12" s="1" t="s">
        <v>33</v>
      </c>
      <c r="E12" s="1">
        <v>1038</v>
      </c>
      <c r="F12" s="1">
        <v>8561</v>
      </c>
      <c r="G12" s="2">
        <f t="shared" si="0"/>
        <v>8886318</v>
      </c>
    </row>
    <row r="13" spans="1:7" ht="16.5" hidden="1" x14ac:dyDescent="0.15">
      <c r="A13" s="1" t="s">
        <v>6</v>
      </c>
      <c r="B13" s="1" t="s">
        <v>20</v>
      </c>
      <c r="C13" s="1" t="s">
        <v>25</v>
      </c>
      <c r="D13" s="1" t="s">
        <v>33</v>
      </c>
      <c r="E13" s="1">
        <v>640</v>
      </c>
      <c r="F13" s="1">
        <v>7685</v>
      </c>
      <c r="G13" s="2">
        <f t="shared" si="0"/>
        <v>4918400</v>
      </c>
    </row>
    <row r="14" spans="1:7" ht="16.5" hidden="1" x14ac:dyDescent="0.15">
      <c r="A14" s="1" t="s">
        <v>7</v>
      </c>
      <c r="B14" s="1" t="s">
        <v>9</v>
      </c>
      <c r="C14" s="1" t="s">
        <v>26</v>
      </c>
      <c r="D14" s="1" t="s">
        <v>34</v>
      </c>
      <c r="E14" s="1">
        <v>590</v>
      </c>
      <c r="F14" s="1">
        <v>3567</v>
      </c>
      <c r="G14" s="2">
        <f t="shared" si="0"/>
        <v>2104530</v>
      </c>
    </row>
    <row r="15" spans="1:7" ht="16.5" hidden="1" x14ac:dyDescent="0.15">
      <c r="A15" s="1" t="s">
        <v>7</v>
      </c>
      <c r="B15" s="1" t="s">
        <v>9</v>
      </c>
      <c r="C15" s="1" t="s">
        <v>16</v>
      </c>
      <c r="D15" s="1" t="s">
        <v>32</v>
      </c>
      <c r="E15" s="1">
        <v>365</v>
      </c>
      <c r="F15" s="1">
        <v>3897</v>
      </c>
      <c r="G15" s="2">
        <f t="shared" si="0"/>
        <v>1422405</v>
      </c>
    </row>
    <row r="16" spans="1:7" ht="18" thickTop="1" thickBot="1" x14ac:dyDescent="0.2">
      <c r="A16" s="9" t="s">
        <v>7</v>
      </c>
      <c r="B16" s="10" t="s">
        <v>9</v>
      </c>
      <c r="C16" s="10" t="s">
        <v>27</v>
      </c>
      <c r="D16" s="10" t="s">
        <v>35</v>
      </c>
      <c r="E16" s="10">
        <v>2730</v>
      </c>
      <c r="F16" s="10">
        <v>3426</v>
      </c>
      <c r="G16" s="11">
        <f t="shared" si="0"/>
        <v>9352980</v>
      </c>
    </row>
    <row r="17" spans="1:7" ht="16.5" hidden="1" x14ac:dyDescent="0.15">
      <c r="A17" s="1" t="s">
        <v>7</v>
      </c>
      <c r="B17" s="1" t="s">
        <v>9</v>
      </c>
      <c r="C17" s="1" t="s">
        <v>18</v>
      </c>
      <c r="D17" s="1" t="s">
        <v>34</v>
      </c>
      <c r="E17" s="1">
        <v>1200</v>
      </c>
      <c r="F17" s="1">
        <v>3680</v>
      </c>
      <c r="G17" s="2">
        <f t="shared" si="0"/>
        <v>4416000</v>
      </c>
    </row>
    <row r="18" spans="1:7" ht="16.5" hidden="1" x14ac:dyDescent="0.15">
      <c r="A18" s="1" t="s">
        <v>7</v>
      </c>
      <c r="B18" s="1" t="s">
        <v>19</v>
      </c>
      <c r="C18" s="1" t="s">
        <v>28</v>
      </c>
      <c r="D18" s="1" t="s">
        <v>35</v>
      </c>
      <c r="E18" s="1">
        <v>424</v>
      </c>
      <c r="F18" s="1">
        <v>1245</v>
      </c>
      <c r="G18" s="2">
        <f t="shared" si="0"/>
        <v>527880</v>
      </c>
    </row>
    <row r="19" spans="1:7" ht="16.5" hidden="1" x14ac:dyDescent="0.15">
      <c r="A19" s="1" t="s">
        <v>6</v>
      </c>
      <c r="B19" s="1" t="s">
        <v>20</v>
      </c>
      <c r="C19" s="1" t="s">
        <v>24</v>
      </c>
      <c r="D19" s="1" t="s">
        <v>32</v>
      </c>
      <c r="E19" s="1">
        <v>550</v>
      </c>
      <c r="F19" s="1">
        <v>8950</v>
      </c>
      <c r="G19" s="2">
        <f t="shared" si="0"/>
        <v>4922500</v>
      </c>
    </row>
    <row r="20" spans="1:7" ht="16.5" hidden="1" x14ac:dyDescent="0.15">
      <c r="A20" s="1" t="s">
        <v>7</v>
      </c>
      <c r="B20" s="1" t="s">
        <v>19</v>
      </c>
      <c r="C20" s="1" t="s">
        <v>29</v>
      </c>
      <c r="D20" s="1" t="s">
        <v>33</v>
      </c>
      <c r="E20" s="1">
        <v>577</v>
      </c>
      <c r="F20" s="1">
        <v>452</v>
      </c>
      <c r="G20" s="2">
        <f t="shared" si="0"/>
        <v>260804</v>
      </c>
    </row>
    <row r="21" spans="1:7" ht="16.5" hidden="1" x14ac:dyDescent="0.15">
      <c r="A21" s="1" t="s">
        <v>7</v>
      </c>
      <c r="B21" s="1" t="s">
        <v>19</v>
      </c>
      <c r="C21" s="1" t="s">
        <v>30</v>
      </c>
      <c r="D21" s="1" t="s">
        <v>32</v>
      </c>
      <c r="E21" s="1">
        <v>731</v>
      </c>
      <c r="F21" s="1">
        <v>1783</v>
      </c>
      <c r="G21" s="2">
        <f t="shared" si="0"/>
        <v>1303373</v>
      </c>
    </row>
    <row r="22" spans="1:7" ht="16.5" hidden="1" x14ac:dyDescent="0.15">
      <c r="A22" s="1" t="s">
        <v>6</v>
      </c>
      <c r="B22" s="1" t="s">
        <v>8</v>
      </c>
      <c r="C22" s="1" t="s">
        <v>12</v>
      </c>
      <c r="D22" s="1" t="s">
        <v>13</v>
      </c>
      <c r="E22" s="1">
        <v>1254</v>
      </c>
      <c r="F22" s="1">
        <v>3360</v>
      </c>
      <c r="G22" s="2">
        <f t="shared" si="0"/>
        <v>4213440</v>
      </c>
    </row>
    <row r="23" spans="1:7" ht="16.5" hidden="1" x14ac:dyDescent="0.15">
      <c r="A23" s="1" t="s">
        <v>7</v>
      </c>
      <c r="B23" s="1" t="s">
        <v>19</v>
      </c>
      <c r="C23" s="1" t="s">
        <v>29</v>
      </c>
      <c r="D23" s="1" t="s">
        <v>34</v>
      </c>
      <c r="E23" s="1">
        <v>885</v>
      </c>
      <c r="F23" s="1">
        <v>500</v>
      </c>
      <c r="G23" s="2">
        <f t="shared" si="0"/>
        <v>442500</v>
      </c>
    </row>
    <row r="24" spans="1:7" ht="16.5" hidden="1" x14ac:dyDescent="0.15">
      <c r="A24" s="1" t="s">
        <v>7</v>
      </c>
      <c r="B24" s="1" t="s">
        <v>20</v>
      </c>
      <c r="C24" s="1" t="s">
        <v>31</v>
      </c>
      <c r="D24" s="1" t="s">
        <v>35</v>
      </c>
      <c r="E24" s="1">
        <v>1499</v>
      </c>
      <c r="F24" s="1">
        <v>5738</v>
      </c>
      <c r="G24" s="2">
        <f t="shared" si="0"/>
        <v>8601262</v>
      </c>
    </row>
    <row r="25" spans="1:7" ht="16.5" hidden="1" x14ac:dyDescent="0.15">
      <c r="A25" s="1" t="s">
        <v>7</v>
      </c>
      <c r="B25" s="1" t="s">
        <v>20</v>
      </c>
      <c r="C25" s="1" t="s">
        <v>24</v>
      </c>
      <c r="D25" s="1" t="s">
        <v>33</v>
      </c>
      <c r="E25" s="1">
        <v>1050</v>
      </c>
      <c r="F25" s="1">
        <v>7600</v>
      </c>
      <c r="G25" s="2">
        <f t="shared" si="0"/>
        <v>7980000</v>
      </c>
    </row>
    <row r="26" spans="1:7" ht="16.5" hidden="1" x14ac:dyDescent="0.15">
      <c r="A26" s="1" t="s">
        <v>6</v>
      </c>
      <c r="B26" s="1" t="s">
        <v>19</v>
      </c>
      <c r="C26" s="1" t="s">
        <v>21</v>
      </c>
      <c r="D26" s="1" t="s">
        <v>32</v>
      </c>
      <c r="E26" s="1">
        <v>980</v>
      </c>
      <c r="F26" s="1">
        <v>1980</v>
      </c>
      <c r="G26" s="2">
        <f t="shared" si="0"/>
        <v>1940400</v>
      </c>
    </row>
    <row r="27" spans="1:7" ht="16.5" hidden="1" x14ac:dyDescent="0.15">
      <c r="A27" s="1" t="s">
        <v>7</v>
      </c>
      <c r="B27" s="1" t="s">
        <v>39</v>
      </c>
      <c r="C27" s="1" t="s">
        <v>24</v>
      </c>
      <c r="D27" s="1" t="s">
        <v>34</v>
      </c>
      <c r="E27" s="1">
        <v>599</v>
      </c>
      <c r="F27" s="1">
        <v>3199</v>
      </c>
      <c r="G27" s="2">
        <f t="shared" si="0"/>
        <v>1916201</v>
      </c>
    </row>
    <row r="28" spans="1:7" ht="18" thickTop="1" thickBot="1" x14ac:dyDescent="0.2">
      <c r="A28" s="9" t="s">
        <v>6</v>
      </c>
      <c r="B28" s="10" t="s">
        <v>39</v>
      </c>
      <c r="C28" s="10" t="s">
        <v>31</v>
      </c>
      <c r="D28" s="10" t="s">
        <v>35</v>
      </c>
      <c r="E28" s="10">
        <v>1890</v>
      </c>
      <c r="F28" s="10">
        <v>2980</v>
      </c>
      <c r="G28" s="11">
        <f t="shared" si="0"/>
        <v>5632200</v>
      </c>
    </row>
    <row r="29" spans="1:7" ht="16.5" hidden="1" x14ac:dyDescent="0.15">
      <c r="A29" s="1" t="s">
        <v>7</v>
      </c>
      <c r="B29" s="1" t="s">
        <v>39</v>
      </c>
      <c r="C29" s="1" t="s">
        <v>31</v>
      </c>
      <c r="D29" s="1" t="s">
        <v>33</v>
      </c>
      <c r="E29" s="1">
        <v>958</v>
      </c>
      <c r="F29" s="1">
        <v>3199</v>
      </c>
      <c r="G29" s="2">
        <f t="shared" si="0"/>
        <v>3064642</v>
      </c>
    </row>
    <row r="30" spans="1:7" ht="18" thickTop="1" thickBot="1" x14ac:dyDescent="0.2">
      <c r="A30" s="9" t="s">
        <v>6</v>
      </c>
      <c r="B30" s="10" t="s">
        <v>45</v>
      </c>
      <c r="C30" s="10" t="s">
        <v>46</v>
      </c>
      <c r="D30" s="10" t="s">
        <v>34</v>
      </c>
      <c r="E30" s="10">
        <v>1656</v>
      </c>
      <c r="F30" s="10">
        <v>3299</v>
      </c>
      <c r="G30" s="11">
        <f t="shared" si="0"/>
        <v>5463144</v>
      </c>
    </row>
    <row r="31" spans="1:7" ht="16.5" hidden="1" x14ac:dyDescent="0.15">
      <c r="A31" s="1" t="s">
        <v>7</v>
      </c>
      <c r="B31" s="1" t="s">
        <v>45</v>
      </c>
      <c r="C31" s="1" t="s">
        <v>46</v>
      </c>
      <c r="D31" s="1" t="s">
        <v>35</v>
      </c>
      <c r="E31" s="1">
        <v>1399</v>
      </c>
      <c r="F31" s="1">
        <v>1399</v>
      </c>
      <c r="G31" s="2">
        <f t="shared" si="0"/>
        <v>1957201</v>
      </c>
    </row>
    <row r="32" spans="1:7" ht="16.5" hidden="1" x14ac:dyDescent="0.15">
      <c r="A32" s="1" t="s">
        <v>7</v>
      </c>
      <c r="B32" s="1" t="s">
        <v>39</v>
      </c>
      <c r="C32" s="1" t="s">
        <v>24</v>
      </c>
      <c r="D32" s="1" t="s">
        <v>32</v>
      </c>
      <c r="E32" s="1">
        <v>865</v>
      </c>
      <c r="F32" s="1">
        <v>2595</v>
      </c>
      <c r="G32" s="2">
        <f t="shared" si="0"/>
        <v>2244675</v>
      </c>
    </row>
    <row r="33" spans="1:7" ht="18" thickTop="1" thickBot="1" x14ac:dyDescent="0.2">
      <c r="A33" s="3" t="s">
        <v>6</v>
      </c>
      <c r="B33" s="4" t="s">
        <v>39</v>
      </c>
      <c r="C33" s="4" t="s">
        <v>31</v>
      </c>
      <c r="D33" s="4" t="s">
        <v>34</v>
      </c>
      <c r="E33" s="4">
        <v>2550</v>
      </c>
      <c r="F33" s="4">
        <v>3599</v>
      </c>
      <c r="G33" s="12">
        <f t="shared" si="0"/>
        <v>9177450</v>
      </c>
    </row>
    <row r="34" spans="1:7" ht="18" thickTop="1" thickBot="1" x14ac:dyDescent="0.2">
      <c r="A34" s="6" t="s">
        <v>7</v>
      </c>
      <c r="B34" s="7" t="s">
        <v>39</v>
      </c>
      <c r="C34" s="7" t="s">
        <v>31</v>
      </c>
      <c r="D34" s="7" t="s">
        <v>35</v>
      </c>
      <c r="E34" s="7">
        <v>1855</v>
      </c>
      <c r="F34" s="7">
        <v>2590</v>
      </c>
      <c r="G34" s="8">
        <f t="shared" si="0"/>
        <v>4804450</v>
      </c>
    </row>
    <row r="35" spans="1:7" ht="16.5" hidden="1" x14ac:dyDescent="0.15">
      <c r="A35" s="1" t="s">
        <v>6</v>
      </c>
      <c r="B35" s="1" t="s">
        <v>45</v>
      </c>
      <c r="C35" s="1" t="s">
        <v>46</v>
      </c>
      <c r="D35" s="1" t="s">
        <v>33</v>
      </c>
      <c r="E35" s="1">
        <v>758</v>
      </c>
      <c r="F35" s="1">
        <v>2880</v>
      </c>
      <c r="G35" s="2">
        <f t="shared" si="0"/>
        <v>2183040</v>
      </c>
    </row>
    <row r="36" spans="1:7" ht="18" thickTop="1" thickBot="1" x14ac:dyDescent="0.2">
      <c r="A36" s="3" t="s">
        <v>7</v>
      </c>
      <c r="B36" s="4" t="s">
        <v>45</v>
      </c>
      <c r="C36" s="4" t="s">
        <v>46</v>
      </c>
      <c r="D36" s="4" t="s">
        <v>34</v>
      </c>
      <c r="E36" s="4">
        <v>2980</v>
      </c>
      <c r="F36" s="4">
        <v>3660</v>
      </c>
      <c r="G36" s="12">
        <f t="shared" si="0"/>
        <v>10906800</v>
      </c>
    </row>
    <row r="37" spans="1:7" ht="18" thickTop="1" thickBot="1" x14ac:dyDescent="0.2">
      <c r="A37" s="6" t="s">
        <v>6</v>
      </c>
      <c r="B37" s="7" t="s">
        <v>39</v>
      </c>
      <c r="C37" s="7" t="s">
        <v>24</v>
      </c>
      <c r="D37" s="7" t="s">
        <v>35</v>
      </c>
      <c r="E37" s="7">
        <v>1980</v>
      </c>
      <c r="F37" s="7">
        <v>1250</v>
      </c>
      <c r="G37" s="8">
        <f t="shared" si="0"/>
        <v>2475000</v>
      </c>
    </row>
    <row r="38" spans="1:7" ht="16.5" hidden="1" x14ac:dyDescent="0.15">
      <c r="A38" s="1" t="s">
        <v>7</v>
      </c>
      <c r="B38" s="1" t="s">
        <v>39</v>
      </c>
      <c r="C38" s="1" t="s">
        <v>31</v>
      </c>
      <c r="D38" s="1" t="s">
        <v>32</v>
      </c>
      <c r="E38" s="1">
        <v>589</v>
      </c>
      <c r="F38" s="1">
        <v>3555</v>
      </c>
      <c r="G38" s="2">
        <f t="shared" si="0"/>
        <v>2093895</v>
      </c>
    </row>
    <row r="39" spans="1:7" ht="18" thickTop="1" thickBot="1" x14ac:dyDescent="0.2">
      <c r="A39" s="9" t="s">
        <v>7</v>
      </c>
      <c r="B39" s="10" t="s">
        <v>39</v>
      </c>
      <c r="C39" s="10" t="s">
        <v>31</v>
      </c>
      <c r="D39" s="10" t="s">
        <v>34</v>
      </c>
      <c r="E39" s="10">
        <v>1899</v>
      </c>
      <c r="F39" s="10">
        <v>1455</v>
      </c>
      <c r="G39" s="11">
        <f t="shared" si="0"/>
        <v>2763045</v>
      </c>
    </row>
    <row r="40" spans="1:7" ht="16.5" hidden="1" x14ac:dyDescent="0.15">
      <c r="A40" s="1" t="s">
        <v>6</v>
      </c>
      <c r="B40" s="1" t="s">
        <v>45</v>
      </c>
      <c r="C40" s="1" t="s">
        <v>46</v>
      </c>
      <c r="D40" s="1" t="s">
        <v>35</v>
      </c>
      <c r="E40" s="1">
        <v>758</v>
      </c>
      <c r="F40" s="1">
        <v>2699</v>
      </c>
      <c r="G40" s="2">
        <f t="shared" si="0"/>
        <v>2045842</v>
      </c>
    </row>
    <row r="41" spans="1:7" ht="16.5" hidden="1" x14ac:dyDescent="0.15">
      <c r="A41" s="1" t="s">
        <v>7</v>
      </c>
      <c r="B41" s="1" t="s">
        <v>45</v>
      </c>
      <c r="C41" s="1" t="s">
        <v>46</v>
      </c>
      <c r="D41" s="1" t="s">
        <v>33</v>
      </c>
      <c r="E41" s="1">
        <v>852</v>
      </c>
      <c r="F41" s="1">
        <v>2458</v>
      </c>
      <c r="G41" s="2">
        <f t="shared" si="0"/>
        <v>2094216</v>
      </c>
    </row>
    <row r="42" spans="1:7" ht="16.5" hidden="1" x14ac:dyDescent="0.15">
      <c r="A42" s="1" t="s">
        <v>6</v>
      </c>
      <c r="B42" s="1" t="s">
        <v>39</v>
      </c>
      <c r="C42" s="1" t="s">
        <v>24</v>
      </c>
      <c r="D42" s="1" t="s">
        <v>34</v>
      </c>
      <c r="E42" s="1">
        <v>699</v>
      </c>
      <c r="F42" s="1">
        <v>3699</v>
      </c>
      <c r="G42" s="2">
        <f t="shared" si="0"/>
        <v>2585601</v>
      </c>
    </row>
    <row r="43" spans="1:7" ht="16.5" hidden="1" x14ac:dyDescent="0.15">
      <c r="A43" s="1" t="s">
        <v>7</v>
      </c>
      <c r="B43" s="1" t="s">
        <v>39</v>
      </c>
      <c r="C43" s="1" t="s">
        <v>31</v>
      </c>
      <c r="D43" s="1" t="s">
        <v>35</v>
      </c>
      <c r="E43" s="1">
        <v>580</v>
      </c>
      <c r="F43" s="1">
        <v>1990</v>
      </c>
      <c r="G43" s="2">
        <f t="shared" si="0"/>
        <v>1154200</v>
      </c>
    </row>
    <row r="44" spans="1:7" ht="18" thickTop="1" thickBot="1" x14ac:dyDescent="0.2">
      <c r="A44" s="9" t="s">
        <v>6</v>
      </c>
      <c r="B44" s="10" t="s">
        <v>39</v>
      </c>
      <c r="C44" s="10" t="s">
        <v>31</v>
      </c>
      <c r="D44" s="10" t="s">
        <v>32</v>
      </c>
      <c r="E44" s="10">
        <v>1890</v>
      </c>
      <c r="F44" s="10">
        <v>2699</v>
      </c>
      <c r="G44" s="11">
        <f t="shared" si="0"/>
        <v>5101110</v>
      </c>
    </row>
    <row r="45" spans="1:7" ht="16.5" hidden="1" x14ac:dyDescent="0.15">
      <c r="A45" s="1" t="s">
        <v>7</v>
      </c>
      <c r="B45" s="1" t="s">
        <v>45</v>
      </c>
      <c r="C45" s="1" t="s">
        <v>46</v>
      </c>
      <c r="D45" s="1" t="s">
        <v>34</v>
      </c>
      <c r="E45" s="1">
        <v>699</v>
      </c>
      <c r="F45" s="1">
        <v>1655</v>
      </c>
      <c r="G45" s="2">
        <f t="shared" si="0"/>
        <v>1156845</v>
      </c>
    </row>
    <row r="46" spans="1:7" ht="14.25" thickTop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topLeftCell="A10" workbookViewId="0">
      <selection activeCell="J39" sqref="J39"/>
    </sheetView>
  </sheetViews>
  <sheetFormatPr defaultRowHeight="13.5" outlineLevelRow="2" x14ac:dyDescent="0.15"/>
  <cols>
    <col min="1" max="2" width="7.75" bestFit="1" customWidth="1"/>
    <col min="3" max="3" width="14" bestFit="1" customWidth="1"/>
    <col min="4" max="4" width="5.75" bestFit="1" customWidth="1"/>
    <col min="5" max="5" width="7.75" bestFit="1" customWidth="1"/>
    <col min="6" max="6" width="5.75" bestFit="1" customWidth="1"/>
    <col min="7" max="7" width="11.375" bestFit="1" customWidth="1"/>
  </cols>
  <sheetData>
    <row r="1" spans="1:7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</row>
    <row r="2" spans="1:7" ht="16.5" outlineLevel="2" x14ac:dyDescent="0.15">
      <c r="A2" s="1" t="s">
        <v>6</v>
      </c>
      <c r="B2" s="1" t="s">
        <v>14</v>
      </c>
      <c r="C2" s="1" t="s">
        <v>15</v>
      </c>
      <c r="D2" s="1" t="s">
        <v>10</v>
      </c>
      <c r="E2" s="1">
        <v>860</v>
      </c>
      <c r="F2" s="1">
        <v>1450</v>
      </c>
      <c r="G2" s="2">
        <f>PRODUCT(E2:F2)</f>
        <v>1247000</v>
      </c>
    </row>
    <row r="3" spans="1:7" ht="16.5" outlineLevel="2" x14ac:dyDescent="0.15">
      <c r="A3" s="1" t="s">
        <v>6</v>
      </c>
      <c r="B3" s="1" t="s">
        <v>19</v>
      </c>
      <c r="C3" s="1" t="s">
        <v>22</v>
      </c>
      <c r="D3" s="1" t="s">
        <v>33</v>
      </c>
      <c r="E3" s="1">
        <v>2100</v>
      </c>
      <c r="F3" s="1">
        <v>385</v>
      </c>
      <c r="G3" s="2">
        <f>PRODUCT(E3:F3)</f>
        <v>808500</v>
      </c>
    </row>
    <row r="4" spans="1:7" ht="16.5" outlineLevel="2" x14ac:dyDescent="0.15">
      <c r="A4" s="1" t="s">
        <v>6</v>
      </c>
      <c r="B4" s="1" t="s">
        <v>19</v>
      </c>
      <c r="C4" s="1" t="s">
        <v>21</v>
      </c>
      <c r="D4" s="1" t="s">
        <v>32</v>
      </c>
      <c r="E4" s="1">
        <v>980</v>
      </c>
      <c r="F4" s="1">
        <v>1980</v>
      </c>
      <c r="G4" s="2">
        <f>PRODUCT(E4:F4)</f>
        <v>1940400</v>
      </c>
    </row>
    <row r="5" spans="1:7" ht="16.5" outlineLevel="1" x14ac:dyDescent="0.15">
      <c r="A5" s="1"/>
      <c r="B5" s="13" t="s">
        <v>52</v>
      </c>
      <c r="C5" s="1"/>
      <c r="D5" s="1"/>
      <c r="E5" s="1"/>
      <c r="F5" s="1"/>
      <c r="G5" s="2">
        <f>SUBTOTAL(4,G2:G4)</f>
        <v>1940400</v>
      </c>
    </row>
    <row r="6" spans="1:7" ht="16.5" outlineLevel="2" x14ac:dyDescent="0.15">
      <c r="A6" s="1" t="s">
        <v>6</v>
      </c>
      <c r="B6" s="1" t="s">
        <v>8</v>
      </c>
      <c r="C6" s="1" t="s">
        <v>18</v>
      </c>
      <c r="D6" s="1" t="s">
        <v>10</v>
      </c>
      <c r="E6" s="1">
        <v>1560</v>
      </c>
      <c r="F6" s="1">
        <v>3680</v>
      </c>
      <c r="G6" s="2">
        <f>PRODUCT(E6:F6)</f>
        <v>5740800</v>
      </c>
    </row>
    <row r="7" spans="1:7" ht="16.5" outlineLevel="2" x14ac:dyDescent="0.15">
      <c r="A7" s="1" t="s">
        <v>6</v>
      </c>
      <c r="B7" s="1" t="s">
        <v>8</v>
      </c>
      <c r="C7" s="1" t="s">
        <v>17</v>
      </c>
      <c r="D7" s="1" t="s">
        <v>11</v>
      </c>
      <c r="E7" s="1">
        <v>1875</v>
      </c>
      <c r="F7" s="1">
        <v>4230</v>
      </c>
      <c r="G7" s="2">
        <f>PRODUCT(E7:F7)</f>
        <v>7931250</v>
      </c>
    </row>
    <row r="8" spans="1:7" ht="16.5" outlineLevel="2" x14ac:dyDescent="0.15">
      <c r="A8" s="1" t="s">
        <v>6</v>
      </c>
      <c r="B8" s="1" t="s">
        <v>8</v>
      </c>
      <c r="C8" s="1" t="s">
        <v>12</v>
      </c>
      <c r="D8" s="1" t="s">
        <v>13</v>
      </c>
      <c r="E8" s="1">
        <v>1254</v>
      </c>
      <c r="F8" s="1">
        <v>3360</v>
      </c>
      <c r="G8" s="2">
        <f>PRODUCT(E8:F8)</f>
        <v>4213440</v>
      </c>
    </row>
    <row r="9" spans="1:7" ht="16.5" outlineLevel="1" x14ac:dyDescent="0.15">
      <c r="A9" s="1"/>
      <c r="B9" s="13" t="s">
        <v>53</v>
      </c>
      <c r="C9" s="1"/>
      <c r="D9" s="1"/>
      <c r="E9" s="1"/>
      <c r="F9" s="1"/>
      <c r="G9" s="2">
        <f>SUBTOTAL(4,G6:G8)</f>
        <v>7931250</v>
      </c>
    </row>
    <row r="10" spans="1:7" ht="16.5" outlineLevel="2" x14ac:dyDescent="0.15">
      <c r="A10" s="1" t="s">
        <v>6</v>
      </c>
      <c r="B10" s="1" t="s">
        <v>20</v>
      </c>
      <c r="C10" s="1" t="s">
        <v>23</v>
      </c>
      <c r="D10" s="1" t="s">
        <v>34</v>
      </c>
      <c r="E10" s="1">
        <v>780</v>
      </c>
      <c r="F10" s="1">
        <v>6780</v>
      </c>
      <c r="G10" s="2">
        <f>PRODUCT(E10:F10)</f>
        <v>5288400</v>
      </c>
    </row>
    <row r="11" spans="1:7" ht="16.5" outlineLevel="2" x14ac:dyDescent="0.15">
      <c r="A11" s="1" t="s">
        <v>6</v>
      </c>
      <c r="B11" s="1" t="s">
        <v>20</v>
      </c>
      <c r="C11" s="1" t="s">
        <v>25</v>
      </c>
      <c r="D11" s="1" t="s">
        <v>33</v>
      </c>
      <c r="E11" s="1">
        <v>640</v>
      </c>
      <c r="F11" s="1">
        <v>7685</v>
      </c>
      <c r="G11" s="2">
        <f>PRODUCT(E11:F11)</f>
        <v>4918400</v>
      </c>
    </row>
    <row r="12" spans="1:7" ht="16.5" outlineLevel="2" x14ac:dyDescent="0.15">
      <c r="A12" s="1" t="s">
        <v>6</v>
      </c>
      <c r="B12" s="1" t="s">
        <v>20</v>
      </c>
      <c r="C12" s="1" t="s">
        <v>24</v>
      </c>
      <c r="D12" s="1" t="s">
        <v>32</v>
      </c>
      <c r="E12" s="1">
        <v>550</v>
      </c>
      <c r="F12" s="1">
        <v>8950</v>
      </c>
      <c r="G12" s="2">
        <f>PRODUCT(E12:F12)</f>
        <v>4922500</v>
      </c>
    </row>
    <row r="13" spans="1:7" ht="16.5" outlineLevel="1" x14ac:dyDescent="0.15">
      <c r="A13" s="1"/>
      <c r="B13" s="13" t="s">
        <v>54</v>
      </c>
      <c r="C13" s="1"/>
      <c r="D13" s="1"/>
      <c r="E13" s="1"/>
      <c r="F13" s="1"/>
      <c r="G13" s="2">
        <f>SUBTOTAL(4,G10:G12)</f>
        <v>5288400</v>
      </c>
    </row>
    <row r="14" spans="1:7" ht="16.5" outlineLevel="2" x14ac:dyDescent="0.15">
      <c r="A14" s="1" t="s">
        <v>6</v>
      </c>
      <c r="B14" s="1" t="s">
        <v>39</v>
      </c>
      <c r="C14" s="1" t="s">
        <v>31</v>
      </c>
      <c r="D14" s="1" t="s">
        <v>35</v>
      </c>
      <c r="E14" s="1">
        <v>1890</v>
      </c>
      <c r="F14" s="1">
        <v>2980</v>
      </c>
      <c r="G14" s="2">
        <f>PRODUCT(E14:F14)</f>
        <v>5632200</v>
      </c>
    </row>
    <row r="15" spans="1:7" ht="16.5" outlineLevel="2" x14ac:dyDescent="0.15">
      <c r="A15" s="1" t="s">
        <v>6</v>
      </c>
      <c r="B15" s="1" t="s">
        <v>39</v>
      </c>
      <c r="C15" s="1" t="s">
        <v>31</v>
      </c>
      <c r="D15" s="1" t="s">
        <v>34</v>
      </c>
      <c r="E15" s="1">
        <v>2550</v>
      </c>
      <c r="F15" s="1">
        <v>3599</v>
      </c>
      <c r="G15" s="2">
        <f>PRODUCT(E15:F15)</f>
        <v>9177450</v>
      </c>
    </row>
    <row r="16" spans="1:7" ht="16.5" outlineLevel="2" x14ac:dyDescent="0.15">
      <c r="A16" s="1" t="s">
        <v>6</v>
      </c>
      <c r="B16" s="1" t="s">
        <v>39</v>
      </c>
      <c r="C16" s="1" t="s">
        <v>24</v>
      </c>
      <c r="D16" s="1" t="s">
        <v>35</v>
      </c>
      <c r="E16" s="1">
        <v>1980</v>
      </c>
      <c r="F16" s="1">
        <v>1250</v>
      </c>
      <c r="G16" s="2">
        <f>PRODUCT(E16:F16)</f>
        <v>2475000</v>
      </c>
    </row>
    <row r="17" spans="1:7" ht="16.5" outlineLevel="2" x14ac:dyDescent="0.15">
      <c r="A17" s="1" t="s">
        <v>6</v>
      </c>
      <c r="B17" s="1" t="s">
        <v>39</v>
      </c>
      <c r="C17" s="1" t="s">
        <v>24</v>
      </c>
      <c r="D17" s="1" t="s">
        <v>34</v>
      </c>
      <c r="E17" s="1">
        <v>699</v>
      </c>
      <c r="F17" s="1">
        <v>3699</v>
      </c>
      <c r="G17" s="2">
        <f>PRODUCT(E17:F17)</f>
        <v>2585601</v>
      </c>
    </row>
    <row r="18" spans="1:7" ht="16.5" outlineLevel="2" x14ac:dyDescent="0.15">
      <c r="A18" s="1" t="s">
        <v>6</v>
      </c>
      <c r="B18" s="1" t="s">
        <v>39</v>
      </c>
      <c r="C18" s="1" t="s">
        <v>31</v>
      </c>
      <c r="D18" s="1" t="s">
        <v>32</v>
      </c>
      <c r="E18" s="1">
        <v>1890</v>
      </c>
      <c r="F18" s="1">
        <v>2699</v>
      </c>
      <c r="G18" s="2">
        <f>PRODUCT(E18:F18)</f>
        <v>5101110</v>
      </c>
    </row>
    <row r="19" spans="1:7" ht="16.5" outlineLevel="1" x14ac:dyDescent="0.15">
      <c r="A19" s="1"/>
      <c r="B19" s="13" t="s">
        <v>55</v>
      </c>
      <c r="C19" s="1"/>
      <c r="D19" s="1"/>
      <c r="E19" s="1"/>
      <c r="F19" s="1"/>
      <c r="G19" s="2">
        <f>SUBTOTAL(4,G14:G18)</f>
        <v>9177450</v>
      </c>
    </row>
    <row r="20" spans="1:7" ht="16.5" outlineLevel="2" x14ac:dyDescent="0.15">
      <c r="A20" s="1" t="s">
        <v>6</v>
      </c>
      <c r="B20" s="1" t="s">
        <v>45</v>
      </c>
      <c r="C20" s="1" t="s">
        <v>46</v>
      </c>
      <c r="D20" s="1" t="s">
        <v>34</v>
      </c>
      <c r="E20" s="1">
        <v>1656</v>
      </c>
      <c r="F20" s="1">
        <v>3299</v>
      </c>
      <c r="G20" s="2">
        <f>PRODUCT(E20:F20)</f>
        <v>5463144</v>
      </c>
    </row>
    <row r="21" spans="1:7" ht="16.5" outlineLevel="2" x14ac:dyDescent="0.15">
      <c r="A21" s="1" t="s">
        <v>6</v>
      </c>
      <c r="B21" s="1" t="s">
        <v>45</v>
      </c>
      <c r="C21" s="1" t="s">
        <v>46</v>
      </c>
      <c r="D21" s="1" t="s">
        <v>33</v>
      </c>
      <c r="E21" s="1">
        <v>758</v>
      </c>
      <c r="F21" s="1">
        <v>2880</v>
      </c>
      <c r="G21" s="2">
        <f>PRODUCT(E21:F21)</f>
        <v>2183040</v>
      </c>
    </row>
    <row r="22" spans="1:7" ht="16.5" outlineLevel="2" x14ac:dyDescent="0.15">
      <c r="A22" s="1" t="s">
        <v>6</v>
      </c>
      <c r="B22" s="1" t="s">
        <v>45</v>
      </c>
      <c r="C22" s="1" t="s">
        <v>46</v>
      </c>
      <c r="D22" s="1" t="s">
        <v>35</v>
      </c>
      <c r="E22" s="1">
        <v>758</v>
      </c>
      <c r="F22" s="1">
        <v>2699</v>
      </c>
      <c r="G22" s="2">
        <f>PRODUCT(E22:F22)</f>
        <v>2045842</v>
      </c>
    </row>
    <row r="23" spans="1:7" ht="16.5" outlineLevel="1" x14ac:dyDescent="0.15">
      <c r="A23" s="1"/>
      <c r="B23" s="13" t="s">
        <v>56</v>
      </c>
      <c r="C23" s="1"/>
      <c r="D23" s="1"/>
      <c r="E23" s="1"/>
      <c r="F23" s="1"/>
      <c r="G23" s="2">
        <f>SUBTOTAL(4,G20:G22)</f>
        <v>5463144</v>
      </c>
    </row>
    <row r="24" spans="1:7" ht="16.5" outlineLevel="2" x14ac:dyDescent="0.15">
      <c r="A24" s="1" t="s">
        <v>7</v>
      </c>
      <c r="B24" s="1" t="s">
        <v>19</v>
      </c>
      <c r="C24" s="1" t="s">
        <v>30</v>
      </c>
      <c r="D24" s="1" t="s">
        <v>35</v>
      </c>
      <c r="E24" s="1">
        <v>800</v>
      </c>
      <c r="F24" s="1">
        <v>1920</v>
      </c>
      <c r="G24" s="2">
        <f>PRODUCT(E24:F24)</f>
        <v>1536000</v>
      </c>
    </row>
    <row r="25" spans="1:7" ht="16.5" outlineLevel="2" x14ac:dyDescent="0.15">
      <c r="A25" s="1" t="s">
        <v>7</v>
      </c>
      <c r="B25" s="1" t="s">
        <v>19</v>
      </c>
      <c r="C25" s="1" t="s">
        <v>28</v>
      </c>
      <c r="D25" s="1" t="s">
        <v>35</v>
      </c>
      <c r="E25" s="1">
        <v>424</v>
      </c>
      <c r="F25" s="1">
        <v>1245</v>
      </c>
      <c r="G25" s="2">
        <f>PRODUCT(E25:F25)</f>
        <v>527880</v>
      </c>
    </row>
    <row r="26" spans="1:7" ht="16.5" outlineLevel="2" x14ac:dyDescent="0.15">
      <c r="A26" s="1" t="s">
        <v>7</v>
      </c>
      <c r="B26" s="1" t="s">
        <v>19</v>
      </c>
      <c r="C26" s="1" t="s">
        <v>29</v>
      </c>
      <c r="D26" s="1" t="s">
        <v>33</v>
      </c>
      <c r="E26" s="1">
        <v>577</v>
      </c>
      <c r="F26" s="1">
        <v>452</v>
      </c>
      <c r="G26" s="2">
        <f>PRODUCT(E26:F26)</f>
        <v>260804</v>
      </c>
    </row>
    <row r="27" spans="1:7" ht="16.5" outlineLevel="2" x14ac:dyDescent="0.15">
      <c r="A27" s="1" t="s">
        <v>7</v>
      </c>
      <c r="B27" s="1" t="s">
        <v>19</v>
      </c>
      <c r="C27" s="1" t="s">
        <v>30</v>
      </c>
      <c r="D27" s="1" t="s">
        <v>32</v>
      </c>
      <c r="E27" s="1">
        <v>731</v>
      </c>
      <c r="F27" s="1">
        <v>1783</v>
      </c>
      <c r="G27" s="2">
        <f>PRODUCT(E27:F27)</f>
        <v>1303373</v>
      </c>
    </row>
    <row r="28" spans="1:7" ht="16.5" outlineLevel="2" x14ac:dyDescent="0.15">
      <c r="A28" s="1" t="s">
        <v>7</v>
      </c>
      <c r="B28" s="1" t="s">
        <v>19</v>
      </c>
      <c r="C28" s="1" t="s">
        <v>29</v>
      </c>
      <c r="D28" s="1" t="s">
        <v>34</v>
      </c>
      <c r="E28" s="1">
        <v>885</v>
      </c>
      <c r="F28" s="1">
        <v>500</v>
      </c>
      <c r="G28" s="2">
        <f>PRODUCT(E28:F28)</f>
        <v>442500</v>
      </c>
    </row>
    <row r="29" spans="1:7" ht="16.5" outlineLevel="1" x14ac:dyDescent="0.15">
      <c r="A29" s="1"/>
      <c r="B29" s="13" t="s">
        <v>52</v>
      </c>
      <c r="C29" s="1"/>
      <c r="D29" s="1"/>
      <c r="E29" s="1"/>
      <c r="F29" s="1"/>
      <c r="G29" s="2">
        <f>SUBTOTAL(4,G24:G28)</f>
        <v>1536000</v>
      </c>
    </row>
    <row r="30" spans="1:7" ht="16.5" outlineLevel="2" x14ac:dyDescent="0.15">
      <c r="A30" s="1" t="s">
        <v>7</v>
      </c>
      <c r="B30" s="1" t="s">
        <v>9</v>
      </c>
      <c r="C30" s="1" t="s">
        <v>26</v>
      </c>
      <c r="D30" s="1" t="s">
        <v>34</v>
      </c>
      <c r="E30" s="1">
        <v>590</v>
      </c>
      <c r="F30" s="1">
        <v>3567</v>
      </c>
      <c r="G30" s="2">
        <f>PRODUCT(E30:F30)</f>
        <v>2104530</v>
      </c>
    </row>
    <row r="31" spans="1:7" ht="16.5" outlineLevel="2" x14ac:dyDescent="0.15">
      <c r="A31" s="1" t="s">
        <v>7</v>
      </c>
      <c r="B31" s="1" t="s">
        <v>9</v>
      </c>
      <c r="C31" s="1" t="s">
        <v>16</v>
      </c>
      <c r="D31" s="1" t="s">
        <v>32</v>
      </c>
      <c r="E31" s="1">
        <v>365</v>
      </c>
      <c r="F31" s="1">
        <v>3897</v>
      </c>
      <c r="G31" s="2">
        <f>PRODUCT(E31:F31)</f>
        <v>1422405</v>
      </c>
    </row>
    <row r="32" spans="1:7" ht="16.5" outlineLevel="2" x14ac:dyDescent="0.15">
      <c r="A32" s="1" t="s">
        <v>7</v>
      </c>
      <c r="B32" s="1" t="s">
        <v>9</v>
      </c>
      <c r="C32" s="1" t="s">
        <v>27</v>
      </c>
      <c r="D32" s="1" t="s">
        <v>35</v>
      </c>
      <c r="E32" s="1">
        <v>2730</v>
      </c>
      <c r="F32" s="1">
        <v>3426</v>
      </c>
      <c r="G32" s="2">
        <f>PRODUCT(E32:F32)</f>
        <v>9352980</v>
      </c>
    </row>
    <row r="33" spans="1:7" ht="16.5" outlineLevel="2" x14ac:dyDescent="0.15">
      <c r="A33" s="1" t="s">
        <v>7</v>
      </c>
      <c r="B33" s="1" t="s">
        <v>9</v>
      </c>
      <c r="C33" s="1" t="s">
        <v>18</v>
      </c>
      <c r="D33" s="1" t="s">
        <v>34</v>
      </c>
      <c r="E33" s="1">
        <v>1200</v>
      </c>
      <c r="F33" s="1">
        <v>3680</v>
      </c>
      <c r="G33" s="2">
        <f>PRODUCT(E33:F33)</f>
        <v>4416000</v>
      </c>
    </row>
    <row r="34" spans="1:7" ht="16.5" outlineLevel="1" x14ac:dyDescent="0.15">
      <c r="A34" s="1"/>
      <c r="B34" s="13" t="s">
        <v>53</v>
      </c>
      <c r="C34" s="1"/>
      <c r="D34" s="1"/>
      <c r="E34" s="1"/>
      <c r="F34" s="1"/>
      <c r="G34" s="2">
        <f>SUBTOTAL(4,G30:G33)</f>
        <v>9352980</v>
      </c>
    </row>
    <row r="35" spans="1:7" ht="16.5" outlineLevel="2" x14ac:dyDescent="0.15">
      <c r="A35" s="1" t="s">
        <v>7</v>
      </c>
      <c r="B35" s="1" t="s">
        <v>20</v>
      </c>
      <c r="C35" s="1" t="s">
        <v>24</v>
      </c>
      <c r="D35" s="1" t="s">
        <v>34</v>
      </c>
      <c r="E35" s="1">
        <v>1192</v>
      </c>
      <c r="F35" s="1">
        <v>7920</v>
      </c>
      <c r="G35" s="2">
        <f>PRODUCT(E35:F35)</f>
        <v>9440640</v>
      </c>
    </row>
    <row r="36" spans="1:7" ht="16.5" outlineLevel="2" x14ac:dyDescent="0.15">
      <c r="A36" s="1" t="s">
        <v>7</v>
      </c>
      <c r="B36" s="1" t="s">
        <v>20</v>
      </c>
      <c r="C36" s="1" t="s">
        <v>31</v>
      </c>
      <c r="D36" s="1" t="s">
        <v>32</v>
      </c>
      <c r="E36" s="1">
        <v>1204</v>
      </c>
      <c r="F36" s="1">
        <v>5640</v>
      </c>
      <c r="G36" s="2">
        <f>PRODUCT(E36:F36)</f>
        <v>6790560</v>
      </c>
    </row>
    <row r="37" spans="1:7" ht="16.5" outlineLevel="2" x14ac:dyDescent="0.15">
      <c r="A37" s="1" t="s">
        <v>7</v>
      </c>
      <c r="B37" s="1" t="s">
        <v>20</v>
      </c>
      <c r="C37" s="1" t="s">
        <v>23</v>
      </c>
      <c r="D37" s="1" t="s">
        <v>33</v>
      </c>
      <c r="E37" s="1">
        <v>1038</v>
      </c>
      <c r="F37" s="1">
        <v>8561</v>
      </c>
      <c r="G37" s="2">
        <f>PRODUCT(E37:F37)</f>
        <v>8886318</v>
      </c>
    </row>
    <row r="38" spans="1:7" ht="16.5" outlineLevel="2" x14ac:dyDescent="0.15">
      <c r="A38" s="1" t="s">
        <v>7</v>
      </c>
      <c r="B38" s="1" t="s">
        <v>20</v>
      </c>
      <c r="C38" s="1" t="s">
        <v>31</v>
      </c>
      <c r="D38" s="1" t="s">
        <v>35</v>
      </c>
      <c r="E38" s="1">
        <v>1499</v>
      </c>
      <c r="F38" s="1">
        <v>5738</v>
      </c>
      <c r="G38" s="2">
        <f>PRODUCT(E38:F38)</f>
        <v>8601262</v>
      </c>
    </row>
    <row r="39" spans="1:7" ht="16.5" outlineLevel="2" x14ac:dyDescent="0.15">
      <c r="A39" s="1" t="s">
        <v>7</v>
      </c>
      <c r="B39" s="1" t="s">
        <v>20</v>
      </c>
      <c r="C39" s="1" t="s">
        <v>24</v>
      </c>
      <c r="D39" s="1" t="s">
        <v>33</v>
      </c>
      <c r="E39" s="1">
        <v>1050</v>
      </c>
      <c r="F39" s="1">
        <v>7600</v>
      </c>
      <c r="G39" s="2">
        <f>PRODUCT(E39:F39)</f>
        <v>7980000</v>
      </c>
    </row>
    <row r="40" spans="1:7" ht="16.5" outlineLevel="1" x14ac:dyDescent="0.15">
      <c r="A40" s="1"/>
      <c r="B40" s="13" t="s">
        <v>54</v>
      </c>
      <c r="C40" s="1"/>
      <c r="D40" s="1"/>
      <c r="E40" s="1"/>
      <c r="F40" s="1"/>
      <c r="G40" s="2">
        <f>SUBTOTAL(4,G35:G39)</f>
        <v>9440640</v>
      </c>
    </row>
    <row r="41" spans="1:7" ht="16.5" outlineLevel="2" x14ac:dyDescent="0.15">
      <c r="A41" s="1" t="s">
        <v>7</v>
      </c>
      <c r="B41" s="1" t="s">
        <v>39</v>
      </c>
      <c r="C41" s="1" t="s">
        <v>24</v>
      </c>
      <c r="D41" s="1" t="s">
        <v>34</v>
      </c>
      <c r="E41" s="1">
        <v>599</v>
      </c>
      <c r="F41" s="1">
        <v>3199</v>
      </c>
      <c r="G41" s="2">
        <f t="shared" ref="G41:G47" si="0">PRODUCT(E41:F41)</f>
        <v>1916201</v>
      </c>
    </row>
    <row r="42" spans="1:7" ht="16.5" outlineLevel="2" x14ac:dyDescent="0.15">
      <c r="A42" s="1" t="s">
        <v>7</v>
      </c>
      <c r="B42" s="1" t="s">
        <v>39</v>
      </c>
      <c r="C42" s="1" t="s">
        <v>31</v>
      </c>
      <c r="D42" s="1" t="s">
        <v>33</v>
      </c>
      <c r="E42" s="1">
        <v>958</v>
      </c>
      <c r="F42" s="1">
        <v>3199</v>
      </c>
      <c r="G42" s="2">
        <f t="shared" si="0"/>
        <v>3064642</v>
      </c>
    </row>
    <row r="43" spans="1:7" ht="16.5" outlineLevel="2" x14ac:dyDescent="0.15">
      <c r="A43" s="1" t="s">
        <v>7</v>
      </c>
      <c r="B43" s="1" t="s">
        <v>39</v>
      </c>
      <c r="C43" s="1" t="s">
        <v>24</v>
      </c>
      <c r="D43" s="1" t="s">
        <v>32</v>
      </c>
      <c r="E43" s="1">
        <v>865</v>
      </c>
      <c r="F43" s="1">
        <v>2595</v>
      </c>
      <c r="G43" s="2">
        <f t="shared" si="0"/>
        <v>2244675</v>
      </c>
    </row>
    <row r="44" spans="1:7" ht="16.5" outlineLevel="2" x14ac:dyDescent="0.15">
      <c r="A44" s="1" t="s">
        <v>7</v>
      </c>
      <c r="B44" s="1" t="s">
        <v>39</v>
      </c>
      <c r="C44" s="1" t="s">
        <v>31</v>
      </c>
      <c r="D44" s="1" t="s">
        <v>35</v>
      </c>
      <c r="E44" s="1">
        <v>1855</v>
      </c>
      <c r="F44" s="1">
        <v>2590</v>
      </c>
      <c r="G44" s="2">
        <f t="shared" si="0"/>
        <v>4804450</v>
      </c>
    </row>
    <row r="45" spans="1:7" ht="16.5" outlineLevel="2" x14ac:dyDescent="0.15">
      <c r="A45" s="1" t="s">
        <v>7</v>
      </c>
      <c r="B45" s="1" t="s">
        <v>39</v>
      </c>
      <c r="C45" s="1" t="s">
        <v>31</v>
      </c>
      <c r="D45" s="1" t="s">
        <v>32</v>
      </c>
      <c r="E45" s="1">
        <v>589</v>
      </c>
      <c r="F45" s="1">
        <v>3555</v>
      </c>
      <c r="G45" s="2">
        <f t="shared" si="0"/>
        <v>2093895</v>
      </c>
    </row>
    <row r="46" spans="1:7" ht="16.5" outlineLevel="2" x14ac:dyDescent="0.15">
      <c r="A46" s="1" t="s">
        <v>7</v>
      </c>
      <c r="B46" s="1" t="s">
        <v>39</v>
      </c>
      <c r="C46" s="1" t="s">
        <v>31</v>
      </c>
      <c r="D46" s="1" t="s">
        <v>34</v>
      </c>
      <c r="E46" s="1">
        <v>1899</v>
      </c>
      <c r="F46" s="1">
        <v>1455</v>
      </c>
      <c r="G46" s="2">
        <f t="shared" si="0"/>
        <v>2763045</v>
      </c>
    </row>
    <row r="47" spans="1:7" ht="16.5" outlineLevel="2" x14ac:dyDescent="0.15">
      <c r="A47" s="1" t="s">
        <v>7</v>
      </c>
      <c r="B47" s="1" t="s">
        <v>39</v>
      </c>
      <c r="C47" s="1" t="s">
        <v>31</v>
      </c>
      <c r="D47" s="1" t="s">
        <v>35</v>
      </c>
      <c r="E47" s="1">
        <v>580</v>
      </c>
      <c r="F47" s="1">
        <v>1990</v>
      </c>
      <c r="G47" s="2">
        <f t="shared" si="0"/>
        <v>1154200</v>
      </c>
    </row>
    <row r="48" spans="1:7" ht="16.5" outlineLevel="1" x14ac:dyDescent="0.15">
      <c r="A48" s="1"/>
      <c r="B48" s="13" t="s">
        <v>55</v>
      </c>
      <c r="C48" s="1"/>
      <c r="D48" s="1"/>
      <c r="E48" s="1"/>
      <c r="F48" s="1"/>
      <c r="G48" s="2">
        <f>SUBTOTAL(4,G41:G47)</f>
        <v>4804450</v>
      </c>
    </row>
    <row r="49" spans="1:7" ht="16.5" outlineLevel="2" x14ac:dyDescent="0.15">
      <c r="A49" s="1" t="s">
        <v>7</v>
      </c>
      <c r="B49" s="1" t="s">
        <v>45</v>
      </c>
      <c r="C49" s="1" t="s">
        <v>46</v>
      </c>
      <c r="D49" s="1" t="s">
        <v>35</v>
      </c>
      <c r="E49" s="1">
        <v>1399</v>
      </c>
      <c r="F49" s="1">
        <v>1399</v>
      </c>
      <c r="G49" s="2">
        <f>PRODUCT(E49:F49)</f>
        <v>1957201</v>
      </c>
    </row>
    <row r="50" spans="1:7" ht="16.5" outlineLevel="2" x14ac:dyDescent="0.15">
      <c r="A50" s="1" t="s">
        <v>7</v>
      </c>
      <c r="B50" s="1" t="s">
        <v>45</v>
      </c>
      <c r="C50" s="1" t="s">
        <v>46</v>
      </c>
      <c r="D50" s="1" t="s">
        <v>34</v>
      </c>
      <c r="E50" s="1">
        <v>2980</v>
      </c>
      <c r="F50" s="1">
        <v>3660</v>
      </c>
      <c r="G50" s="2">
        <f>PRODUCT(E50:F50)</f>
        <v>10906800</v>
      </c>
    </row>
    <row r="51" spans="1:7" ht="16.5" outlineLevel="2" x14ac:dyDescent="0.15">
      <c r="A51" s="1" t="s">
        <v>7</v>
      </c>
      <c r="B51" s="1" t="s">
        <v>45</v>
      </c>
      <c r="C51" s="1" t="s">
        <v>46</v>
      </c>
      <c r="D51" s="1" t="s">
        <v>33</v>
      </c>
      <c r="E51" s="1">
        <v>852</v>
      </c>
      <c r="F51" s="1">
        <v>2458</v>
      </c>
      <c r="G51" s="2">
        <f>PRODUCT(E51:F51)</f>
        <v>2094216</v>
      </c>
    </row>
    <row r="52" spans="1:7" ht="16.5" outlineLevel="2" x14ac:dyDescent="0.15">
      <c r="A52" s="1" t="s">
        <v>7</v>
      </c>
      <c r="B52" s="1" t="s">
        <v>45</v>
      </c>
      <c r="C52" s="1" t="s">
        <v>46</v>
      </c>
      <c r="D52" s="1" t="s">
        <v>34</v>
      </c>
      <c r="E52" s="1">
        <v>699</v>
      </c>
      <c r="F52" s="1">
        <v>1655</v>
      </c>
      <c r="G52" s="2">
        <f>PRODUCT(E52:F52)</f>
        <v>1156845</v>
      </c>
    </row>
    <row r="53" spans="1:7" ht="16.5" outlineLevel="1" x14ac:dyDescent="0.15">
      <c r="A53" s="1"/>
      <c r="B53" s="13" t="s">
        <v>56</v>
      </c>
      <c r="C53" s="1"/>
      <c r="D53" s="1"/>
      <c r="E53" s="1"/>
      <c r="F53" s="1"/>
      <c r="G53" s="2">
        <f>SUBTOTAL(4,G49:G52)</f>
        <v>10906800</v>
      </c>
    </row>
    <row r="54" spans="1:7" ht="16.5" x14ac:dyDescent="0.15">
      <c r="A54" s="1"/>
      <c r="B54" s="13" t="s">
        <v>57</v>
      </c>
      <c r="C54" s="1"/>
      <c r="D54" s="1"/>
      <c r="E54" s="1"/>
      <c r="F54" s="1"/>
      <c r="G54" s="2">
        <f>SUBTOTAL(4,G2:G52)</f>
        <v>10906800</v>
      </c>
    </row>
  </sheetData>
  <sortState xmlns:xlrd2="http://schemas.microsoft.com/office/spreadsheetml/2017/richdata2" ref="A2:G43">
    <sortCondition descending="1" ref="A2:A43"/>
    <sortCondition ref="B2:B43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G11" sqref="G11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销售报表</vt:lpstr>
      <vt:lpstr>Sheet2</vt:lpstr>
      <vt:lpstr>筛选</vt:lpstr>
      <vt:lpstr>分类汇总</vt:lpstr>
      <vt:lpstr>图表</vt:lpstr>
      <vt:lpstr>筛选!Criteria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2026-07-03T11:12:16Z</dcterms:modified>
</cp:coreProperties>
</file>