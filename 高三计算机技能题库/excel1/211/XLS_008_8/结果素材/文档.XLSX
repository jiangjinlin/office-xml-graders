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730" windowHeight="10695" activeTab="1"/>
  </bookViews>
  <sheets>
    <sheet name="Sheet1" sheetId="1" r:id="rId1"/>
    <sheet name="筛选" sheetId="2" r:id="rId2"/>
    <sheet name="分类汇总" sheetId="3" r:id="rId3"/>
    <sheet name="图表" sheetId="4" r:id="rId4"/>
  </sheets>
  <definedNames>
    <definedName name="_xlnm.Criteria" localSheetId="1">筛选!$A$1:$C$4</definedName>
    <definedName name="_xlnm.Extract" localSheetId="1">筛选!$A$7:$I$7</definedName>
  </definedNames>
  <calcPr calcId="144525"/>
</workbook>
</file>

<file path=xl/calcChain.xml><?xml version="1.0" encoding="utf-8"?>
<calcChain xmlns="http://schemas.openxmlformats.org/spreadsheetml/2006/main">
  <c r="G7" i="4" l="1"/>
  <c r="G6" i="4"/>
  <c r="G5" i="4"/>
  <c r="G4" i="4"/>
  <c r="G3" i="4"/>
  <c r="G2" i="4"/>
  <c r="G29" i="3"/>
  <c r="D29" i="3"/>
  <c r="G28" i="3"/>
  <c r="D28" i="3"/>
  <c r="G22" i="3"/>
  <c r="D22" i="3"/>
  <c r="G15" i="3"/>
  <c r="D15" i="3"/>
  <c r="G8" i="3"/>
  <c r="D8" i="3"/>
  <c r="H12" i="3"/>
  <c r="I12" i="3" s="1"/>
  <c r="G12" i="3"/>
  <c r="G6" i="3"/>
  <c r="H6" i="3" s="1"/>
  <c r="I6" i="3" s="1"/>
  <c r="G24" i="3"/>
  <c r="H24" i="3" s="1"/>
  <c r="I24" i="3" s="1"/>
  <c r="G7" i="3"/>
  <c r="H7" i="3" s="1"/>
  <c r="I7" i="3" s="1"/>
  <c r="G18" i="3"/>
  <c r="H18" i="3" s="1"/>
  <c r="I18" i="3" s="1"/>
  <c r="G20" i="3"/>
  <c r="H20" i="3" s="1"/>
  <c r="I20" i="3" s="1"/>
  <c r="G23" i="3"/>
  <c r="H23" i="3" s="1"/>
  <c r="I23" i="3" s="1"/>
  <c r="G26" i="3"/>
  <c r="H26" i="3" s="1"/>
  <c r="I26" i="3" s="1"/>
  <c r="H3" i="3"/>
  <c r="I3" i="3" s="1"/>
  <c r="G3" i="3"/>
  <c r="G10" i="3"/>
  <c r="H10" i="3" s="1"/>
  <c r="I10" i="3" s="1"/>
  <c r="G9" i="3"/>
  <c r="H9" i="3" s="1"/>
  <c r="I9" i="3" s="1"/>
  <c r="G21" i="3"/>
  <c r="H21" i="3" s="1"/>
  <c r="I21" i="3" s="1"/>
  <c r="G5" i="3"/>
  <c r="H5" i="3" s="1"/>
  <c r="I5" i="3" s="1"/>
  <c r="G19" i="3"/>
  <c r="H19" i="3" s="1"/>
  <c r="I19" i="3" s="1"/>
  <c r="G25" i="3"/>
  <c r="H25" i="3" s="1"/>
  <c r="I25" i="3" s="1"/>
  <c r="G4" i="3"/>
  <c r="H4" i="3" s="1"/>
  <c r="I4" i="3" s="1"/>
  <c r="H13" i="3"/>
  <c r="I13" i="3" s="1"/>
  <c r="G13" i="3"/>
  <c r="G16" i="3"/>
  <c r="H16" i="3" s="1"/>
  <c r="I16" i="3" s="1"/>
  <c r="G2" i="3"/>
  <c r="H2" i="3" s="1"/>
  <c r="I2" i="3" s="1"/>
  <c r="G14" i="3"/>
  <c r="H14" i="3" s="1"/>
  <c r="I14" i="3" s="1"/>
  <c r="G27" i="3"/>
  <c r="H27" i="3" s="1"/>
  <c r="I27" i="3" s="1"/>
  <c r="G17" i="3"/>
  <c r="H17" i="3" s="1"/>
  <c r="I17" i="3" s="1"/>
  <c r="G11" i="3"/>
  <c r="H11" i="3" s="1"/>
  <c r="I11" i="3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3" i="1"/>
</calcChain>
</file>

<file path=xl/sharedStrings.xml><?xml version="1.0" encoding="utf-8"?>
<sst xmlns="http://schemas.openxmlformats.org/spreadsheetml/2006/main" count="188" uniqueCount="48">
  <si>
    <t>白莉娜</t>
  </si>
  <si>
    <t>陈明丽</t>
  </si>
  <si>
    <t>陈思聪</t>
  </si>
  <si>
    <t>冯亦刚</t>
  </si>
  <si>
    <t>顾末</t>
  </si>
  <si>
    <t>何丽丽</t>
  </si>
  <si>
    <t>李卫国</t>
  </si>
  <si>
    <t>李向群</t>
  </si>
  <si>
    <t>李志明</t>
  </si>
  <si>
    <t>刘寒冰</t>
  </si>
  <si>
    <t>刘军</t>
  </si>
  <si>
    <t>马晓龙</t>
  </si>
  <si>
    <t>马志明</t>
  </si>
  <si>
    <t>宋邵青</t>
  </si>
  <si>
    <t>王明</t>
  </si>
  <si>
    <t>王永</t>
  </si>
  <si>
    <t>许德</t>
  </si>
  <si>
    <t>阎燕</t>
  </si>
  <si>
    <t>尹向平</t>
  </si>
  <si>
    <t>张克钦</t>
  </si>
  <si>
    <t>张丽</t>
  </si>
  <si>
    <t>章程</t>
  </si>
  <si>
    <t>赵宣</t>
  </si>
  <si>
    <t>姓名</t>
    <phoneticPr fontId="1" type="noConversion"/>
  </si>
  <si>
    <t>所属分店</t>
    <phoneticPr fontId="1" type="noConversion"/>
  </si>
  <si>
    <t>销售数量</t>
    <phoneticPr fontId="1" type="noConversion"/>
  </si>
  <si>
    <t>销售单价</t>
    <phoneticPr fontId="1" type="noConversion"/>
  </si>
  <si>
    <t>基本工资</t>
    <phoneticPr fontId="1" type="noConversion"/>
  </si>
  <si>
    <t>入职年数</t>
    <phoneticPr fontId="1" type="noConversion"/>
  </si>
  <si>
    <t>业绩奖励</t>
    <phoneticPr fontId="1" type="noConversion"/>
  </si>
  <si>
    <t>应发工资</t>
    <phoneticPr fontId="1" type="noConversion"/>
  </si>
  <si>
    <t>城南店</t>
    <phoneticPr fontId="1" type="noConversion"/>
  </si>
  <si>
    <t>新区店</t>
    <phoneticPr fontId="1" type="noConversion"/>
  </si>
  <si>
    <t>中山路店</t>
    <phoneticPr fontId="1" type="noConversion"/>
  </si>
  <si>
    <t>市区总店</t>
    <phoneticPr fontId="1" type="noConversion"/>
  </si>
  <si>
    <t>销售额</t>
    <phoneticPr fontId="1" type="noConversion"/>
  </si>
  <si>
    <t>上半年工资发放统计表</t>
  </si>
  <si>
    <t>销售数量</t>
    <phoneticPr fontId="4" type="noConversion"/>
  </si>
  <si>
    <t>销售单价</t>
    <phoneticPr fontId="4" type="noConversion"/>
  </si>
  <si>
    <t>入职年数</t>
    <phoneticPr fontId="4" type="noConversion"/>
  </si>
  <si>
    <t>&gt;=15</t>
    <phoneticPr fontId="4" type="noConversion"/>
  </si>
  <si>
    <t>&gt;=2050</t>
    <phoneticPr fontId="4" type="noConversion"/>
  </si>
  <si>
    <t>&gt;=8</t>
    <phoneticPr fontId="4" type="noConversion"/>
  </si>
  <si>
    <t>市区总店 平均值</t>
  </si>
  <si>
    <t>城南店 平均值</t>
  </si>
  <si>
    <t>新区店 平均值</t>
  </si>
  <si>
    <t>中山路店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</si>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</sst>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b/>
      <i/>
      <sz val="18"/>
      <color rgb="FF00B0F0"/>
      <name val="幼圆"/>
      <family val="3"/>
      <charset val="134"/>
    </font>
    <font>
      <sz val="11"/>
      <name val="华文宋体"/>
      <family val="3"/>
      <charset val="134"/>
    </font>
    <font>
      <sz val="9"/>
      <name val="宋体"/>
      <family val="3"/>
      <charset val="134"/>
    </font>
    <font>
      <b/>
      <sz val="11"/>
      <name val="华文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rgb="FF0070C0"/>
      </left>
      <right style="thin">
        <color rgb="FF00B050"/>
      </right>
      <top style="double">
        <color rgb="FF0070C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double">
        <color rgb="FF0070C0"/>
      </top>
      <bottom style="thin">
        <color rgb="FF00B050"/>
      </bottom>
      <diagonal/>
    </border>
    <border>
      <left style="thin">
        <color rgb="FF00B050"/>
      </left>
      <right style="double">
        <color rgb="FF0070C0"/>
      </right>
      <top style="double">
        <color rgb="FF0070C0"/>
      </top>
      <bottom style="thin">
        <color rgb="FF00B050"/>
      </bottom>
      <diagonal/>
    </border>
    <border>
      <left style="double">
        <color rgb="FF0070C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double">
        <color rgb="FF0070C0"/>
      </right>
      <top style="thin">
        <color rgb="FF00B050"/>
      </top>
      <bottom style="thin">
        <color rgb="FF00B050"/>
      </bottom>
      <diagonal/>
    </border>
    <border>
      <left style="double">
        <color rgb="FF0070C0"/>
      </left>
      <right style="thin">
        <color rgb="FF00B050"/>
      </right>
      <top style="thin">
        <color rgb="FF00B050"/>
      </top>
      <bottom style="double">
        <color rgb="FF0070C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double">
        <color rgb="FF0070C0"/>
      </bottom>
      <diagonal/>
    </border>
    <border>
      <left style="thin">
        <color rgb="FF00B050"/>
      </left>
      <right style="double">
        <color rgb="FF0070C0"/>
      </right>
      <top style="thin">
        <color rgb="FF00B050"/>
      </top>
      <bottom style="double">
        <color rgb="FF0070C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1"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分店销售情况表</a:t>
            </a:r>
          </a:p>
        </c:rich>
      </c:tx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图表!$G$1</c:f>
              <c:strCache>
                <c:ptCount val="1"/>
                <c:pt idx="0">
                  <c:v>销售额</c:v>
                </c:pt>
              </c:strCache>
            </c:strRef>
          </c:tx>
          <c:explosion val="25"/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图表!$A$2:$A$7</c:f>
              <c:strCache>
                <c:ptCount val="6"/>
                <c:pt idx="0">
                  <c:v>顾末</c:v>
                </c:pt>
                <c:pt idx="1">
                  <c:v>王明</c:v>
                </c:pt>
                <c:pt idx="2">
                  <c:v>李向群</c:v>
                </c:pt>
                <c:pt idx="3">
                  <c:v>刘军</c:v>
                </c:pt>
                <c:pt idx="4">
                  <c:v>章程</c:v>
                </c:pt>
                <c:pt idx="5">
                  <c:v>张克钦</c:v>
                </c:pt>
              </c:strCache>
            </c:strRef>
          </c:cat>
          <c:val>
            <c:numRef>
              <c:f>图表!$G$2:$G$7</c:f>
              <c:numCache>
                <c:formatCode>General</c:formatCode>
                <c:ptCount val="6"/>
                <c:pt idx="0">
                  <c:v>33024</c:v>
                </c:pt>
                <c:pt idx="1">
                  <c:v>30975</c:v>
                </c:pt>
                <c:pt idx="2">
                  <c:v>26364</c:v>
                </c:pt>
                <c:pt idx="3">
                  <c:v>23166</c:v>
                </c:pt>
                <c:pt idx="4">
                  <c:v>18846</c:v>
                </c:pt>
                <c:pt idx="5">
                  <c:v>18126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9</xdr:row>
      <xdr:rowOff>42861</xdr:rowOff>
    </xdr:from>
    <xdr:to>
      <xdr:col>6</xdr:col>
      <xdr:colOff>666750</xdr:colOff>
      <xdr:row>25</xdr:row>
      <xdr:rowOff>142874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13" workbookViewId="0">
      <selection activeCell="K29" sqref="K29"/>
    </sheetView>
  </sheetViews>
  <sheetFormatPr defaultRowHeight="14.25" x14ac:dyDescent="0.15"/>
  <cols>
    <col min="1" max="4" width="11.625" bestFit="1" customWidth="1"/>
    <col min="5" max="5" width="11.625" customWidth="1"/>
    <col min="6" max="6" width="11.625" bestFit="1" customWidth="1"/>
    <col min="7" max="7" width="11.625" customWidth="1"/>
  </cols>
  <sheetData>
    <row r="1" spans="1:9" ht="21.75" thickBot="1" x14ac:dyDescent="0.2">
      <c r="A1" s="14" t="s">
        <v>36</v>
      </c>
      <c r="B1" s="14"/>
      <c r="C1" s="14"/>
      <c r="D1" s="14"/>
      <c r="E1" s="14"/>
      <c r="F1" s="14"/>
      <c r="G1" s="14"/>
      <c r="H1" s="14"/>
      <c r="I1" s="14"/>
    </row>
    <row r="2" spans="1:9" ht="17.25" thickTop="1" x14ac:dyDescent="0.15">
      <c r="A2" s="1" t="s">
        <v>23</v>
      </c>
      <c r="B2" s="2" t="s">
        <v>24</v>
      </c>
      <c r="C2" s="2" t="s">
        <v>25</v>
      </c>
      <c r="D2" s="2" t="s">
        <v>26</v>
      </c>
      <c r="E2" s="2" t="s">
        <v>28</v>
      </c>
      <c r="F2" s="2" t="s">
        <v>27</v>
      </c>
      <c r="G2" s="2" t="s">
        <v>35</v>
      </c>
      <c r="H2" s="2" t="s">
        <v>29</v>
      </c>
      <c r="I2" s="3" t="s">
        <v>30</v>
      </c>
    </row>
    <row r="3" spans="1:9" ht="16.5" x14ac:dyDescent="0.15">
      <c r="A3" s="4" t="s">
        <v>0</v>
      </c>
      <c r="B3" s="5" t="s">
        <v>31</v>
      </c>
      <c r="C3" s="5">
        <v>11</v>
      </c>
      <c r="D3" s="5">
        <v>2073</v>
      </c>
      <c r="E3" s="5">
        <v>10</v>
      </c>
      <c r="F3" s="5">
        <v>3200</v>
      </c>
      <c r="G3" s="5">
        <f>C3*D3</f>
        <v>22803</v>
      </c>
      <c r="H3" s="5">
        <f>IF(G3&gt;50000,G3*0.08,(IF(G3&gt;=30000,G3*0.05,G3*0.03)))</f>
        <v>684.08999999999992</v>
      </c>
      <c r="I3" s="6">
        <f>F3+H3</f>
        <v>3884.09</v>
      </c>
    </row>
    <row r="4" spans="1:9" ht="16.5" x14ac:dyDescent="0.15">
      <c r="A4" s="4" t="s">
        <v>1</v>
      </c>
      <c r="B4" s="5" t="s">
        <v>32</v>
      </c>
      <c r="C4" s="5">
        <v>15</v>
      </c>
      <c r="D4" s="5">
        <v>2044</v>
      </c>
      <c r="E4" s="5">
        <v>5</v>
      </c>
      <c r="F4" s="5">
        <v>3200</v>
      </c>
      <c r="G4" s="5">
        <f t="shared" ref="G4:G25" si="0">C4*D4</f>
        <v>30660</v>
      </c>
      <c r="H4" s="5">
        <f t="shared" ref="H4:H25" si="1">IF(G4&gt;50000,G4*0.08,(IF(G4&gt;=30000,G4*0.05,G4*0.03)))</f>
        <v>1533</v>
      </c>
      <c r="I4" s="6">
        <f t="shared" ref="I4:I25" si="2">F4+H4</f>
        <v>4733</v>
      </c>
    </row>
    <row r="5" spans="1:9" ht="16.5" x14ac:dyDescent="0.15">
      <c r="A5" s="4" t="s">
        <v>2</v>
      </c>
      <c r="B5" s="5" t="s">
        <v>33</v>
      </c>
      <c r="C5" s="5">
        <v>9</v>
      </c>
      <c r="D5" s="5">
        <v>2085</v>
      </c>
      <c r="E5" s="5">
        <v>10</v>
      </c>
      <c r="F5" s="5">
        <v>3200</v>
      </c>
      <c r="G5" s="5">
        <f t="shared" si="0"/>
        <v>18765</v>
      </c>
      <c r="H5" s="5">
        <f t="shared" si="1"/>
        <v>562.94999999999993</v>
      </c>
      <c r="I5" s="6">
        <f t="shared" si="2"/>
        <v>3762.95</v>
      </c>
    </row>
    <row r="6" spans="1:9" ht="16.5" x14ac:dyDescent="0.15">
      <c r="A6" s="4" t="s">
        <v>3</v>
      </c>
      <c r="B6" s="5" t="s">
        <v>31</v>
      </c>
      <c r="C6" s="5">
        <v>10</v>
      </c>
      <c r="D6" s="5">
        <v>2027</v>
      </c>
      <c r="E6" s="5">
        <v>3</v>
      </c>
      <c r="F6" s="5">
        <v>3200</v>
      </c>
      <c r="G6" s="5">
        <f t="shared" si="0"/>
        <v>20270</v>
      </c>
      <c r="H6" s="5">
        <f t="shared" si="1"/>
        <v>608.1</v>
      </c>
      <c r="I6" s="6">
        <f t="shared" si="2"/>
        <v>3808.1</v>
      </c>
    </row>
    <row r="7" spans="1:9" ht="16.5" x14ac:dyDescent="0.15">
      <c r="A7" s="4" t="s">
        <v>4</v>
      </c>
      <c r="B7" s="5" t="s">
        <v>34</v>
      </c>
      <c r="C7" s="5">
        <v>16</v>
      </c>
      <c r="D7" s="5">
        <v>2064</v>
      </c>
      <c r="E7" s="5">
        <v>7</v>
      </c>
      <c r="F7" s="5">
        <v>3200</v>
      </c>
      <c r="G7" s="5">
        <f t="shared" si="0"/>
        <v>33024</v>
      </c>
      <c r="H7" s="5">
        <f t="shared" si="1"/>
        <v>1651.2</v>
      </c>
      <c r="I7" s="6">
        <f t="shared" si="2"/>
        <v>4851.2</v>
      </c>
    </row>
    <row r="8" spans="1:9" ht="16.5" x14ac:dyDescent="0.15">
      <c r="A8" s="4" t="s">
        <v>5</v>
      </c>
      <c r="B8" s="5" t="s">
        <v>32</v>
      </c>
      <c r="C8" s="5">
        <v>25</v>
      </c>
      <c r="D8" s="5">
        <v>2025</v>
      </c>
      <c r="E8" s="5">
        <v>6</v>
      </c>
      <c r="F8" s="5">
        <v>3200</v>
      </c>
      <c r="G8" s="5">
        <f t="shared" si="0"/>
        <v>50625</v>
      </c>
      <c r="H8" s="5">
        <f t="shared" si="1"/>
        <v>4050</v>
      </c>
      <c r="I8" s="6">
        <f t="shared" si="2"/>
        <v>7250</v>
      </c>
    </row>
    <row r="9" spans="1:9" ht="16.5" x14ac:dyDescent="0.15">
      <c r="A9" s="4" t="s">
        <v>6</v>
      </c>
      <c r="B9" s="5" t="s">
        <v>31</v>
      </c>
      <c r="C9" s="5">
        <v>10</v>
      </c>
      <c r="D9" s="5">
        <v>2036</v>
      </c>
      <c r="E9" s="5">
        <v>7</v>
      </c>
      <c r="F9" s="5">
        <v>3200</v>
      </c>
      <c r="G9" s="5">
        <f t="shared" si="0"/>
        <v>20360</v>
      </c>
      <c r="H9" s="5">
        <f t="shared" si="1"/>
        <v>610.79999999999995</v>
      </c>
      <c r="I9" s="6">
        <f t="shared" si="2"/>
        <v>3810.8</v>
      </c>
    </row>
    <row r="10" spans="1:9" ht="16.5" x14ac:dyDescent="0.15">
      <c r="A10" s="4" t="s">
        <v>7</v>
      </c>
      <c r="B10" s="5" t="s">
        <v>34</v>
      </c>
      <c r="C10" s="5">
        <v>13</v>
      </c>
      <c r="D10" s="5">
        <v>2028</v>
      </c>
      <c r="E10" s="5">
        <v>3</v>
      </c>
      <c r="F10" s="5">
        <v>3200</v>
      </c>
      <c r="G10" s="5">
        <f t="shared" si="0"/>
        <v>26364</v>
      </c>
      <c r="H10" s="5">
        <f t="shared" si="1"/>
        <v>790.92</v>
      </c>
      <c r="I10" s="6">
        <f t="shared" si="2"/>
        <v>3990.92</v>
      </c>
    </row>
    <row r="11" spans="1:9" ht="16.5" x14ac:dyDescent="0.15">
      <c r="A11" s="4" t="s">
        <v>8</v>
      </c>
      <c r="B11" s="5" t="s">
        <v>33</v>
      </c>
      <c r="C11" s="5">
        <v>12</v>
      </c>
      <c r="D11" s="5">
        <v>2049</v>
      </c>
      <c r="E11" s="5">
        <v>8</v>
      </c>
      <c r="F11" s="5">
        <v>3200</v>
      </c>
      <c r="G11" s="5">
        <f t="shared" si="0"/>
        <v>24588</v>
      </c>
      <c r="H11" s="5">
        <f t="shared" si="1"/>
        <v>737.64</v>
      </c>
      <c r="I11" s="6">
        <f t="shared" si="2"/>
        <v>3937.64</v>
      </c>
    </row>
    <row r="12" spans="1:9" ht="16.5" x14ac:dyDescent="0.15">
      <c r="A12" s="4" t="s">
        <v>9</v>
      </c>
      <c r="B12" s="5" t="s">
        <v>32</v>
      </c>
      <c r="C12" s="5">
        <v>11</v>
      </c>
      <c r="D12" s="5">
        <v>2035</v>
      </c>
      <c r="E12" s="5">
        <v>9</v>
      </c>
      <c r="F12" s="5">
        <v>3200</v>
      </c>
      <c r="G12" s="5">
        <f t="shared" si="0"/>
        <v>22385</v>
      </c>
      <c r="H12" s="5">
        <f t="shared" si="1"/>
        <v>671.55</v>
      </c>
      <c r="I12" s="6">
        <f t="shared" si="2"/>
        <v>3871.55</v>
      </c>
    </row>
    <row r="13" spans="1:9" ht="16.5" x14ac:dyDescent="0.15">
      <c r="A13" s="4" t="s">
        <v>10</v>
      </c>
      <c r="B13" s="5" t="s">
        <v>34</v>
      </c>
      <c r="C13" s="5">
        <v>11</v>
      </c>
      <c r="D13" s="5">
        <v>2106</v>
      </c>
      <c r="E13" s="5">
        <v>8</v>
      </c>
      <c r="F13" s="5">
        <v>3200</v>
      </c>
      <c r="G13" s="5">
        <f t="shared" si="0"/>
        <v>23166</v>
      </c>
      <c r="H13" s="5">
        <f t="shared" si="1"/>
        <v>694.98</v>
      </c>
      <c r="I13" s="6">
        <f t="shared" si="2"/>
        <v>3894.98</v>
      </c>
    </row>
    <row r="14" spans="1:9" ht="16.5" x14ac:dyDescent="0.15">
      <c r="A14" s="4" t="s">
        <v>11</v>
      </c>
      <c r="B14" s="5" t="s">
        <v>32</v>
      </c>
      <c r="C14" s="5">
        <v>9</v>
      </c>
      <c r="D14" s="5">
        <v>2065</v>
      </c>
      <c r="E14" s="5">
        <v>5</v>
      </c>
      <c r="F14" s="5">
        <v>3200</v>
      </c>
      <c r="G14" s="5">
        <f t="shared" si="0"/>
        <v>18585</v>
      </c>
      <c r="H14" s="5">
        <f t="shared" si="1"/>
        <v>557.54999999999995</v>
      </c>
      <c r="I14" s="6">
        <f t="shared" si="2"/>
        <v>3757.55</v>
      </c>
    </row>
    <row r="15" spans="1:9" ht="16.5" x14ac:dyDescent="0.15">
      <c r="A15" s="4" t="s">
        <v>12</v>
      </c>
      <c r="B15" s="5" t="s">
        <v>31</v>
      </c>
      <c r="C15" s="5">
        <v>18</v>
      </c>
      <c r="D15" s="5">
        <v>2041</v>
      </c>
      <c r="E15" s="5">
        <v>7</v>
      </c>
      <c r="F15" s="5">
        <v>3200</v>
      </c>
      <c r="G15" s="5">
        <f t="shared" si="0"/>
        <v>36738</v>
      </c>
      <c r="H15" s="5">
        <f t="shared" si="1"/>
        <v>1836.9</v>
      </c>
      <c r="I15" s="6">
        <f t="shared" si="2"/>
        <v>5036.8999999999996</v>
      </c>
    </row>
    <row r="16" spans="1:9" ht="16.5" x14ac:dyDescent="0.15">
      <c r="A16" s="4" t="s">
        <v>13</v>
      </c>
      <c r="B16" s="5" t="s">
        <v>31</v>
      </c>
      <c r="C16" s="5">
        <v>17</v>
      </c>
      <c r="D16" s="5">
        <v>2014</v>
      </c>
      <c r="E16" s="5">
        <v>7</v>
      </c>
      <c r="F16" s="5">
        <v>3200</v>
      </c>
      <c r="G16" s="5">
        <f t="shared" si="0"/>
        <v>34238</v>
      </c>
      <c r="H16" s="5">
        <f t="shared" si="1"/>
        <v>1711.9</v>
      </c>
      <c r="I16" s="6">
        <f t="shared" si="2"/>
        <v>4911.8999999999996</v>
      </c>
    </row>
    <row r="17" spans="1:9" ht="16.5" x14ac:dyDescent="0.15">
      <c r="A17" s="4" t="s">
        <v>14</v>
      </c>
      <c r="B17" s="5" t="s">
        <v>34</v>
      </c>
      <c r="C17" s="5">
        <v>15</v>
      </c>
      <c r="D17" s="5">
        <v>2065</v>
      </c>
      <c r="E17" s="5">
        <v>8</v>
      </c>
      <c r="F17" s="5">
        <v>3200</v>
      </c>
      <c r="G17" s="5">
        <f t="shared" si="0"/>
        <v>30975</v>
      </c>
      <c r="H17" s="5">
        <f t="shared" si="1"/>
        <v>1548.75</v>
      </c>
      <c r="I17" s="6">
        <f t="shared" si="2"/>
        <v>4748.75</v>
      </c>
    </row>
    <row r="18" spans="1:9" ht="16.5" x14ac:dyDescent="0.15">
      <c r="A18" s="4" t="s">
        <v>15</v>
      </c>
      <c r="B18" s="5" t="s">
        <v>33</v>
      </c>
      <c r="C18" s="5">
        <v>10</v>
      </c>
      <c r="D18" s="5">
        <v>2063</v>
      </c>
      <c r="E18" s="5">
        <v>8</v>
      </c>
      <c r="F18" s="5">
        <v>3200</v>
      </c>
      <c r="G18" s="5">
        <f t="shared" si="0"/>
        <v>20630</v>
      </c>
      <c r="H18" s="5">
        <f t="shared" si="1"/>
        <v>618.9</v>
      </c>
      <c r="I18" s="6">
        <f t="shared" si="2"/>
        <v>3818.9</v>
      </c>
    </row>
    <row r="19" spans="1:9" ht="16.5" x14ac:dyDescent="0.15">
      <c r="A19" s="4" t="s">
        <v>16</v>
      </c>
      <c r="B19" s="5" t="s">
        <v>33</v>
      </c>
      <c r="C19" s="5">
        <v>19</v>
      </c>
      <c r="D19" s="5">
        <v>2081</v>
      </c>
      <c r="E19" s="5">
        <v>8</v>
      </c>
      <c r="F19" s="5">
        <v>3200</v>
      </c>
      <c r="G19" s="5">
        <f t="shared" si="0"/>
        <v>39539</v>
      </c>
      <c r="H19" s="5">
        <f t="shared" si="1"/>
        <v>1976.95</v>
      </c>
      <c r="I19" s="6">
        <f t="shared" si="2"/>
        <v>5176.95</v>
      </c>
    </row>
    <row r="20" spans="1:9" ht="16.5" x14ac:dyDescent="0.15">
      <c r="A20" s="4" t="s">
        <v>17</v>
      </c>
      <c r="B20" s="5" t="s">
        <v>32</v>
      </c>
      <c r="C20" s="5">
        <v>11</v>
      </c>
      <c r="D20" s="5">
        <v>2020</v>
      </c>
      <c r="E20" s="5">
        <v>7</v>
      </c>
      <c r="F20" s="5">
        <v>3200</v>
      </c>
      <c r="G20" s="5">
        <f t="shared" si="0"/>
        <v>22220</v>
      </c>
      <c r="H20" s="5">
        <f t="shared" si="1"/>
        <v>666.6</v>
      </c>
      <c r="I20" s="6">
        <f t="shared" si="2"/>
        <v>3866.6</v>
      </c>
    </row>
    <row r="21" spans="1:9" ht="16.5" x14ac:dyDescent="0.15">
      <c r="A21" s="4" t="s">
        <v>18</v>
      </c>
      <c r="B21" s="5" t="s">
        <v>32</v>
      </c>
      <c r="C21" s="5">
        <v>12</v>
      </c>
      <c r="D21" s="5">
        <v>2099</v>
      </c>
      <c r="E21" s="5">
        <v>5</v>
      </c>
      <c r="F21" s="5">
        <v>3200</v>
      </c>
      <c r="G21" s="5">
        <f t="shared" si="0"/>
        <v>25188</v>
      </c>
      <c r="H21" s="5">
        <f t="shared" si="1"/>
        <v>755.64</v>
      </c>
      <c r="I21" s="6">
        <f t="shared" si="2"/>
        <v>3955.64</v>
      </c>
    </row>
    <row r="22" spans="1:9" ht="16.5" x14ac:dyDescent="0.15">
      <c r="A22" s="4" t="s">
        <v>19</v>
      </c>
      <c r="B22" s="5" t="s">
        <v>34</v>
      </c>
      <c r="C22" s="5">
        <v>9</v>
      </c>
      <c r="D22" s="5">
        <v>2014</v>
      </c>
      <c r="E22" s="5">
        <v>10</v>
      </c>
      <c r="F22" s="5">
        <v>3200</v>
      </c>
      <c r="G22" s="5">
        <f t="shared" si="0"/>
        <v>18126</v>
      </c>
      <c r="H22" s="5">
        <f t="shared" si="1"/>
        <v>543.78</v>
      </c>
      <c r="I22" s="6">
        <f t="shared" si="2"/>
        <v>3743.7799999999997</v>
      </c>
    </row>
    <row r="23" spans="1:9" ht="16.5" x14ac:dyDescent="0.15">
      <c r="A23" s="4" t="s">
        <v>20</v>
      </c>
      <c r="B23" s="5" t="s">
        <v>33</v>
      </c>
      <c r="C23" s="5">
        <v>14</v>
      </c>
      <c r="D23" s="5">
        <v>2088</v>
      </c>
      <c r="E23" s="5">
        <v>6</v>
      </c>
      <c r="F23" s="5">
        <v>3200</v>
      </c>
      <c r="G23" s="5">
        <f t="shared" si="0"/>
        <v>29232</v>
      </c>
      <c r="H23" s="5">
        <f t="shared" si="1"/>
        <v>876.95999999999992</v>
      </c>
      <c r="I23" s="6">
        <f t="shared" si="2"/>
        <v>4076.96</v>
      </c>
    </row>
    <row r="24" spans="1:9" ht="16.5" x14ac:dyDescent="0.15">
      <c r="A24" s="4" t="s">
        <v>21</v>
      </c>
      <c r="B24" s="5" t="s">
        <v>34</v>
      </c>
      <c r="C24" s="5">
        <v>9</v>
      </c>
      <c r="D24" s="5">
        <v>2094</v>
      </c>
      <c r="E24" s="5">
        <v>3</v>
      </c>
      <c r="F24" s="5">
        <v>3200</v>
      </c>
      <c r="G24" s="5">
        <f t="shared" si="0"/>
        <v>18846</v>
      </c>
      <c r="H24" s="5">
        <f t="shared" si="1"/>
        <v>565.38</v>
      </c>
      <c r="I24" s="6">
        <f t="shared" si="2"/>
        <v>3765.38</v>
      </c>
    </row>
    <row r="25" spans="1:9" ht="17.25" thickBot="1" x14ac:dyDescent="0.2">
      <c r="A25" s="7" t="s">
        <v>22</v>
      </c>
      <c r="B25" s="8" t="s">
        <v>31</v>
      </c>
      <c r="C25" s="8">
        <v>11</v>
      </c>
      <c r="D25" s="8">
        <v>2066</v>
      </c>
      <c r="E25" s="8">
        <v>2</v>
      </c>
      <c r="F25" s="8">
        <v>3200</v>
      </c>
      <c r="G25" s="8">
        <f t="shared" si="0"/>
        <v>22726</v>
      </c>
      <c r="H25" s="8">
        <f t="shared" si="1"/>
        <v>681.78</v>
      </c>
      <c r="I25" s="9">
        <f t="shared" si="2"/>
        <v>3881.7799999999997</v>
      </c>
    </row>
    <row r="26" spans="1:9" ht="15" thickTop="1" x14ac:dyDescent="0.15"/>
  </sheetData>
  <mergeCells count="1">
    <mergeCell ref="A1:I1"/>
  </mergeCells>
  <phoneticPr fontId="1" type="noConversion"/>
  <conditionalFormatting sqref="I3:I25">
    <cfRule type="cellIs" dxfId="0" priority="1" operator="lessThan">
      <formula>4300</formula>
    </cfRule>
  </conditionalFormatting>
  <printOptions horizontalCentered="1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&amp;C&amp;"华文中宋,加粗"&amp;10工资发放统计表</oddHeader>
    <oddFooter>&amp;R&amp;N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M10" sqref="M10"/>
    </sheetView>
  </sheetViews>
  <sheetFormatPr defaultRowHeight="14.25" x14ac:dyDescent="0.15"/>
  <sheetData>
    <row r="1" spans="1:9" ht="16.5" x14ac:dyDescent="0.15">
      <c r="A1" s="10" t="s">
        <v>37</v>
      </c>
      <c r="B1" s="10" t="s">
        <v>38</v>
      </c>
      <c r="C1" s="10" t="s">
        <v>39</v>
      </c>
    </row>
    <row r="2" spans="1:9" x14ac:dyDescent="0.15">
      <c r="A2" s="11" t="s">
        <v>40</v>
      </c>
      <c r="B2" s="11"/>
      <c r="C2" s="11"/>
    </row>
    <row r="3" spans="1:9" x14ac:dyDescent="0.15">
      <c r="A3" s="11"/>
      <c r="B3" s="11" t="s">
        <v>41</v>
      </c>
      <c r="C3" s="11"/>
    </row>
    <row r="4" spans="1:9" x14ac:dyDescent="0.15">
      <c r="A4" s="11"/>
      <c r="B4" s="11"/>
      <c r="C4" s="11" t="s">
        <v>42</v>
      </c>
    </row>
    <row r="6" spans="1:9" ht="15" thickBot="1" x14ac:dyDescent="0.2"/>
    <row r="7" spans="1:9" ht="17.25" thickTop="1" x14ac:dyDescent="0.15">
      <c r="A7" s="1" t="s">
        <v>23</v>
      </c>
      <c r="B7" s="2" t="s">
        <v>24</v>
      </c>
      <c r="C7" s="2" t="s">
        <v>25</v>
      </c>
      <c r="D7" s="2" t="s">
        <v>26</v>
      </c>
      <c r="E7" s="2" t="s">
        <v>28</v>
      </c>
      <c r="F7" s="2" t="s">
        <v>27</v>
      </c>
      <c r="G7" s="2" t="s">
        <v>35</v>
      </c>
      <c r="H7" s="2" t="s">
        <v>29</v>
      </c>
      <c r="I7" s="3" t="s">
        <v>30</v>
      </c>
    </row>
    <row r="8" spans="1:9" ht="16.5" x14ac:dyDescent="0.15">
      <c r="A8" s="4" t="s">
        <v>0</v>
      </c>
      <c r="B8" s="5" t="s">
        <v>31</v>
      </c>
      <c r="C8" s="5">
        <v>11</v>
      </c>
      <c r="D8" s="5">
        <v>2073</v>
      </c>
      <c r="E8" s="5">
        <v>10</v>
      </c>
      <c r="F8" s="5">
        <v>3200</v>
      </c>
      <c r="G8" s="5">
        <v>22803</v>
      </c>
      <c r="H8" s="5">
        <v>684.08999999999992</v>
      </c>
      <c r="I8" s="6">
        <v>3884.09</v>
      </c>
    </row>
    <row r="9" spans="1:9" ht="16.5" x14ac:dyDescent="0.15">
      <c r="A9" s="4" t="s">
        <v>1</v>
      </c>
      <c r="B9" s="5" t="s">
        <v>32</v>
      </c>
      <c r="C9" s="5">
        <v>15</v>
      </c>
      <c r="D9" s="5">
        <v>2044</v>
      </c>
      <c r="E9" s="5">
        <v>5</v>
      </c>
      <c r="F9" s="5">
        <v>3200</v>
      </c>
      <c r="G9" s="5">
        <v>30660</v>
      </c>
      <c r="H9" s="5">
        <v>1533</v>
      </c>
      <c r="I9" s="6">
        <v>4733</v>
      </c>
    </row>
    <row r="10" spans="1:9" ht="16.5" x14ac:dyDescent="0.15">
      <c r="A10" s="4" t="s">
        <v>2</v>
      </c>
      <c r="B10" s="5" t="s">
        <v>33</v>
      </c>
      <c r="C10" s="5">
        <v>9</v>
      </c>
      <c r="D10" s="5">
        <v>2085</v>
      </c>
      <c r="E10" s="5">
        <v>10</v>
      </c>
      <c r="F10" s="5">
        <v>3200</v>
      </c>
      <c r="G10" s="5">
        <v>18765</v>
      </c>
      <c r="H10" s="5">
        <v>562.94999999999993</v>
      </c>
      <c r="I10" s="6">
        <v>3762.95</v>
      </c>
    </row>
    <row r="11" spans="1:9" ht="16.5" x14ac:dyDescent="0.15">
      <c r="A11" s="4" t="s">
        <v>4</v>
      </c>
      <c r="B11" s="5" t="s">
        <v>34</v>
      </c>
      <c r="C11" s="5">
        <v>16</v>
      </c>
      <c r="D11" s="5">
        <v>2064</v>
      </c>
      <c r="E11" s="5">
        <v>7</v>
      </c>
      <c r="F11" s="5">
        <v>3200</v>
      </c>
      <c r="G11" s="5">
        <v>33024</v>
      </c>
      <c r="H11" s="5">
        <v>1651.2</v>
      </c>
      <c r="I11" s="6">
        <v>4851.2</v>
      </c>
    </row>
    <row r="12" spans="1:9" ht="16.5" x14ac:dyDescent="0.15">
      <c r="A12" s="4" t="s">
        <v>5</v>
      </c>
      <c r="B12" s="5" t="s">
        <v>32</v>
      </c>
      <c r="C12" s="5">
        <v>25</v>
      </c>
      <c r="D12" s="5">
        <v>2025</v>
      </c>
      <c r="E12" s="5">
        <v>6</v>
      </c>
      <c r="F12" s="5">
        <v>3200</v>
      </c>
      <c r="G12" s="5">
        <v>50625</v>
      </c>
      <c r="H12" s="5">
        <v>4050</v>
      </c>
      <c r="I12" s="6">
        <v>7250</v>
      </c>
    </row>
    <row r="13" spans="1:9" ht="16.5" x14ac:dyDescent="0.15">
      <c r="A13" s="4" t="s">
        <v>8</v>
      </c>
      <c r="B13" s="5" t="s">
        <v>33</v>
      </c>
      <c r="C13" s="5">
        <v>12</v>
      </c>
      <c r="D13" s="5">
        <v>2049</v>
      </c>
      <c r="E13" s="5">
        <v>8</v>
      </c>
      <c r="F13" s="5">
        <v>3200</v>
      </c>
      <c r="G13" s="5">
        <v>24588</v>
      </c>
      <c r="H13" s="5">
        <v>737.64</v>
      </c>
      <c r="I13" s="6">
        <v>3937.64</v>
      </c>
    </row>
    <row r="14" spans="1:9" ht="16.5" x14ac:dyDescent="0.15">
      <c r="A14" s="4" t="s">
        <v>9</v>
      </c>
      <c r="B14" s="5" t="s">
        <v>32</v>
      </c>
      <c r="C14" s="5">
        <v>11</v>
      </c>
      <c r="D14" s="5">
        <v>2035</v>
      </c>
      <c r="E14" s="5">
        <v>9</v>
      </c>
      <c r="F14" s="5">
        <v>3200</v>
      </c>
      <c r="G14" s="5">
        <v>22385</v>
      </c>
      <c r="H14" s="5">
        <v>671.55</v>
      </c>
      <c r="I14" s="6">
        <v>3871.55</v>
      </c>
    </row>
    <row r="15" spans="1:9" ht="16.5" x14ac:dyDescent="0.15">
      <c r="A15" s="4" t="s">
        <v>10</v>
      </c>
      <c r="B15" s="5" t="s">
        <v>34</v>
      </c>
      <c r="C15" s="5">
        <v>11</v>
      </c>
      <c r="D15" s="5">
        <v>2106</v>
      </c>
      <c r="E15" s="5">
        <v>8</v>
      </c>
      <c r="F15" s="5">
        <v>3200</v>
      </c>
      <c r="G15" s="5">
        <v>23166</v>
      </c>
      <c r="H15" s="5">
        <v>694.98</v>
      </c>
      <c r="I15" s="6">
        <v>3894.98</v>
      </c>
    </row>
    <row r="16" spans="1:9" ht="16.5" x14ac:dyDescent="0.15">
      <c r="A16" s="4" t="s">
        <v>11</v>
      </c>
      <c r="B16" s="5" t="s">
        <v>32</v>
      </c>
      <c r="C16" s="5">
        <v>9</v>
      </c>
      <c r="D16" s="5">
        <v>2065</v>
      </c>
      <c r="E16" s="5">
        <v>5</v>
      </c>
      <c r="F16" s="5">
        <v>3200</v>
      </c>
      <c r="G16" s="5">
        <v>18585</v>
      </c>
      <c r="H16" s="5">
        <v>557.54999999999995</v>
      </c>
      <c r="I16" s="6">
        <v>3757.55</v>
      </c>
    </row>
    <row r="17" spans="1:9" ht="16.5" x14ac:dyDescent="0.15">
      <c r="A17" s="4" t="s">
        <v>12</v>
      </c>
      <c r="B17" s="5" t="s">
        <v>31</v>
      </c>
      <c r="C17" s="5">
        <v>18</v>
      </c>
      <c r="D17" s="5">
        <v>2041</v>
      </c>
      <c r="E17" s="5">
        <v>7</v>
      </c>
      <c r="F17" s="5">
        <v>3200</v>
      </c>
      <c r="G17" s="5">
        <v>36738</v>
      </c>
      <c r="H17" s="5">
        <v>1836.9</v>
      </c>
      <c r="I17" s="6">
        <v>5036.8999999999996</v>
      </c>
    </row>
    <row r="18" spans="1:9" ht="16.5" x14ac:dyDescent="0.15">
      <c r="A18" s="4" t="s">
        <v>13</v>
      </c>
      <c r="B18" s="5" t="s">
        <v>31</v>
      </c>
      <c r="C18" s="5">
        <v>17</v>
      </c>
      <c r="D18" s="5">
        <v>2014</v>
      </c>
      <c r="E18" s="5">
        <v>7</v>
      </c>
      <c r="F18" s="5">
        <v>3200</v>
      </c>
      <c r="G18" s="5">
        <v>34238</v>
      </c>
      <c r="H18" s="5">
        <v>1711.9</v>
      </c>
      <c r="I18" s="6">
        <v>4911.8999999999996</v>
      </c>
    </row>
    <row r="19" spans="1:9" ht="16.5" x14ac:dyDescent="0.15">
      <c r="A19" s="4" t="s">
        <v>14</v>
      </c>
      <c r="B19" s="5" t="s">
        <v>34</v>
      </c>
      <c r="C19" s="5">
        <v>15</v>
      </c>
      <c r="D19" s="5">
        <v>2065</v>
      </c>
      <c r="E19" s="5">
        <v>8</v>
      </c>
      <c r="F19" s="5">
        <v>3200</v>
      </c>
      <c r="G19" s="5">
        <v>30975</v>
      </c>
      <c r="H19" s="5">
        <v>1548.75</v>
      </c>
      <c r="I19" s="6">
        <v>4748.75</v>
      </c>
    </row>
    <row r="20" spans="1:9" ht="16.5" x14ac:dyDescent="0.15">
      <c r="A20" s="4" t="s">
        <v>15</v>
      </c>
      <c r="B20" s="5" t="s">
        <v>33</v>
      </c>
      <c r="C20" s="5">
        <v>10</v>
      </c>
      <c r="D20" s="5">
        <v>2063</v>
      </c>
      <c r="E20" s="5">
        <v>8</v>
      </c>
      <c r="F20" s="5">
        <v>3200</v>
      </c>
      <c r="G20" s="5">
        <v>20630</v>
      </c>
      <c r="H20" s="5">
        <v>618.9</v>
      </c>
      <c r="I20" s="6">
        <v>3818.9</v>
      </c>
    </row>
    <row r="21" spans="1:9" ht="16.5" x14ac:dyDescent="0.15">
      <c r="A21" s="4" t="s">
        <v>16</v>
      </c>
      <c r="B21" s="5" t="s">
        <v>33</v>
      </c>
      <c r="C21" s="5">
        <v>19</v>
      </c>
      <c r="D21" s="5">
        <v>2081</v>
      </c>
      <c r="E21" s="5">
        <v>8</v>
      </c>
      <c r="F21" s="5">
        <v>3200</v>
      </c>
      <c r="G21" s="5">
        <v>39539</v>
      </c>
      <c r="H21" s="5">
        <v>1976.95</v>
      </c>
      <c r="I21" s="6">
        <v>5176.95</v>
      </c>
    </row>
    <row r="22" spans="1:9" ht="16.5" x14ac:dyDescent="0.15">
      <c r="A22" s="4" t="s">
        <v>18</v>
      </c>
      <c r="B22" s="5" t="s">
        <v>32</v>
      </c>
      <c r="C22" s="5">
        <v>12</v>
      </c>
      <c r="D22" s="5">
        <v>2099</v>
      </c>
      <c r="E22" s="5">
        <v>5</v>
      </c>
      <c r="F22" s="5">
        <v>3200</v>
      </c>
      <c r="G22" s="5">
        <v>25188</v>
      </c>
      <c r="H22" s="5">
        <v>755.64</v>
      </c>
      <c r="I22" s="6">
        <v>3955.64</v>
      </c>
    </row>
    <row r="23" spans="1:9" ht="16.5" x14ac:dyDescent="0.15">
      <c r="A23" s="4" t="s">
        <v>19</v>
      </c>
      <c r="B23" s="5" t="s">
        <v>34</v>
      </c>
      <c r="C23" s="5">
        <v>9</v>
      </c>
      <c r="D23" s="5">
        <v>2014</v>
      </c>
      <c r="E23" s="5">
        <v>10</v>
      </c>
      <c r="F23" s="5">
        <v>3200</v>
      </c>
      <c r="G23" s="5">
        <v>18126</v>
      </c>
      <c r="H23" s="5">
        <v>543.78</v>
      </c>
      <c r="I23" s="6">
        <v>3743.7799999999997</v>
      </c>
    </row>
    <row r="24" spans="1:9" ht="16.5" x14ac:dyDescent="0.15">
      <c r="A24" s="4" t="s">
        <v>20</v>
      </c>
      <c r="B24" s="5" t="s">
        <v>33</v>
      </c>
      <c r="C24" s="5">
        <v>14</v>
      </c>
      <c r="D24" s="5">
        <v>2088</v>
      </c>
      <c r="E24" s="5">
        <v>6</v>
      </c>
      <c r="F24" s="5">
        <v>3200</v>
      </c>
      <c r="G24" s="5">
        <v>29232</v>
      </c>
      <c r="H24" s="5">
        <v>876.95999999999992</v>
      </c>
      <c r="I24" s="6">
        <v>4076.96</v>
      </c>
    </row>
    <row r="25" spans="1:9" ht="16.5" x14ac:dyDescent="0.15">
      <c r="A25" s="4" t="s">
        <v>21</v>
      </c>
      <c r="B25" s="5" t="s">
        <v>34</v>
      </c>
      <c r="C25" s="5">
        <v>9</v>
      </c>
      <c r="D25" s="5">
        <v>2094</v>
      </c>
      <c r="E25" s="5">
        <v>3</v>
      </c>
      <c r="F25" s="5">
        <v>3200</v>
      </c>
      <c r="G25" s="5">
        <v>18846</v>
      </c>
      <c r="H25" s="5">
        <v>565.38</v>
      </c>
      <c r="I25" s="6">
        <v>3765.38</v>
      </c>
    </row>
    <row r="26" spans="1:9" ht="17.25" thickBot="1" x14ac:dyDescent="0.2">
      <c r="A26" s="7" t="s">
        <v>22</v>
      </c>
      <c r="B26" s="8" t="s">
        <v>31</v>
      </c>
      <c r="C26" s="8">
        <v>11</v>
      </c>
      <c r="D26" s="8">
        <v>2066</v>
      </c>
      <c r="E26" s="8">
        <v>2</v>
      </c>
      <c r="F26" s="8">
        <v>3200</v>
      </c>
      <c r="G26" s="8">
        <v>22726</v>
      </c>
      <c r="H26" s="8">
        <v>681.78</v>
      </c>
      <c r="I26" s="9">
        <v>3881.7799999999997</v>
      </c>
    </row>
    <row r="27" spans="1:9" ht="15" thickTop="1" x14ac:dyDescent="0.15"/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opLeftCell="A10" workbookViewId="0">
      <selection sqref="A1:G7"/>
    </sheetView>
  </sheetViews>
  <sheetFormatPr defaultRowHeight="14.25" outlineLevelRow="2" x14ac:dyDescent="0.15"/>
  <sheetData>
    <row r="1" spans="1:9" ht="17.25" thickTop="1" x14ac:dyDescent="0.15">
      <c r="A1" s="1" t="s">
        <v>23</v>
      </c>
      <c r="B1" s="2" t="s">
        <v>24</v>
      </c>
      <c r="C1" s="2" t="s">
        <v>25</v>
      </c>
      <c r="D1" s="2" t="s">
        <v>26</v>
      </c>
      <c r="E1" s="2" t="s">
        <v>28</v>
      </c>
      <c r="F1" s="2" t="s">
        <v>27</v>
      </c>
      <c r="G1" s="2" t="s">
        <v>35</v>
      </c>
      <c r="H1" s="2" t="s">
        <v>29</v>
      </c>
      <c r="I1" s="3" t="s">
        <v>30</v>
      </c>
    </row>
    <row r="2" spans="1:9" ht="16.5" outlineLevel="2" x14ac:dyDescent="0.15">
      <c r="A2" s="4" t="s">
        <v>4</v>
      </c>
      <c r="B2" s="5" t="s">
        <v>34</v>
      </c>
      <c r="C2" s="5">
        <v>16</v>
      </c>
      <c r="D2" s="5">
        <v>2064</v>
      </c>
      <c r="E2" s="5">
        <v>7</v>
      </c>
      <c r="F2" s="5">
        <v>3200</v>
      </c>
      <c r="G2" s="5">
        <f t="shared" ref="G2:G7" si="0">C2*D2</f>
        <v>33024</v>
      </c>
      <c r="H2" s="5">
        <f t="shared" ref="H2:H7" si="1">IF(G2&gt;50000,G2*0.08,(IF(G2&gt;=30000,G2*0.05,G2*0.03)))</f>
        <v>1651.2</v>
      </c>
      <c r="I2" s="6">
        <f t="shared" ref="I2:I7" si="2">F2+H2</f>
        <v>4851.2</v>
      </c>
    </row>
    <row r="3" spans="1:9" ht="16.5" outlineLevel="2" x14ac:dyDescent="0.15">
      <c r="A3" s="4" t="s">
        <v>14</v>
      </c>
      <c r="B3" s="5" t="s">
        <v>34</v>
      </c>
      <c r="C3" s="5">
        <v>15</v>
      </c>
      <c r="D3" s="5">
        <v>2065</v>
      </c>
      <c r="E3" s="5">
        <v>8</v>
      </c>
      <c r="F3" s="5">
        <v>3200</v>
      </c>
      <c r="G3" s="5">
        <f t="shared" si="0"/>
        <v>30975</v>
      </c>
      <c r="H3" s="5">
        <f t="shared" si="1"/>
        <v>1548.75</v>
      </c>
      <c r="I3" s="6">
        <f t="shared" si="2"/>
        <v>4748.75</v>
      </c>
    </row>
    <row r="4" spans="1:9" ht="16.5" outlineLevel="2" x14ac:dyDescent="0.15">
      <c r="A4" s="4" t="s">
        <v>7</v>
      </c>
      <c r="B4" s="5" t="s">
        <v>34</v>
      </c>
      <c r="C4" s="5">
        <v>13</v>
      </c>
      <c r="D4" s="5">
        <v>2028</v>
      </c>
      <c r="E4" s="5">
        <v>3</v>
      </c>
      <c r="F4" s="5">
        <v>3200</v>
      </c>
      <c r="G4" s="5">
        <f t="shared" si="0"/>
        <v>26364</v>
      </c>
      <c r="H4" s="5">
        <f t="shared" si="1"/>
        <v>790.92</v>
      </c>
      <c r="I4" s="6">
        <f t="shared" si="2"/>
        <v>3990.92</v>
      </c>
    </row>
    <row r="5" spans="1:9" ht="16.5" outlineLevel="2" x14ac:dyDescent="0.15">
      <c r="A5" s="4" t="s">
        <v>10</v>
      </c>
      <c r="B5" s="5" t="s">
        <v>34</v>
      </c>
      <c r="C5" s="5">
        <v>11</v>
      </c>
      <c r="D5" s="5">
        <v>2106</v>
      </c>
      <c r="E5" s="5">
        <v>8</v>
      </c>
      <c r="F5" s="5">
        <v>3200</v>
      </c>
      <c r="G5" s="5">
        <f t="shared" si="0"/>
        <v>23166</v>
      </c>
      <c r="H5" s="5">
        <f t="shared" si="1"/>
        <v>694.98</v>
      </c>
      <c r="I5" s="6">
        <f t="shared" si="2"/>
        <v>3894.98</v>
      </c>
    </row>
    <row r="6" spans="1:9" ht="16.5" outlineLevel="2" x14ac:dyDescent="0.15">
      <c r="A6" s="4" t="s">
        <v>21</v>
      </c>
      <c r="B6" s="5" t="s">
        <v>34</v>
      </c>
      <c r="C6" s="5">
        <v>9</v>
      </c>
      <c r="D6" s="5">
        <v>2094</v>
      </c>
      <c r="E6" s="5">
        <v>3</v>
      </c>
      <c r="F6" s="5">
        <v>3200</v>
      </c>
      <c r="G6" s="5">
        <f t="shared" si="0"/>
        <v>18846</v>
      </c>
      <c r="H6" s="5">
        <f t="shared" si="1"/>
        <v>565.38</v>
      </c>
      <c r="I6" s="6">
        <f t="shared" si="2"/>
        <v>3765.38</v>
      </c>
    </row>
    <row r="7" spans="1:9" ht="16.5" outlineLevel="2" x14ac:dyDescent="0.15">
      <c r="A7" s="4" t="s">
        <v>19</v>
      </c>
      <c r="B7" s="5" t="s">
        <v>34</v>
      </c>
      <c r="C7" s="5">
        <v>9</v>
      </c>
      <c r="D7" s="5">
        <v>2014</v>
      </c>
      <c r="E7" s="5">
        <v>10</v>
      </c>
      <c r="F7" s="5">
        <v>3200</v>
      </c>
      <c r="G7" s="5">
        <f t="shared" si="0"/>
        <v>18126</v>
      </c>
      <c r="H7" s="5">
        <f t="shared" si="1"/>
        <v>543.78</v>
      </c>
      <c r="I7" s="6">
        <f t="shared" si="2"/>
        <v>3743.7799999999997</v>
      </c>
    </row>
    <row r="8" spans="1:9" ht="16.5" outlineLevel="1" x14ac:dyDescent="0.15">
      <c r="A8" s="4"/>
      <c r="B8" s="12" t="s">
        <v>43</v>
      </c>
      <c r="C8" s="5"/>
      <c r="D8" s="5">
        <f>SUBTOTAL(1,D2:D7)</f>
        <v>2061.8333333333335</v>
      </c>
      <c r="E8" s="5"/>
      <c r="F8" s="5"/>
      <c r="G8" s="5">
        <f>SUBTOTAL(1,G2:G7)</f>
        <v>25083.5</v>
      </c>
      <c r="H8" s="5"/>
      <c r="I8" s="6"/>
    </row>
    <row r="9" spans="1:9" ht="16.5" outlineLevel="2" x14ac:dyDescent="0.15">
      <c r="A9" s="4" t="s">
        <v>12</v>
      </c>
      <c r="B9" s="5" t="s">
        <v>31</v>
      </c>
      <c r="C9" s="5">
        <v>18</v>
      </c>
      <c r="D9" s="5">
        <v>2041</v>
      </c>
      <c r="E9" s="5">
        <v>7</v>
      </c>
      <c r="F9" s="5">
        <v>3200</v>
      </c>
      <c r="G9" s="5">
        <f t="shared" ref="G9:G14" si="3">C9*D9</f>
        <v>36738</v>
      </c>
      <c r="H9" s="5">
        <f t="shared" ref="H9:H14" si="4">IF(G9&gt;50000,G9*0.08,(IF(G9&gt;=30000,G9*0.05,G9*0.03)))</f>
        <v>1836.9</v>
      </c>
      <c r="I9" s="6">
        <f t="shared" ref="I9:I14" si="5">F9+H9</f>
        <v>5036.8999999999996</v>
      </c>
    </row>
    <row r="10" spans="1:9" ht="16.5" outlineLevel="2" x14ac:dyDescent="0.15">
      <c r="A10" s="4" t="s">
        <v>13</v>
      </c>
      <c r="B10" s="5" t="s">
        <v>31</v>
      </c>
      <c r="C10" s="5">
        <v>17</v>
      </c>
      <c r="D10" s="5">
        <v>2014</v>
      </c>
      <c r="E10" s="5">
        <v>7</v>
      </c>
      <c r="F10" s="5">
        <v>3200</v>
      </c>
      <c r="G10" s="5">
        <f t="shared" si="3"/>
        <v>34238</v>
      </c>
      <c r="H10" s="5">
        <f t="shared" si="4"/>
        <v>1711.9</v>
      </c>
      <c r="I10" s="6">
        <f t="shared" si="5"/>
        <v>4911.8999999999996</v>
      </c>
    </row>
    <row r="11" spans="1:9" ht="16.5" outlineLevel="2" x14ac:dyDescent="0.15">
      <c r="A11" s="4" t="s">
        <v>0</v>
      </c>
      <c r="B11" s="5" t="s">
        <v>31</v>
      </c>
      <c r="C11" s="5">
        <v>11</v>
      </c>
      <c r="D11" s="5">
        <v>2073</v>
      </c>
      <c r="E11" s="5">
        <v>10</v>
      </c>
      <c r="F11" s="5">
        <v>3200</v>
      </c>
      <c r="G11" s="5">
        <f t="shared" si="3"/>
        <v>22803</v>
      </c>
      <c r="H11" s="5">
        <f t="shared" si="4"/>
        <v>684.08999999999992</v>
      </c>
      <c r="I11" s="6">
        <f t="shared" si="5"/>
        <v>3884.09</v>
      </c>
    </row>
    <row r="12" spans="1:9" ht="16.5" outlineLevel="2" x14ac:dyDescent="0.15">
      <c r="A12" s="4" t="s">
        <v>22</v>
      </c>
      <c r="B12" s="5" t="s">
        <v>31</v>
      </c>
      <c r="C12" s="5">
        <v>11</v>
      </c>
      <c r="D12" s="5">
        <v>2066</v>
      </c>
      <c r="E12" s="5">
        <v>2</v>
      </c>
      <c r="F12" s="5">
        <v>3200</v>
      </c>
      <c r="G12" s="5">
        <f t="shared" si="3"/>
        <v>22726</v>
      </c>
      <c r="H12" s="5">
        <f t="shared" si="4"/>
        <v>681.78</v>
      </c>
      <c r="I12" s="6">
        <f t="shared" si="5"/>
        <v>3881.7799999999997</v>
      </c>
    </row>
    <row r="13" spans="1:9" ht="16.5" outlineLevel="2" x14ac:dyDescent="0.15">
      <c r="A13" s="4" t="s">
        <v>6</v>
      </c>
      <c r="B13" s="5" t="s">
        <v>31</v>
      </c>
      <c r="C13" s="5">
        <v>10</v>
      </c>
      <c r="D13" s="5">
        <v>2036</v>
      </c>
      <c r="E13" s="5">
        <v>7</v>
      </c>
      <c r="F13" s="5">
        <v>3200</v>
      </c>
      <c r="G13" s="5">
        <f t="shared" si="3"/>
        <v>20360</v>
      </c>
      <c r="H13" s="5">
        <f t="shared" si="4"/>
        <v>610.79999999999995</v>
      </c>
      <c r="I13" s="6">
        <f t="shared" si="5"/>
        <v>3810.8</v>
      </c>
    </row>
    <row r="14" spans="1:9" ht="16.5" outlineLevel="2" x14ac:dyDescent="0.15">
      <c r="A14" s="4" t="s">
        <v>3</v>
      </c>
      <c r="B14" s="5" t="s">
        <v>31</v>
      </c>
      <c r="C14" s="5">
        <v>10</v>
      </c>
      <c r="D14" s="5">
        <v>2027</v>
      </c>
      <c r="E14" s="5">
        <v>3</v>
      </c>
      <c r="F14" s="5">
        <v>3200</v>
      </c>
      <c r="G14" s="5">
        <f t="shared" si="3"/>
        <v>20270</v>
      </c>
      <c r="H14" s="5">
        <f t="shared" si="4"/>
        <v>608.1</v>
      </c>
      <c r="I14" s="6">
        <f t="shared" si="5"/>
        <v>3808.1</v>
      </c>
    </row>
    <row r="15" spans="1:9" ht="16.5" outlineLevel="1" x14ac:dyDescent="0.15">
      <c r="A15" s="4"/>
      <c r="B15" s="12" t="s">
        <v>44</v>
      </c>
      <c r="C15" s="5"/>
      <c r="D15" s="5">
        <f>SUBTOTAL(1,D9:D14)</f>
        <v>2042.8333333333333</v>
      </c>
      <c r="E15" s="5"/>
      <c r="F15" s="5"/>
      <c r="G15" s="5">
        <f>SUBTOTAL(1,G9:G14)</f>
        <v>26189.166666666668</v>
      </c>
      <c r="H15" s="5"/>
      <c r="I15" s="6"/>
    </row>
    <row r="16" spans="1:9" ht="16.5" outlineLevel="2" x14ac:dyDescent="0.15">
      <c r="A16" s="4" t="s">
        <v>5</v>
      </c>
      <c r="B16" s="5" t="s">
        <v>32</v>
      </c>
      <c r="C16" s="5">
        <v>25</v>
      </c>
      <c r="D16" s="5">
        <v>2025</v>
      </c>
      <c r="E16" s="5">
        <v>6</v>
      </c>
      <c r="F16" s="5">
        <v>3200</v>
      </c>
      <c r="G16" s="5">
        <f t="shared" ref="G16:G21" si="6">C16*D16</f>
        <v>50625</v>
      </c>
      <c r="H16" s="5">
        <f t="shared" ref="H16:H21" si="7">IF(G16&gt;50000,G16*0.08,(IF(G16&gt;=30000,G16*0.05,G16*0.03)))</f>
        <v>4050</v>
      </c>
      <c r="I16" s="6">
        <f t="shared" ref="I16:I21" si="8">F16+H16</f>
        <v>7250</v>
      </c>
    </row>
    <row r="17" spans="1:9" ht="16.5" outlineLevel="2" x14ac:dyDescent="0.15">
      <c r="A17" s="4" t="s">
        <v>1</v>
      </c>
      <c r="B17" s="5" t="s">
        <v>32</v>
      </c>
      <c r="C17" s="5">
        <v>15</v>
      </c>
      <c r="D17" s="5">
        <v>2044</v>
      </c>
      <c r="E17" s="5">
        <v>5</v>
      </c>
      <c r="F17" s="5">
        <v>3200</v>
      </c>
      <c r="G17" s="5">
        <f t="shared" si="6"/>
        <v>30660</v>
      </c>
      <c r="H17" s="5">
        <f t="shared" si="7"/>
        <v>1533</v>
      </c>
      <c r="I17" s="6">
        <f t="shared" si="8"/>
        <v>4733</v>
      </c>
    </row>
    <row r="18" spans="1:9" ht="16.5" outlineLevel="2" x14ac:dyDescent="0.15">
      <c r="A18" s="4" t="s">
        <v>18</v>
      </c>
      <c r="B18" s="5" t="s">
        <v>32</v>
      </c>
      <c r="C18" s="5">
        <v>12</v>
      </c>
      <c r="D18" s="5">
        <v>2099</v>
      </c>
      <c r="E18" s="5">
        <v>5</v>
      </c>
      <c r="F18" s="5">
        <v>3200</v>
      </c>
      <c r="G18" s="5">
        <f t="shared" si="6"/>
        <v>25188</v>
      </c>
      <c r="H18" s="5">
        <f t="shared" si="7"/>
        <v>755.64</v>
      </c>
      <c r="I18" s="6">
        <f t="shared" si="8"/>
        <v>3955.64</v>
      </c>
    </row>
    <row r="19" spans="1:9" ht="16.5" outlineLevel="2" x14ac:dyDescent="0.15">
      <c r="A19" s="4" t="s">
        <v>9</v>
      </c>
      <c r="B19" s="5" t="s">
        <v>32</v>
      </c>
      <c r="C19" s="5">
        <v>11</v>
      </c>
      <c r="D19" s="5">
        <v>2035</v>
      </c>
      <c r="E19" s="5">
        <v>9</v>
      </c>
      <c r="F19" s="5">
        <v>3200</v>
      </c>
      <c r="G19" s="5">
        <f t="shared" si="6"/>
        <v>22385</v>
      </c>
      <c r="H19" s="5">
        <f t="shared" si="7"/>
        <v>671.55</v>
      </c>
      <c r="I19" s="6">
        <f t="shared" si="8"/>
        <v>3871.55</v>
      </c>
    </row>
    <row r="20" spans="1:9" ht="16.5" outlineLevel="2" x14ac:dyDescent="0.15">
      <c r="A20" s="4" t="s">
        <v>17</v>
      </c>
      <c r="B20" s="5" t="s">
        <v>32</v>
      </c>
      <c r="C20" s="5">
        <v>11</v>
      </c>
      <c r="D20" s="5">
        <v>2020</v>
      </c>
      <c r="E20" s="5">
        <v>7</v>
      </c>
      <c r="F20" s="5">
        <v>3200</v>
      </c>
      <c r="G20" s="5">
        <f t="shared" si="6"/>
        <v>22220</v>
      </c>
      <c r="H20" s="5">
        <f t="shared" si="7"/>
        <v>666.6</v>
      </c>
      <c r="I20" s="6">
        <f t="shared" si="8"/>
        <v>3866.6</v>
      </c>
    </row>
    <row r="21" spans="1:9" ht="16.5" outlineLevel="2" x14ac:dyDescent="0.15">
      <c r="A21" s="4" t="s">
        <v>11</v>
      </c>
      <c r="B21" s="5" t="s">
        <v>32</v>
      </c>
      <c r="C21" s="5">
        <v>9</v>
      </c>
      <c r="D21" s="5">
        <v>2065</v>
      </c>
      <c r="E21" s="5">
        <v>5</v>
      </c>
      <c r="F21" s="5">
        <v>3200</v>
      </c>
      <c r="G21" s="5">
        <f t="shared" si="6"/>
        <v>18585</v>
      </c>
      <c r="H21" s="5">
        <f t="shared" si="7"/>
        <v>557.54999999999995</v>
      </c>
      <c r="I21" s="6">
        <f t="shared" si="8"/>
        <v>3757.55</v>
      </c>
    </row>
    <row r="22" spans="1:9" ht="16.5" outlineLevel="1" x14ac:dyDescent="0.15">
      <c r="A22" s="4"/>
      <c r="B22" s="12" t="s">
        <v>45</v>
      </c>
      <c r="C22" s="5"/>
      <c r="D22" s="5">
        <f>SUBTOTAL(1,D16:D21)</f>
        <v>2048</v>
      </c>
      <c r="E22" s="5"/>
      <c r="F22" s="5"/>
      <c r="G22" s="5">
        <f>SUBTOTAL(1,G16:G21)</f>
        <v>28277.166666666668</v>
      </c>
      <c r="H22" s="5"/>
      <c r="I22" s="6"/>
    </row>
    <row r="23" spans="1:9" ht="16.5" outlineLevel="2" x14ac:dyDescent="0.15">
      <c r="A23" s="4" t="s">
        <v>16</v>
      </c>
      <c r="B23" s="5" t="s">
        <v>33</v>
      </c>
      <c r="C23" s="5">
        <v>19</v>
      </c>
      <c r="D23" s="5">
        <v>2081</v>
      </c>
      <c r="E23" s="5">
        <v>8</v>
      </c>
      <c r="F23" s="5">
        <v>3200</v>
      </c>
      <c r="G23" s="5">
        <f>C23*D23</f>
        <v>39539</v>
      </c>
      <c r="H23" s="5">
        <f>IF(G23&gt;50000,G23*0.08,(IF(G23&gt;=30000,G23*0.05,G23*0.03)))</f>
        <v>1976.95</v>
      </c>
      <c r="I23" s="6">
        <f>F23+H23</f>
        <v>5176.95</v>
      </c>
    </row>
    <row r="24" spans="1:9" ht="16.5" outlineLevel="2" x14ac:dyDescent="0.15">
      <c r="A24" s="4" t="s">
        <v>20</v>
      </c>
      <c r="B24" s="5" t="s">
        <v>33</v>
      </c>
      <c r="C24" s="5">
        <v>14</v>
      </c>
      <c r="D24" s="5">
        <v>2088</v>
      </c>
      <c r="E24" s="5">
        <v>6</v>
      </c>
      <c r="F24" s="5">
        <v>3200</v>
      </c>
      <c r="G24" s="5">
        <f>C24*D24</f>
        <v>29232</v>
      </c>
      <c r="H24" s="5">
        <f>IF(G24&gt;50000,G24*0.08,(IF(G24&gt;=30000,G24*0.05,G24*0.03)))</f>
        <v>876.95999999999992</v>
      </c>
      <c r="I24" s="6">
        <f>F24+H24</f>
        <v>4076.96</v>
      </c>
    </row>
    <row r="25" spans="1:9" ht="16.5" outlineLevel="2" x14ac:dyDescent="0.15">
      <c r="A25" s="4" t="s">
        <v>8</v>
      </c>
      <c r="B25" s="5" t="s">
        <v>33</v>
      </c>
      <c r="C25" s="5">
        <v>12</v>
      </c>
      <c r="D25" s="5">
        <v>2049</v>
      </c>
      <c r="E25" s="5">
        <v>8</v>
      </c>
      <c r="F25" s="5">
        <v>3200</v>
      </c>
      <c r="G25" s="5">
        <f>C25*D25</f>
        <v>24588</v>
      </c>
      <c r="H25" s="5">
        <f>IF(G25&gt;50000,G25*0.08,(IF(G25&gt;=30000,G25*0.05,G25*0.03)))</f>
        <v>737.64</v>
      </c>
      <c r="I25" s="6">
        <f>F25+H25</f>
        <v>3937.64</v>
      </c>
    </row>
    <row r="26" spans="1:9" ht="16.5" outlineLevel="2" x14ac:dyDescent="0.15">
      <c r="A26" s="4" t="s">
        <v>15</v>
      </c>
      <c r="B26" s="5" t="s">
        <v>33</v>
      </c>
      <c r="C26" s="5">
        <v>10</v>
      </c>
      <c r="D26" s="5">
        <v>2063</v>
      </c>
      <c r="E26" s="5">
        <v>8</v>
      </c>
      <c r="F26" s="5">
        <v>3200</v>
      </c>
      <c r="G26" s="5">
        <f>C26*D26</f>
        <v>20630</v>
      </c>
      <c r="H26" s="5">
        <f>IF(G26&gt;50000,G26*0.08,(IF(G26&gt;=30000,G26*0.05,G26*0.03)))</f>
        <v>618.9</v>
      </c>
      <c r="I26" s="6">
        <f>F26+H26</f>
        <v>3818.9</v>
      </c>
    </row>
    <row r="27" spans="1:9" ht="17.25" outlineLevel="2" thickBot="1" x14ac:dyDescent="0.2">
      <c r="A27" s="7" t="s">
        <v>2</v>
      </c>
      <c r="B27" s="8" t="s">
        <v>33</v>
      </c>
      <c r="C27" s="8">
        <v>9</v>
      </c>
      <c r="D27" s="8">
        <v>2085</v>
      </c>
      <c r="E27" s="8">
        <v>10</v>
      </c>
      <c r="F27" s="8">
        <v>3200</v>
      </c>
      <c r="G27" s="8">
        <f>C27*D27</f>
        <v>18765</v>
      </c>
      <c r="H27" s="8">
        <f>IF(G27&gt;50000,G27*0.08,(IF(G27&gt;=30000,G27*0.05,G27*0.03)))</f>
        <v>562.94999999999993</v>
      </c>
      <c r="I27" s="9">
        <f>F27+H27</f>
        <v>3762.95</v>
      </c>
    </row>
    <row r="28" spans="1:9" ht="17.25" outlineLevel="1" thickTop="1" x14ac:dyDescent="0.15">
      <c r="A28" s="10"/>
      <c r="B28" s="13" t="s">
        <v>46</v>
      </c>
      <c r="C28" s="10"/>
      <c r="D28" s="10">
        <f>SUBTOTAL(1,D23:D27)</f>
        <v>2073.1999999999998</v>
      </c>
      <c r="E28" s="10"/>
      <c r="F28" s="10"/>
      <c r="G28" s="10">
        <f>SUBTOTAL(1,G23:G27)</f>
        <v>26550.799999999999</v>
      </c>
      <c r="H28" s="10"/>
      <c r="I28" s="10"/>
    </row>
    <row r="29" spans="1:9" ht="16.5" x14ac:dyDescent="0.15">
      <c r="A29" s="10"/>
      <c r="B29" s="13" t="s">
        <v>47</v>
      </c>
      <c r="C29" s="10"/>
      <c r="D29" s="10">
        <f>SUBTOTAL(1,D2:D27)</f>
        <v>2055.7391304347825</v>
      </c>
      <c r="E29" s="10"/>
      <c r="F29" s="10"/>
      <c r="G29" s="10">
        <f>SUBTOTAL(1,G2:G27)</f>
        <v>26524.043478260868</v>
      </c>
      <c r="H29" s="10"/>
      <c r="I29" s="10"/>
    </row>
  </sheetData>
  <sortState ref="A2:I24">
    <sortCondition ref="B2:B24" customList="市区总店,城南店,新区店,中山路店"/>
    <sortCondition descending="1" ref="G2:G24"/>
  </sortState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K18" sqref="K18"/>
    </sheetView>
  </sheetViews>
  <sheetFormatPr defaultRowHeight="14.25" x14ac:dyDescent="0.15"/>
  <sheetData>
    <row r="1" spans="1:7" ht="17.25" thickTop="1" x14ac:dyDescent="0.15">
      <c r="A1" s="1" t="s">
        <v>23</v>
      </c>
      <c r="B1" s="2" t="s">
        <v>24</v>
      </c>
      <c r="C1" s="2" t="s">
        <v>25</v>
      </c>
      <c r="D1" s="2" t="s">
        <v>26</v>
      </c>
      <c r="E1" s="2" t="s">
        <v>28</v>
      </c>
      <c r="F1" s="2" t="s">
        <v>27</v>
      </c>
      <c r="G1" s="2" t="s">
        <v>35</v>
      </c>
    </row>
    <row r="2" spans="1:7" ht="16.5" x14ac:dyDescent="0.15">
      <c r="A2" s="4" t="s">
        <v>4</v>
      </c>
      <c r="B2" s="5" t="s">
        <v>34</v>
      </c>
      <c r="C2" s="5">
        <v>16</v>
      </c>
      <c r="D2" s="5">
        <v>2064</v>
      </c>
      <c r="E2" s="5">
        <v>7</v>
      </c>
      <c r="F2" s="5">
        <v>3200</v>
      </c>
      <c r="G2" s="5">
        <f t="shared" ref="G2:G7" si="0">C2*D2</f>
        <v>33024</v>
      </c>
    </row>
    <row r="3" spans="1:7" ht="16.5" x14ac:dyDescent="0.15">
      <c r="A3" s="4" t="s">
        <v>14</v>
      </c>
      <c r="B3" s="5" t="s">
        <v>34</v>
      </c>
      <c r="C3" s="5">
        <v>15</v>
      </c>
      <c r="D3" s="5">
        <v>2065</v>
      </c>
      <c r="E3" s="5">
        <v>8</v>
      </c>
      <c r="F3" s="5">
        <v>3200</v>
      </c>
      <c r="G3" s="5">
        <f t="shared" si="0"/>
        <v>30975</v>
      </c>
    </row>
    <row r="4" spans="1:7" ht="16.5" x14ac:dyDescent="0.15">
      <c r="A4" s="4" t="s">
        <v>7</v>
      </c>
      <c r="B4" s="5" t="s">
        <v>34</v>
      </c>
      <c r="C4" s="5">
        <v>13</v>
      </c>
      <c r="D4" s="5">
        <v>2028</v>
      </c>
      <c r="E4" s="5">
        <v>3</v>
      </c>
      <c r="F4" s="5">
        <v>3200</v>
      </c>
      <c r="G4" s="5">
        <f t="shared" si="0"/>
        <v>26364</v>
      </c>
    </row>
    <row r="5" spans="1:7" ht="16.5" x14ac:dyDescent="0.15">
      <c r="A5" s="4" t="s">
        <v>10</v>
      </c>
      <c r="B5" s="5" t="s">
        <v>34</v>
      </c>
      <c r="C5" s="5">
        <v>11</v>
      </c>
      <c r="D5" s="5">
        <v>2106</v>
      </c>
      <c r="E5" s="5">
        <v>8</v>
      </c>
      <c r="F5" s="5">
        <v>3200</v>
      </c>
      <c r="G5" s="5">
        <f t="shared" si="0"/>
        <v>23166</v>
      </c>
    </row>
    <row r="6" spans="1:7" ht="16.5" x14ac:dyDescent="0.15">
      <c r="A6" s="4" t="s">
        <v>21</v>
      </c>
      <c r="B6" s="5" t="s">
        <v>34</v>
      </c>
      <c r="C6" s="5">
        <v>9</v>
      </c>
      <c r="D6" s="5">
        <v>2094</v>
      </c>
      <c r="E6" s="5">
        <v>3</v>
      </c>
      <c r="F6" s="5">
        <v>3200</v>
      </c>
      <c r="G6" s="5">
        <f t="shared" si="0"/>
        <v>18846</v>
      </c>
    </row>
    <row r="7" spans="1:7" ht="16.5" x14ac:dyDescent="0.15">
      <c r="A7" s="4" t="s">
        <v>19</v>
      </c>
      <c r="B7" s="5" t="s">
        <v>34</v>
      </c>
      <c r="C7" s="5">
        <v>9</v>
      </c>
      <c r="D7" s="5">
        <v>2014</v>
      </c>
      <c r="E7" s="5">
        <v>10</v>
      </c>
      <c r="F7" s="5">
        <v>3200</v>
      </c>
      <c r="G7" s="5">
        <f t="shared" si="0"/>
        <v>18126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Sheet1</vt:lpstr>
      <vt:lpstr>筛选</vt:lpstr>
      <vt:lpstr>分类汇总</vt:lpstr>
      <vt:lpstr>图表</vt:lpstr>
      <vt:lpstr>筛选!Criteria</vt:lpstr>
      <vt:lpstr>筛选!提取</vt:lpstr>
    </vt:vector>
  </TitlesOfParts>
  <Company>jsj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jsj</dc:creator>
  <cp:lastModifiedBy>SD</cp:lastModifiedBy>
  <dcterms:created xsi:type="dcterms:W3CDTF">2017-02-25T08:42:04Z</dcterms:created>
  <dcterms:modified xsi:type="dcterms:W3CDTF">2018-09-19T06:31:07Z</dcterms:modified>
</cp:coreProperties>
</file>