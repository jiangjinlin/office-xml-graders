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12795" windowHeight="7545" activeTab="3"/>
  </bookViews>
  <sheets>
    <sheet name="Sheet1" sheetId="1" r:id="rId1"/>
    <sheet name="最佳歌手名单" sheetId="6" r:id="rId2"/>
    <sheet name="筛选" sheetId="7" r:id="rId3"/>
    <sheet name="图表" sheetId="5" r:id="rId4"/>
    <sheet name="歌手得分排序" sheetId="8" r:id="rId5"/>
  </sheets>
  <definedNames>
    <definedName name="_xlnm.Criteria" localSheetId="2">筛选!$A$1:$B$2</definedName>
    <definedName name="_xlnm.Extract" localSheetId="2">筛选!$B$6:$Q$6</definedName>
  </definedNames>
  <calcPr calcId="144525"/>
</workbook>
</file>

<file path=xl/calcChain.xml><?xml version="1.0" encoding="utf-8"?>
<calcChain xmlns="http://schemas.openxmlformats.org/spreadsheetml/2006/main">
  <c r="C5" i="5" l="1"/>
  <c r="B5" i="5"/>
  <c r="C4" i="5"/>
  <c r="B4" i="5"/>
  <c r="C3" i="5"/>
  <c r="B3" i="5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3" i="6"/>
  <c r="J4" i="1"/>
  <c r="K4" i="1"/>
  <c r="L4" i="1"/>
  <c r="M4" i="1"/>
  <c r="N4" i="1" s="1"/>
  <c r="J5" i="1"/>
  <c r="K5" i="1"/>
  <c r="L5" i="1"/>
  <c r="M5" i="1"/>
  <c r="N5" i="1"/>
  <c r="J6" i="1"/>
  <c r="K6" i="1"/>
  <c r="L6" i="1"/>
  <c r="N6" i="1" s="1"/>
  <c r="M6" i="1"/>
  <c r="J7" i="1"/>
  <c r="K7" i="1"/>
  <c r="L7" i="1"/>
  <c r="N7" i="1" s="1"/>
  <c r="M7" i="1"/>
  <c r="J8" i="1"/>
  <c r="K8" i="1"/>
  <c r="L8" i="1"/>
  <c r="M8" i="1"/>
  <c r="N8" i="1" s="1"/>
  <c r="J9" i="1"/>
  <c r="N9" i="1" s="1"/>
  <c r="K9" i="1"/>
  <c r="L9" i="1"/>
  <c r="M9" i="1"/>
  <c r="J10" i="1"/>
  <c r="K10" i="1"/>
  <c r="L10" i="1"/>
  <c r="N10" i="1" s="1"/>
  <c r="M10" i="1"/>
  <c r="J11" i="1"/>
  <c r="K11" i="1"/>
  <c r="L11" i="1"/>
  <c r="N11" i="1" s="1"/>
  <c r="M11" i="1"/>
  <c r="J12" i="1"/>
  <c r="K12" i="1"/>
  <c r="L12" i="1"/>
  <c r="M12" i="1"/>
  <c r="N12" i="1" s="1"/>
  <c r="J13" i="1"/>
  <c r="K13" i="1"/>
  <c r="L13" i="1"/>
  <c r="M13" i="1"/>
  <c r="N13" i="1"/>
  <c r="J14" i="1"/>
  <c r="K14" i="1"/>
  <c r="L14" i="1"/>
  <c r="N14" i="1" s="1"/>
  <c r="M14" i="1"/>
  <c r="J15" i="1"/>
  <c r="K15" i="1"/>
  <c r="L15" i="1"/>
  <c r="N15" i="1" s="1"/>
  <c r="M15" i="1"/>
  <c r="J16" i="1"/>
  <c r="K16" i="1"/>
  <c r="L16" i="1"/>
  <c r="M16" i="1"/>
  <c r="N16" i="1" s="1"/>
  <c r="J17" i="1"/>
  <c r="N17" i="1" s="1"/>
  <c r="K17" i="1"/>
  <c r="L17" i="1"/>
  <c r="M17" i="1"/>
  <c r="J18" i="1"/>
  <c r="K18" i="1"/>
  <c r="L18" i="1"/>
  <c r="N18" i="1" s="1"/>
  <c r="M18" i="1"/>
  <c r="J19" i="1"/>
  <c r="K19" i="1"/>
  <c r="L19" i="1"/>
  <c r="N19" i="1" s="1"/>
  <c r="M19" i="1"/>
  <c r="J20" i="1"/>
  <c r="K20" i="1"/>
  <c r="L20" i="1"/>
  <c r="M20" i="1"/>
  <c r="N20" i="1" s="1"/>
  <c r="J21" i="1"/>
  <c r="K21" i="1"/>
  <c r="L21" i="1"/>
  <c r="M21" i="1"/>
  <c r="N21" i="1"/>
  <c r="J22" i="1"/>
  <c r="K22" i="1"/>
  <c r="L22" i="1"/>
  <c r="N22" i="1" s="1"/>
  <c r="M22" i="1"/>
  <c r="J23" i="1"/>
  <c r="K23" i="1"/>
  <c r="L23" i="1"/>
  <c r="N23" i="1" s="1"/>
  <c r="M23" i="1"/>
  <c r="J24" i="1"/>
  <c r="K24" i="1"/>
  <c r="L24" i="1"/>
  <c r="M24" i="1"/>
  <c r="N24" i="1" s="1"/>
  <c r="N3" i="1"/>
  <c r="M3" i="1"/>
  <c r="L3" i="1"/>
  <c r="K3" i="1"/>
  <c r="J3" i="1"/>
</calcChain>
</file>

<file path=xl/sharedStrings.xml><?xml version="1.0" encoding="utf-8"?>
<sst xmlns="http://schemas.openxmlformats.org/spreadsheetml/2006/main" count="292" uniqueCount="98">
  <si>
    <t>姓名</t>
    <phoneticPr fontId="3" type="noConversion"/>
  </si>
  <si>
    <t>城市</t>
    <phoneticPr fontId="3" type="noConversion"/>
  </si>
  <si>
    <t>性别</t>
    <phoneticPr fontId="3" type="noConversion"/>
  </si>
  <si>
    <t>评分1</t>
    <phoneticPr fontId="3" type="noConversion"/>
  </si>
  <si>
    <t>评分2</t>
    <phoneticPr fontId="3" type="noConversion"/>
  </si>
  <si>
    <t>评分3</t>
    <phoneticPr fontId="3" type="noConversion"/>
  </si>
  <si>
    <t>评分4</t>
    <phoneticPr fontId="3" type="noConversion"/>
  </si>
  <si>
    <t>最高分</t>
    <phoneticPr fontId="3" type="noConversion"/>
  </si>
  <si>
    <t>最低分</t>
    <phoneticPr fontId="3" type="noConversion"/>
  </si>
  <si>
    <t>李婷</t>
    <phoneticPr fontId="3" type="noConversion"/>
  </si>
  <si>
    <t>女</t>
    <phoneticPr fontId="3" type="noConversion"/>
  </si>
  <si>
    <t>王萍</t>
    <phoneticPr fontId="3" type="noConversion"/>
  </si>
  <si>
    <t>李晓丽</t>
    <phoneticPr fontId="3" type="noConversion"/>
  </si>
  <si>
    <t>刘评</t>
    <phoneticPr fontId="3" type="noConversion"/>
  </si>
  <si>
    <t>闻静</t>
    <phoneticPr fontId="3" type="noConversion"/>
  </si>
  <si>
    <t>李理</t>
    <phoneticPr fontId="3" type="noConversion"/>
  </si>
  <si>
    <t>男</t>
    <phoneticPr fontId="3" type="noConversion"/>
  </si>
  <si>
    <t>张路</t>
    <phoneticPr fontId="3" type="noConversion"/>
  </si>
  <si>
    <t>浙江</t>
    <phoneticPr fontId="3" type="noConversion"/>
  </si>
  <si>
    <t>蔡晓</t>
    <phoneticPr fontId="3" type="noConversion"/>
  </si>
  <si>
    <t>上海</t>
    <phoneticPr fontId="3" type="noConversion"/>
  </si>
  <si>
    <t>陈芮</t>
    <phoneticPr fontId="3" type="noConversion"/>
  </si>
  <si>
    <t>刘立</t>
    <phoneticPr fontId="3" type="noConversion"/>
  </si>
  <si>
    <t>孙思思</t>
    <phoneticPr fontId="3" type="noConversion"/>
  </si>
  <si>
    <t>张平</t>
    <phoneticPr fontId="3" type="noConversion"/>
  </si>
  <si>
    <t>赵露</t>
    <phoneticPr fontId="3" type="noConversion"/>
  </si>
  <si>
    <t>耿秋文</t>
    <phoneticPr fontId="3" type="noConversion"/>
  </si>
  <si>
    <t>聂文景</t>
    <phoneticPr fontId="3" type="noConversion"/>
  </si>
  <si>
    <t>赵鹏</t>
    <phoneticPr fontId="3" type="noConversion"/>
  </si>
  <si>
    <t>张冲</t>
    <phoneticPr fontId="3" type="noConversion"/>
  </si>
  <si>
    <t>王雨立</t>
    <phoneticPr fontId="3" type="noConversion"/>
  </si>
  <si>
    <t>崔萍</t>
    <phoneticPr fontId="3" type="noConversion"/>
  </si>
  <si>
    <t>刘利</t>
    <phoneticPr fontId="3" type="noConversion"/>
  </si>
  <si>
    <t>李想</t>
    <phoneticPr fontId="3" type="noConversion"/>
  </si>
  <si>
    <t>郑直</t>
    <phoneticPr fontId="3" type="noConversion"/>
  </si>
  <si>
    <t>江苏</t>
    <phoneticPr fontId="3" type="noConversion"/>
  </si>
  <si>
    <t>上海</t>
    <phoneticPr fontId="3" type="noConversion"/>
  </si>
  <si>
    <t>女</t>
    <phoneticPr fontId="3" type="noConversion"/>
  </si>
  <si>
    <t>男</t>
    <phoneticPr fontId="3" type="noConversion"/>
  </si>
  <si>
    <t>女</t>
    <phoneticPr fontId="3" type="noConversion"/>
  </si>
  <si>
    <t>总分</t>
    <phoneticPr fontId="3" type="noConversion"/>
  </si>
  <si>
    <t>平均分</t>
    <phoneticPr fontId="3" type="noConversion"/>
  </si>
  <si>
    <t>最终得分</t>
    <phoneticPr fontId="3" type="noConversion"/>
  </si>
  <si>
    <t>评分5</t>
  </si>
  <si>
    <t>评分6</t>
  </si>
  <si>
    <t>江苏</t>
    <phoneticPr fontId="3" type="noConversion"/>
  </si>
  <si>
    <t>上海</t>
    <phoneticPr fontId="3" type="noConversion"/>
  </si>
  <si>
    <t>上海</t>
    <phoneticPr fontId="3" type="noConversion"/>
  </si>
  <si>
    <t>城市</t>
    <phoneticPr fontId="3" type="noConversion"/>
  </si>
  <si>
    <t>各地区歌手最高最终得分与平均分比较表</t>
    <phoneticPr fontId="3" type="noConversion"/>
  </si>
  <si>
    <t>各城市参赛歌手名单</t>
  </si>
  <si>
    <t>各城市参赛歌手名单</t>
    <phoneticPr fontId="3" type="noConversion"/>
  </si>
  <si>
    <t>姓名</t>
  </si>
  <si>
    <t>城市</t>
  </si>
  <si>
    <t>性别</t>
  </si>
  <si>
    <t>评分1</t>
  </si>
  <si>
    <t>评分2</t>
  </si>
  <si>
    <t>评分3</t>
  </si>
  <si>
    <t>评分4</t>
  </si>
  <si>
    <t>总分</t>
  </si>
  <si>
    <t>平均分</t>
  </si>
  <si>
    <t>最高分</t>
  </si>
  <si>
    <t>最低分</t>
  </si>
  <si>
    <t>最终得分</t>
  </si>
  <si>
    <t>李婷</t>
  </si>
  <si>
    <t>江苏</t>
  </si>
  <si>
    <t>女</t>
  </si>
  <si>
    <t>王萍</t>
  </si>
  <si>
    <t>浙江</t>
  </si>
  <si>
    <t>李晓丽</t>
  </si>
  <si>
    <t>上海</t>
  </si>
  <si>
    <t>男</t>
  </si>
  <si>
    <t>刘评</t>
  </si>
  <si>
    <t>闻静</t>
  </si>
  <si>
    <t>李理</t>
  </si>
  <si>
    <t>张路</t>
  </si>
  <si>
    <t>蔡晓</t>
  </si>
  <si>
    <t>陈芮</t>
  </si>
  <si>
    <t>刘立</t>
  </si>
  <si>
    <t>孙思思</t>
  </si>
  <si>
    <t>张平</t>
  </si>
  <si>
    <t>赵露</t>
  </si>
  <si>
    <t>耿秋文</t>
  </si>
  <si>
    <t>聂文景</t>
  </si>
  <si>
    <t>赵鹏</t>
  </si>
  <si>
    <t>张冲</t>
  </si>
  <si>
    <t>王雨立</t>
  </si>
  <si>
    <t>崔萍</t>
  </si>
  <si>
    <t>刘利</t>
  </si>
  <si>
    <t>李想</t>
  </si>
  <si>
    <t>郑直</t>
  </si>
  <si>
    <t>性别代码</t>
  </si>
  <si>
    <t>名次</t>
  </si>
  <si>
    <t>城市</t>
    <phoneticPr fontId="3" type="noConversion"/>
  </si>
  <si>
    <t>江苏</t>
    <phoneticPr fontId="3" type="noConversion"/>
  </si>
  <si>
    <r>
      <t>&gt;</t>
    </r>
    <r>
      <rPr>
        <sz val="12"/>
        <rFont val="宋体"/>
        <family val="3"/>
        <charset val="134"/>
      </rPr>
      <t>28</t>
    </r>
    <phoneticPr fontId="3" type="noConversion"/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</si>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</sst>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9" x14ac:knownFonts="1">
    <font>
      <sz val="12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sz val="9"/>
      <name val="宋体"/>
      <charset val="134"/>
    </font>
    <font>
      <b/>
      <sz val="12"/>
      <color indexed="10"/>
      <name val="宋体"/>
      <charset val="134"/>
    </font>
    <font>
      <b/>
      <sz val="12"/>
      <name val="宋体"/>
      <charset val="134"/>
    </font>
    <font>
      <b/>
      <sz val="16"/>
      <color rgb="FFFF0000"/>
      <name val="华文楷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rgb="FFFF0000"/>
      </left>
      <right style="thin">
        <color rgb="FF00B0F0"/>
      </right>
      <top style="thick">
        <color rgb="FFFF000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ck">
        <color rgb="FFFF0000"/>
      </top>
      <bottom style="thin">
        <color rgb="FF00B0F0"/>
      </bottom>
      <diagonal/>
    </border>
    <border>
      <left style="thin">
        <color rgb="FF00B0F0"/>
      </left>
      <right style="thick">
        <color rgb="FFFF0000"/>
      </right>
      <top style="thick">
        <color rgb="FFFF0000"/>
      </top>
      <bottom style="thin">
        <color rgb="FF00B0F0"/>
      </bottom>
      <diagonal/>
    </border>
    <border>
      <left style="thick">
        <color rgb="FFFF000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ck">
        <color rgb="FFFF0000"/>
      </right>
      <top style="thin">
        <color rgb="FF00B0F0"/>
      </top>
      <bottom style="thin">
        <color rgb="FF00B0F0"/>
      </bottom>
      <diagonal/>
    </border>
    <border>
      <left style="thick">
        <color rgb="FFFF0000"/>
      </left>
      <right style="thin">
        <color rgb="FF00B0F0"/>
      </right>
      <top style="thin">
        <color rgb="FF00B0F0"/>
      </top>
      <bottom style="thick">
        <color rgb="FFFF000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ck">
        <color rgb="FFFF0000"/>
      </bottom>
      <diagonal/>
    </border>
    <border>
      <left style="thin">
        <color rgb="FF00B0F0"/>
      </left>
      <right style="thick">
        <color rgb="FFFF0000"/>
      </right>
      <top style="thin">
        <color rgb="FF00B0F0"/>
      </top>
      <bottom style="thick">
        <color rgb="FFFF000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1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3" xfId="1" applyFont="1" applyFill="1" applyBorder="1" applyAlignment="1">
      <alignment horizontal="center"/>
    </xf>
    <xf numFmtId="0" fontId="2" fillId="0" borderId="4" xfId="1" applyFont="1" applyFill="1" applyBorder="1" applyAlignment="1">
      <alignment horizontal="center"/>
    </xf>
    <xf numFmtId="176" fontId="2" fillId="0" borderId="4" xfId="1" applyNumberFormat="1" applyFont="1" applyFill="1" applyBorder="1" applyAlignment="1">
      <alignment horizontal="center"/>
    </xf>
    <xf numFmtId="0" fontId="1" fillId="0" borderId="5" xfId="1" applyFont="1" applyBorder="1"/>
    <xf numFmtId="0" fontId="2" fillId="0" borderId="6" xfId="1" applyFont="1" applyFill="1" applyBorder="1" applyAlignment="1">
      <alignment horizontal="center"/>
    </xf>
    <xf numFmtId="0" fontId="2" fillId="0" borderId="7" xfId="1" applyFont="1" applyFill="1" applyBorder="1" applyAlignment="1">
      <alignment horizontal="center"/>
    </xf>
    <xf numFmtId="0" fontId="0" fillId="0" borderId="7" xfId="0" applyBorder="1">
      <alignment vertical="center"/>
    </xf>
    <xf numFmtId="176" fontId="0" fillId="0" borderId="7" xfId="0" applyNumberFormat="1" applyBorder="1">
      <alignment vertical="center"/>
    </xf>
    <xf numFmtId="0" fontId="0" fillId="0" borderId="8" xfId="0" applyBorder="1">
      <alignment vertical="center"/>
    </xf>
    <xf numFmtId="0" fontId="2" fillId="0" borderId="9" xfId="1" applyFont="1" applyFill="1" applyBorder="1" applyAlignment="1">
      <alignment horizontal="center"/>
    </xf>
    <xf numFmtId="0" fontId="2" fillId="0" borderId="10" xfId="1" applyFont="1" applyFill="1" applyBorder="1" applyAlignment="1">
      <alignment horizontal="center"/>
    </xf>
    <xf numFmtId="0" fontId="0" fillId="0" borderId="10" xfId="0" applyBorder="1">
      <alignment vertical="center"/>
    </xf>
    <xf numFmtId="176" fontId="0" fillId="0" borderId="10" xfId="0" applyNumberFormat="1" applyBorder="1">
      <alignment vertical="center"/>
    </xf>
    <xf numFmtId="0" fontId="0" fillId="0" borderId="11" xfId="0" applyBorder="1">
      <alignment vertical="center"/>
    </xf>
    <xf numFmtId="0" fontId="7" fillId="0" borderId="0" xfId="0" applyFont="1">
      <alignment vertical="center"/>
    </xf>
  </cellXfs>
  <cellStyles count="2">
    <cellStyle name="常规" xfId="0" builtinId="0"/>
    <cellStyle name="常规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各地区歌手最终得分比较图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图表!$C$2</c:f>
              <c:strCache>
                <c:ptCount val="1"/>
                <c:pt idx="0">
                  <c:v>最终得分</c:v>
                </c:pt>
              </c:strCache>
            </c:strRef>
          </c:tx>
          <c:invertIfNegative val="0"/>
          <c:cat>
            <c:strRef>
              <c:f>图表!$A$3:$A$5</c:f>
              <c:strCache>
                <c:ptCount val="3"/>
                <c:pt idx="0">
                  <c:v>江苏</c:v>
                </c:pt>
                <c:pt idx="1">
                  <c:v>浙江</c:v>
                </c:pt>
                <c:pt idx="2">
                  <c:v>上海</c:v>
                </c:pt>
              </c:strCache>
            </c:strRef>
          </c:cat>
          <c:val>
            <c:numRef>
              <c:f>图表!$C$3:$C$5</c:f>
              <c:numCache>
                <c:formatCode>General</c:formatCode>
                <c:ptCount val="3"/>
                <c:pt idx="0">
                  <c:v>35.5</c:v>
                </c:pt>
                <c:pt idx="1">
                  <c:v>32.5</c:v>
                </c:pt>
                <c:pt idx="2">
                  <c:v>34.799999999999997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5735680"/>
        <c:axId val="65753856"/>
        <c:axId val="0"/>
      </c:bar3DChart>
      <c:catAx>
        <c:axId val="65735680"/>
        <c:scaling>
          <c:orientation val="minMax"/>
        </c:scaling>
        <c:delete val="0"/>
        <c:axPos val="b"/>
        <c:majorTickMark val="out"/>
        <c:minorTickMark val="none"/>
        <c:tickLblPos val="nextTo"/>
        <c:crossAx val="65753856"/>
        <c:crosses val="autoZero"/>
        <c:auto val="1"/>
        <c:lblAlgn val="ctr"/>
        <c:lblOffset val="100"/>
        <c:noMultiLvlLbl val="0"/>
      </c:catAx>
      <c:valAx>
        <c:axId val="65753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57356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6</xdr:row>
      <xdr:rowOff>19050</xdr:rowOff>
    </xdr:from>
    <xdr:to>
      <xdr:col>5</xdr:col>
      <xdr:colOff>323850</xdr:colOff>
      <xdr:row>21</xdr:row>
      <xdr:rowOff>47625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activeCell="E37" sqref="E37"/>
    </sheetView>
  </sheetViews>
  <sheetFormatPr defaultRowHeight="14.25" x14ac:dyDescent="0.15"/>
  <cols>
    <col min="11" max="11" width="9" style="4"/>
  </cols>
  <sheetData>
    <row r="1" spans="1:14" ht="26.1" customHeight="1" thickBot="1" x14ac:dyDescent="0.2">
      <c r="A1" s="5" t="s">
        <v>51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5" thickTop="1" x14ac:dyDescent="0.15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43</v>
      </c>
      <c r="I2" s="7" t="s">
        <v>44</v>
      </c>
      <c r="J2" s="7" t="s">
        <v>40</v>
      </c>
      <c r="K2" s="8" t="s">
        <v>41</v>
      </c>
      <c r="L2" s="7" t="s">
        <v>7</v>
      </c>
      <c r="M2" s="7" t="s">
        <v>8</v>
      </c>
      <c r="N2" s="9" t="s">
        <v>42</v>
      </c>
    </row>
    <row r="3" spans="1:14" x14ac:dyDescent="0.15">
      <c r="A3" s="10" t="s">
        <v>9</v>
      </c>
      <c r="B3" s="11" t="s">
        <v>45</v>
      </c>
      <c r="C3" s="11" t="s">
        <v>10</v>
      </c>
      <c r="D3" s="11">
        <v>8.9</v>
      </c>
      <c r="E3" s="11">
        <v>9.1</v>
      </c>
      <c r="F3" s="11">
        <v>8.5</v>
      </c>
      <c r="G3" s="11">
        <v>8.6999999999999993</v>
      </c>
      <c r="H3" s="11">
        <v>9</v>
      </c>
      <c r="I3" s="11">
        <v>8.9</v>
      </c>
      <c r="J3" s="12">
        <f>SUM(D3:I3)</f>
        <v>53.1</v>
      </c>
      <c r="K3" s="13">
        <f>AVERAGE(D3:I3)</f>
        <v>8.85</v>
      </c>
      <c r="L3" s="12">
        <f>MAX(D3:I3)</f>
        <v>9.1</v>
      </c>
      <c r="M3" s="12">
        <f>MIN(D3:I3)</f>
        <v>8.5</v>
      </c>
      <c r="N3" s="14">
        <f>J3-L3-M3</f>
        <v>35.5</v>
      </c>
    </row>
    <row r="4" spans="1:14" x14ac:dyDescent="0.15">
      <c r="A4" s="10" t="s">
        <v>11</v>
      </c>
      <c r="B4" s="11" t="s">
        <v>18</v>
      </c>
      <c r="C4" s="11" t="s">
        <v>10</v>
      </c>
      <c r="D4" s="11">
        <v>6.8</v>
      </c>
      <c r="E4" s="11">
        <v>7.5</v>
      </c>
      <c r="F4" s="11">
        <v>7</v>
      </c>
      <c r="G4" s="11">
        <v>7.2</v>
      </c>
      <c r="H4" s="11">
        <v>6.5</v>
      </c>
      <c r="I4" s="11">
        <v>9</v>
      </c>
      <c r="J4" s="12">
        <f t="shared" ref="J4:J24" si="0">SUM(D4:I4)</f>
        <v>44</v>
      </c>
      <c r="K4" s="13">
        <f t="shared" ref="K4:K24" si="1">AVERAGE(D4:I4)</f>
        <v>7.333333333333333</v>
      </c>
      <c r="L4" s="12">
        <f t="shared" ref="L4:L24" si="2">MAX(D4:I4)</f>
        <v>9</v>
      </c>
      <c r="M4" s="12">
        <f t="shared" ref="M4:M24" si="3">MIN(D4:I4)</f>
        <v>6.5</v>
      </c>
      <c r="N4" s="14">
        <f t="shared" ref="N4:N24" si="4">J4-L4-M4</f>
        <v>28.5</v>
      </c>
    </row>
    <row r="5" spans="1:14" x14ac:dyDescent="0.15">
      <c r="A5" s="10" t="s">
        <v>12</v>
      </c>
      <c r="B5" s="11" t="s">
        <v>46</v>
      </c>
      <c r="C5" s="11" t="s">
        <v>38</v>
      </c>
      <c r="D5" s="11">
        <v>8.9</v>
      </c>
      <c r="E5" s="11">
        <v>8.9</v>
      </c>
      <c r="F5" s="11">
        <v>9</v>
      </c>
      <c r="G5" s="11">
        <v>9.1</v>
      </c>
      <c r="H5" s="11">
        <v>8</v>
      </c>
      <c r="I5" s="11">
        <v>7.9</v>
      </c>
      <c r="J5" s="12">
        <f t="shared" si="0"/>
        <v>51.8</v>
      </c>
      <c r="K5" s="13">
        <f t="shared" si="1"/>
        <v>8.6333333333333329</v>
      </c>
      <c r="L5" s="12">
        <f t="shared" si="2"/>
        <v>9.1</v>
      </c>
      <c r="M5" s="12">
        <f t="shared" si="3"/>
        <v>7.9</v>
      </c>
      <c r="N5" s="14">
        <f t="shared" si="4"/>
        <v>34.799999999999997</v>
      </c>
    </row>
    <row r="6" spans="1:14" x14ac:dyDescent="0.15">
      <c r="A6" s="10" t="s">
        <v>13</v>
      </c>
      <c r="B6" s="11" t="s">
        <v>45</v>
      </c>
      <c r="C6" s="11" t="s">
        <v>10</v>
      </c>
      <c r="D6" s="11">
        <v>7.5</v>
      </c>
      <c r="E6" s="11">
        <v>7</v>
      </c>
      <c r="F6" s="11">
        <v>7.2</v>
      </c>
      <c r="G6" s="11">
        <v>6.9</v>
      </c>
      <c r="H6" s="11">
        <v>8.9</v>
      </c>
      <c r="I6" s="11">
        <v>6</v>
      </c>
      <c r="J6" s="12">
        <f t="shared" si="0"/>
        <v>43.5</v>
      </c>
      <c r="K6" s="13">
        <f t="shared" si="1"/>
        <v>7.25</v>
      </c>
      <c r="L6" s="12">
        <f t="shared" si="2"/>
        <v>8.9</v>
      </c>
      <c r="M6" s="12">
        <f t="shared" si="3"/>
        <v>6</v>
      </c>
      <c r="N6" s="14">
        <f t="shared" si="4"/>
        <v>28.6</v>
      </c>
    </row>
    <row r="7" spans="1:14" x14ac:dyDescent="0.15">
      <c r="A7" s="10" t="s">
        <v>14</v>
      </c>
      <c r="B7" s="11" t="s">
        <v>20</v>
      </c>
      <c r="C7" s="11" t="s">
        <v>10</v>
      </c>
      <c r="D7" s="11">
        <v>5.5</v>
      </c>
      <c r="E7" s="11">
        <v>6</v>
      </c>
      <c r="F7" s="11">
        <v>5</v>
      </c>
      <c r="G7" s="11">
        <v>5.6</v>
      </c>
      <c r="H7" s="11">
        <v>9</v>
      </c>
      <c r="I7" s="11">
        <v>9.1999999999999993</v>
      </c>
      <c r="J7" s="12">
        <f t="shared" si="0"/>
        <v>40.299999999999997</v>
      </c>
      <c r="K7" s="13">
        <f t="shared" si="1"/>
        <v>6.7166666666666659</v>
      </c>
      <c r="L7" s="12">
        <f t="shared" si="2"/>
        <v>9.1999999999999993</v>
      </c>
      <c r="M7" s="12">
        <f t="shared" si="3"/>
        <v>5</v>
      </c>
      <c r="N7" s="14">
        <f t="shared" si="4"/>
        <v>26.099999999999998</v>
      </c>
    </row>
    <row r="8" spans="1:14" x14ac:dyDescent="0.15">
      <c r="A8" s="10" t="s">
        <v>15</v>
      </c>
      <c r="B8" s="11" t="s">
        <v>20</v>
      </c>
      <c r="C8" s="11" t="s">
        <v>16</v>
      </c>
      <c r="D8" s="11">
        <v>9</v>
      </c>
      <c r="E8" s="11">
        <v>8.9</v>
      </c>
      <c r="F8" s="11">
        <v>8.9</v>
      </c>
      <c r="G8" s="11">
        <v>8.5</v>
      </c>
      <c r="H8" s="11">
        <v>8.4</v>
      </c>
      <c r="I8" s="11">
        <v>6.5</v>
      </c>
      <c r="J8" s="12">
        <f t="shared" si="0"/>
        <v>50.199999999999996</v>
      </c>
      <c r="K8" s="13">
        <f t="shared" si="1"/>
        <v>8.3666666666666654</v>
      </c>
      <c r="L8" s="12">
        <f t="shared" si="2"/>
        <v>9</v>
      </c>
      <c r="M8" s="12">
        <f t="shared" si="3"/>
        <v>6.5</v>
      </c>
      <c r="N8" s="14">
        <f t="shared" si="4"/>
        <v>34.699999999999996</v>
      </c>
    </row>
    <row r="9" spans="1:14" x14ac:dyDescent="0.15">
      <c r="A9" s="10" t="s">
        <v>17</v>
      </c>
      <c r="B9" s="11" t="s">
        <v>18</v>
      </c>
      <c r="C9" s="11" t="s">
        <v>16</v>
      </c>
      <c r="D9" s="11">
        <v>7.5</v>
      </c>
      <c r="E9" s="11">
        <v>8</v>
      </c>
      <c r="F9" s="11">
        <v>7.9</v>
      </c>
      <c r="G9" s="11">
        <v>7.6</v>
      </c>
      <c r="H9" s="11">
        <v>9</v>
      </c>
      <c r="I9" s="11">
        <v>9.1999999999999993</v>
      </c>
      <c r="J9" s="12">
        <f t="shared" si="0"/>
        <v>49.2</v>
      </c>
      <c r="K9" s="13">
        <f t="shared" si="1"/>
        <v>8.2000000000000011</v>
      </c>
      <c r="L9" s="12">
        <f t="shared" si="2"/>
        <v>9.1999999999999993</v>
      </c>
      <c r="M9" s="12">
        <f t="shared" si="3"/>
        <v>7.5</v>
      </c>
      <c r="N9" s="14">
        <f t="shared" si="4"/>
        <v>32.5</v>
      </c>
    </row>
    <row r="10" spans="1:14" x14ac:dyDescent="0.15">
      <c r="A10" s="10" t="s">
        <v>19</v>
      </c>
      <c r="B10" s="11" t="s">
        <v>20</v>
      </c>
      <c r="C10" s="11" t="s">
        <v>39</v>
      </c>
      <c r="D10" s="11">
        <v>9.1999999999999993</v>
      </c>
      <c r="E10" s="11">
        <v>9</v>
      </c>
      <c r="F10" s="11">
        <v>8.9</v>
      </c>
      <c r="G10" s="11">
        <v>9</v>
      </c>
      <c r="H10" s="11">
        <v>7.5</v>
      </c>
      <c r="I10" s="11">
        <v>6</v>
      </c>
      <c r="J10" s="12">
        <f t="shared" si="0"/>
        <v>49.6</v>
      </c>
      <c r="K10" s="13">
        <f t="shared" si="1"/>
        <v>8.2666666666666675</v>
      </c>
      <c r="L10" s="12">
        <f t="shared" si="2"/>
        <v>9.1999999999999993</v>
      </c>
      <c r="M10" s="12">
        <f t="shared" si="3"/>
        <v>6</v>
      </c>
      <c r="N10" s="14">
        <f t="shared" si="4"/>
        <v>34.400000000000006</v>
      </c>
    </row>
    <row r="11" spans="1:14" x14ac:dyDescent="0.15">
      <c r="A11" s="10" t="s">
        <v>21</v>
      </c>
      <c r="B11" s="11" t="s">
        <v>45</v>
      </c>
      <c r="C11" s="11" t="s">
        <v>37</v>
      </c>
      <c r="D11" s="11">
        <v>6</v>
      </c>
      <c r="E11" s="11">
        <v>5</v>
      </c>
      <c r="F11" s="11">
        <v>5</v>
      </c>
      <c r="G11" s="11">
        <v>6</v>
      </c>
      <c r="H11" s="11">
        <v>9.1999999999999993</v>
      </c>
      <c r="I11" s="11">
        <v>8.3000000000000007</v>
      </c>
      <c r="J11" s="12">
        <f t="shared" si="0"/>
        <v>39.5</v>
      </c>
      <c r="K11" s="13">
        <f t="shared" si="1"/>
        <v>6.583333333333333</v>
      </c>
      <c r="L11" s="12">
        <f t="shared" si="2"/>
        <v>9.1999999999999993</v>
      </c>
      <c r="M11" s="12">
        <f t="shared" si="3"/>
        <v>5</v>
      </c>
      <c r="N11" s="14">
        <f t="shared" si="4"/>
        <v>25.3</v>
      </c>
    </row>
    <row r="12" spans="1:14" x14ac:dyDescent="0.15">
      <c r="A12" s="10" t="s">
        <v>22</v>
      </c>
      <c r="B12" s="11" t="s">
        <v>35</v>
      </c>
      <c r="C12" s="11" t="s">
        <v>38</v>
      </c>
      <c r="D12" s="11">
        <v>8.3000000000000007</v>
      </c>
      <c r="E12" s="11">
        <v>5.5</v>
      </c>
      <c r="F12" s="11">
        <v>7.5</v>
      </c>
      <c r="G12" s="11">
        <v>8.9</v>
      </c>
      <c r="H12" s="11">
        <v>5.5</v>
      </c>
      <c r="I12" s="11">
        <v>6</v>
      </c>
      <c r="J12" s="12">
        <f t="shared" si="0"/>
        <v>41.7</v>
      </c>
      <c r="K12" s="13">
        <f t="shared" si="1"/>
        <v>6.95</v>
      </c>
      <c r="L12" s="12">
        <f t="shared" si="2"/>
        <v>8.9</v>
      </c>
      <c r="M12" s="12">
        <f t="shared" si="3"/>
        <v>5.5</v>
      </c>
      <c r="N12" s="14">
        <f t="shared" si="4"/>
        <v>27.300000000000004</v>
      </c>
    </row>
    <row r="13" spans="1:14" x14ac:dyDescent="0.15">
      <c r="A13" s="10" t="s">
        <v>23</v>
      </c>
      <c r="B13" s="11" t="s">
        <v>36</v>
      </c>
      <c r="C13" s="11" t="s">
        <v>39</v>
      </c>
      <c r="D13" s="11">
        <v>6.5</v>
      </c>
      <c r="E13" s="11">
        <v>9</v>
      </c>
      <c r="F13" s="11">
        <v>9.1999999999999993</v>
      </c>
      <c r="G13" s="11">
        <v>7</v>
      </c>
      <c r="H13" s="11">
        <v>9</v>
      </c>
      <c r="I13" s="11">
        <v>8.9</v>
      </c>
      <c r="J13" s="12">
        <f t="shared" si="0"/>
        <v>49.6</v>
      </c>
      <c r="K13" s="13">
        <f t="shared" si="1"/>
        <v>8.2666666666666675</v>
      </c>
      <c r="L13" s="12">
        <f t="shared" si="2"/>
        <v>9.1999999999999993</v>
      </c>
      <c r="M13" s="12">
        <f t="shared" si="3"/>
        <v>6.5</v>
      </c>
      <c r="N13" s="14">
        <f t="shared" si="4"/>
        <v>33.900000000000006</v>
      </c>
    </row>
    <row r="14" spans="1:14" x14ac:dyDescent="0.15">
      <c r="A14" s="10" t="s">
        <v>24</v>
      </c>
      <c r="B14" s="11" t="s">
        <v>18</v>
      </c>
      <c r="C14" s="11" t="s">
        <v>38</v>
      </c>
      <c r="D14" s="11">
        <v>9.1999999999999993</v>
      </c>
      <c r="E14" s="11">
        <v>7.5</v>
      </c>
      <c r="F14" s="11">
        <v>6</v>
      </c>
      <c r="G14" s="11">
        <v>6</v>
      </c>
      <c r="H14" s="11">
        <v>7.5</v>
      </c>
      <c r="I14" s="11">
        <v>8</v>
      </c>
      <c r="J14" s="12">
        <f t="shared" si="0"/>
        <v>44.2</v>
      </c>
      <c r="K14" s="13">
        <f t="shared" si="1"/>
        <v>7.3666666666666671</v>
      </c>
      <c r="L14" s="12">
        <f t="shared" si="2"/>
        <v>9.1999999999999993</v>
      </c>
      <c r="M14" s="12">
        <f t="shared" si="3"/>
        <v>6</v>
      </c>
      <c r="N14" s="14">
        <f t="shared" si="4"/>
        <v>29</v>
      </c>
    </row>
    <row r="15" spans="1:14" x14ac:dyDescent="0.15">
      <c r="A15" s="10" t="s">
        <v>25</v>
      </c>
      <c r="B15" s="11" t="s">
        <v>18</v>
      </c>
      <c r="C15" s="11" t="s">
        <v>39</v>
      </c>
      <c r="D15" s="11">
        <v>6.7</v>
      </c>
      <c r="E15" s="11">
        <v>9.1999999999999993</v>
      </c>
      <c r="F15" s="11">
        <v>8.3000000000000007</v>
      </c>
      <c r="G15" s="11">
        <v>8.9</v>
      </c>
      <c r="H15" s="11">
        <v>6.3</v>
      </c>
      <c r="I15" s="11">
        <v>6.5</v>
      </c>
      <c r="J15" s="12">
        <f t="shared" si="0"/>
        <v>45.9</v>
      </c>
      <c r="K15" s="13">
        <f t="shared" si="1"/>
        <v>7.6499999999999995</v>
      </c>
      <c r="L15" s="12">
        <f t="shared" si="2"/>
        <v>9.1999999999999993</v>
      </c>
      <c r="M15" s="12">
        <f t="shared" si="3"/>
        <v>6.3</v>
      </c>
      <c r="N15" s="14">
        <f t="shared" si="4"/>
        <v>30.400000000000002</v>
      </c>
    </row>
    <row r="16" spans="1:14" x14ac:dyDescent="0.15">
      <c r="A16" s="10" t="s">
        <v>26</v>
      </c>
      <c r="B16" s="11" t="s">
        <v>20</v>
      </c>
      <c r="C16" s="11" t="s">
        <v>39</v>
      </c>
      <c r="D16" s="11">
        <v>8.9</v>
      </c>
      <c r="E16" s="11">
        <v>6</v>
      </c>
      <c r="F16" s="11">
        <v>6.5</v>
      </c>
      <c r="G16" s="11">
        <v>8</v>
      </c>
      <c r="H16" s="11">
        <v>6.9</v>
      </c>
      <c r="I16" s="11">
        <v>9.1999999999999993</v>
      </c>
      <c r="J16" s="12">
        <f t="shared" si="0"/>
        <v>45.5</v>
      </c>
      <c r="K16" s="13">
        <f t="shared" si="1"/>
        <v>7.583333333333333</v>
      </c>
      <c r="L16" s="12">
        <f t="shared" si="2"/>
        <v>9.1999999999999993</v>
      </c>
      <c r="M16" s="12">
        <f t="shared" si="3"/>
        <v>6</v>
      </c>
      <c r="N16" s="14">
        <f t="shared" si="4"/>
        <v>30.299999999999997</v>
      </c>
    </row>
    <row r="17" spans="1:14" x14ac:dyDescent="0.15">
      <c r="A17" s="10" t="s">
        <v>27</v>
      </c>
      <c r="B17" s="11" t="s">
        <v>35</v>
      </c>
      <c r="C17" s="11" t="s">
        <v>39</v>
      </c>
      <c r="D17" s="11">
        <v>9.1</v>
      </c>
      <c r="E17" s="11">
        <v>8.3000000000000007</v>
      </c>
      <c r="F17" s="11">
        <v>7.8</v>
      </c>
      <c r="G17" s="11">
        <v>9.1999999999999993</v>
      </c>
      <c r="H17" s="11">
        <v>5.3</v>
      </c>
      <c r="I17" s="11">
        <v>6.7</v>
      </c>
      <c r="J17" s="12">
        <f t="shared" si="0"/>
        <v>46.4</v>
      </c>
      <c r="K17" s="13">
        <f t="shared" si="1"/>
        <v>7.7333333333333334</v>
      </c>
      <c r="L17" s="12">
        <f t="shared" si="2"/>
        <v>9.1999999999999993</v>
      </c>
      <c r="M17" s="12">
        <f t="shared" si="3"/>
        <v>5.3</v>
      </c>
      <c r="N17" s="14">
        <f t="shared" si="4"/>
        <v>31.900000000000002</v>
      </c>
    </row>
    <row r="18" spans="1:14" x14ac:dyDescent="0.15">
      <c r="A18" s="10" t="s">
        <v>28</v>
      </c>
      <c r="B18" s="11" t="s">
        <v>45</v>
      </c>
      <c r="C18" s="11" t="s">
        <v>38</v>
      </c>
      <c r="D18" s="11">
        <v>6.3</v>
      </c>
      <c r="E18" s="11">
        <v>6.5</v>
      </c>
      <c r="F18" s="11">
        <v>6.1</v>
      </c>
      <c r="G18" s="11">
        <v>6</v>
      </c>
      <c r="H18" s="11">
        <v>7.8</v>
      </c>
      <c r="I18" s="11">
        <v>8.9</v>
      </c>
      <c r="J18" s="12">
        <f t="shared" si="0"/>
        <v>41.599999999999994</v>
      </c>
      <c r="K18" s="13">
        <f t="shared" si="1"/>
        <v>6.9333333333333327</v>
      </c>
      <c r="L18" s="12">
        <f t="shared" si="2"/>
        <v>8.9</v>
      </c>
      <c r="M18" s="12">
        <f t="shared" si="3"/>
        <v>6</v>
      </c>
      <c r="N18" s="14">
        <f t="shared" si="4"/>
        <v>26.699999999999996</v>
      </c>
    </row>
    <row r="19" spans="1:14" x14ac:dyDescent="0.15">
      <c r="A19" s="10" t="s">
        <v>29</v>
      </c>
      <c r="B19" s="11" t="s">
        <v>20</v>
      </c>
      <c r="C19" s="11" t="s">
        <v>38</v>
      </c>
      <c r="D19" s="11">
        <v>6.9</v>
      </c>
      <c r="E19" s="11">
        <v>9.1999999999999993</v>
      </c>
      <c r="F19" s="11">
        <v>9</v>
      </c>
      <c r="G19" s="11">
        <v>8.3000000000000007</v>
      </c>
      <c r="H19" s="11">
        <v>6.1</v>
      </c>
      <c r="I19" s="11">
        <v>7.5</v>
      </c>
      <c r="J19" s="12">
        <f t="shared" si="0"/>
        <v>47.000000000000007</v>
      </c>
      <c r="K19" s="13">
        <f t="shared" si="1"/>
        <v>7.8333333333333348</v>
      </c>
      <c r="L19" s="12">
        <f t="shared" si="2"/>
        <v>9.1999999999999993</v>
      </c>
      <c r="M19" s="12">
        <f t="shared" si="3"/>
        <v>6.1</v>
      </c>
      <c r="N19" s="14">
        <f t="shared" si="4"/>
        <v>31.70000000000001</v>
      </c>
    </row>
    <row r="20" spans="1:14" x14ac:dyDescent="0.15">
      <c r="A20" s="10" t="s">
        <v>30</v>
      </c>
      <c r="B20" s="11" t="s">
        <v>18</v>
      </c>
      <c r="C20" s="11" t="s">
        <v>39</v>
      </c>
      <c r="D20" s="11">
        <v>5.3</v>
      </c>
      <c r="E20" s="11">
        <v>6.7</v>
      </c>
      <c r="F20" s="11">
        <v>8.4</v>
      </c>
      <c r="G20" s="11">
        <v>6.5</v>
      </c>
      <c r="H20" s="11">
        <v>9</v>
      </c>
      <c r="I20" s="11">
        <v>6.9</v>
      </c>
      <c r="J20" s="12">
        <f t="shared" si="0"/>
        <v>42.8</v>
      </c>
      <c r="K20" s="13">
        <f t="shared" si="1"/>
        <v>7.1333333333333329</v>
      </c>
      <c r="L20" s="12">
        <f t="shared" si="2"/>
        <v>9</v>
      </c>
      <c r="M20" s="12">
        <f t="shared" si="3"/>
        <v>5.3</v>
      </c>
      <c r="N20" s="14">
        <f t="shared" si="4"/>
        <v>28.499999999999996</v>
      </c>
    </row>
    <row r="21" spans="1:14" x14ac:dyDescent="0.15">
      <c r="A21" s="10" t="s">
        <v>31</v>
      </c>
      <c r="B21" s="11" t="s">
        <v>20</v>
      </c>
      <c r="C21" s="11" t="s">
        <v>39</v>
      </c>
      <c r="D21" s="11">
        <v>7.8</v>
      </c>
      <c r="E21" s="11">
        <v>8.9</v>
      </c>
      <c r="F21" s="11">
        <v>6</v>
      </c>
      <c r="G21" s="11">
        <v>9</v>
      </c>
      <c r="H21" s="11">
        <v>8.9</v>
      </c>
      <c r="I21" s="11">
        <v>8.5</v>
      </c>
      <c r="J21" s="12">
        <f t="shared" si="0"/>
        <v>49.1</v>
      </c>
      <c r="K21" s="13">
        <f t="shared" si="1"/>
        <v>8.1833333333333336</v>
      </c>
      <c r="L21" s="12">
        <f t="shared" si="2"/>
        <v>9</v>
      </c>
      <c r="M21" s="12">
        <f t="shared" si="3"/>
        <v>6</v>
      </c>
      <c r="N21" s="14">
        <f t="shared" si="4"/>
        <v>34.1</v>
      </c>
    </row>
    <row r="22" spans="1:14" x14ac:dyDescent="0.15">
      <c r="A22" s="10" t="s">
        <v>32</v>
      </c>
      <c r="B22" s="11" t="s">
        <v>45</v>
      </c>
      <c r="C22" s="11" t="s">
        <v>38</v>
      </c>
      <c r="D22" s="11">
        <v>6.1</v>
      </c>
      <c r="E22" s="11">
        <v>7.5</v>
      </c>
      <c r="F22" s="11">
        <v>8.3000000000000007</v>
      </c>
      <c r="G22" s="11">
        <v>5</v>
      </c>
      <c r="H22" s="11">
        <v>7.9</v>
      </c>
      <c r="I22" s="11">
        <v>7.6</v>
      </c>
      <c r="J22" s="12">
        <f t="shared" si="0"/>
        <v>42.4</v>
      </c>
      <c r="K22" s="13">
        <f t="shared" si="1"/>
        <v>7.0666666666666664</v>
      </c>
      <c r="L22" s="12">
        <f t="shared" si="2"/>
        <v>8.3000000000000007</v>
      </c>
      <c r="M22" s="12">
        <f t="shared" si="3"/>
        <v>5</v>
      </c>
      <c r="N22" s="14">
        <f t="shared" si="4"/>
        <v>29.099999999999994</v>
      </c>
    </row>
    <row r="23" spans="1:14" x14ac:dyDescent="0.15">
      <c r="A23" s="10" t="s">
        <v>33</v>
      </c>
      <c r="B23" s="11" t="s">
        <v>18</v>
      </c>
      <c r="C23" s="11" t="s">
        <v>39</v>
      </c>
      <c r="D23" s="11">
        <v>9</v>
      </c>
      <c r="E23" s="11">
        <v>6.9</v>
      </c>
      <c r="F23" s="11">
        <v>6.5</v>
      </c>
      <c r="G23" s="11">
        <v>5.5</v>
      </c>
      <c r="H23" s="11">
        <v>8.9</v>
      </c>
      <c r="I23" s="11">
        <v>9</v>
      </c>
      <c r="J23" s="12">
        <f t="shared" si="0"/>
        <v>45.8</v>
      </c>
      <c r="K23" s="13">
        <f t="shared" si="1"/>
        <v>7.6333333333333329</v>
      </c>
      <c r="L23" s="12">
        <f t="shared" si="2"/>
        <v>9</v>
      </c>
      <c r="M23" s="12">
        <f t="shared" si="3"/>
        <v>5.5</v>
      </c>
      <c r="N23" s="14">
        <f t="shared" si="4"/>
        <v>31.299999999999997</v>
      </c>
    </row>
    <row r="24" spans="1:14" ht="15" thickBot="1" x14ac:dyDescent="0.2">
      <c r="A24" s="15" t="s">
        <v>34</v>
      </c>
      <c r="B24" s="16" t="s">
        <v>35</v>
      </c>
      <c r="C24" s="16" t="s">
        <v>38</v>
      </c>
      <c r="D24" s="16">
        <v>8.4</v>
      </c>
      <c r="E24" s="16">
        <v>5.3</v>
      </c>
      <c r="F24" s="16">
        <v>9.1999999999999993</v>
      </c>
      <c r="G24" s="16">
        <v>9</v>
      </c>
      <c r="H24" s="16">
        <v>6.7</v>
      </c>
      <c r="I24" s="16">
        <v>9.1999999999999993</v>
      </c>
      <c r="J24" s="17">
        <f t="shared" si="0"/>
        <v>47.8</v>
      </c>
      <c r="K24" s="18">
        <f t="shared" si="1"/>
        <v>7.9666666666666659</v>
      </c>
      <c r="L24" s="17">
        <f t="shared" si="2"/>
        <v>9.1999999999999993</v>
      </c>
      <c r="M24" s="17">
        <f t="shared" si="3"/>
        <v>5.3</v>
      </c>
      <c r="N24" s="19">
        <f t="shared" si="4"/>
        <v>33.299999999999997</v>
      </c>
    </row>
    <row r="25" spans="1:14" ht="15" thickTop="1" x14ac:dyDescent="0.15"/>
  </sheetData>
  <mergeCells count="1">
    <mergeCell ref="A1:N1"/>
  </mergeCells>
  <phoneticPr fontId="3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>
      <selection activeCell="F20" sqref="F20"/>
    </sheetView>
  </sheetViews>
  <sheetFormatPr defaultRowHeight="14.25" x14ac:dyDescent="0.15"/>
  <sheetData>
    <row r="1" spans="1:16" x14ac:dyDescent="0.15">
      <c r="A1" t="s">
        <v>50</v>
      </c>
    </row>
    <row r="2" spans="1:16" x14ac:dyDescent="0.15">
      <c r="A2" t="s">
        <v>52</v>
      </c>
      <c r="B2" t="s">
        <v>53</v>
      </c>
      <c r="C2" t="s">
        <v>54</v>
      </c>
      <c r="D2" t="s">
        <v>91</v>
      </c>
      <c r="E2" t="s">
        <v>55</v>
      </c>
      <c r="F2" t="s">
        <v>56</v>
      </c>
      <c r="G2" t="s">
        <v>57</v>
      </c>
      <c r="H2" t="s">
        <v>58</v>
      </c>
      <c r="I2" t="s">
        <v>43</v>
      </c>
      <c r="J2" t="s">
        <v>44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92</v>
      </c>
    </row>
    <row r="3" spans="1:16" x14ac:dyDescent="0.15">
      <c r="A3" t="s">
        <v>64</v>
      </c>
      <c r="B3" t="s">
        <v>65</v>
      </c>
      <c r="C3" t="s">
        <v>66</v>
      </c>
      <c r="D3" t="str">
        <f>IF(C3="男","F","M")</f>
        <v>M</v>
      </c>
      <c r="E3">
        <v>8.9</v>
      </c>
      <c r="F3">
        <v>9.1</v>
      </c>
      <c r="G3">
        <v>8.5</v>
      </c>
      <c r="H3">
        <v>8.6999999999999993</v>
      </c>
      <c r="I3">
        <v>9</v>
      </c>
      <c r="J3">
        <v>8.9</v>
      </c>
      <c r="K3">
        <v>53.1</v>
      </c>
      <c r="L3">
        <v>8.85</v>
      </c>
      <c r="M3">
        <v>9.1</v>
      </c>
      <c r="N3">
        <v>8.5</v>
      </c>
      <c r="O3">
        <v>35.5</v>
      </c>
      <c r="P3">
        <f>RANK(O3,$O$3:$O$24)</f>
        <v>1</v>
      </c>
    </row>
    <row r="4" spans="1:16" x14ac:dyDescent="0.15">
      <c r="A4" t="s">
        <v>67</v>
      </c>
      <c r="B4" t="s">
        <v>68</v>
      </c>
      <c r="C4" t="s">
        <v>66</v>
      </c>
      <c r="D4" t="str">
        <f t="shared" ref="D4:D24" si="0">IF(C4="男","F","M")</f>
        <v>M</v>
      </c>
      <c r="E4">
        <v>6.8</v>
      </c>
      <c r="F4">
        <v>7.5</v>
      </c>
      <c r="G4">
        <v>7</v>
      </c>
      <c r="H4">
        <v>7.2</v>
      </c>
      <c r="I4">
        <v>6.5</v>
      </c>
      <c r="J4">
        <v>9</v>
      </c>
      <c r="K4">
        <v>44</v>
      </c>
      <c r="L4">
        <v>7.333333333333333</v>
      </c>
      <c r="M4">
        <v>9</v>
      </c>
      <c r="N4">
        <v>6.5</v>
      </c>
      <c r="O4">
        <v>28.5</v>
      </c>
      <c r="P4">
        <f t="shared" ref="P4:P24" si="1">RANK(O4,$O$3:$O$24)</f>
        <v>17</v>
      </c>
    </row>
    <row r="5" spans="1:16" x14ac:dyDescent="0.15">
      <c r="A5" t="s">
        <v>69</v>
      </c>
      <c r="B5" t="s">
        <v>70</v>
      </c>
      <c r="C5" t="s">
        <v>71</v>
      </c>
      <c r="D5" t="str">
        <f t="shared" si="0"/>
        <v>F</v>
      </c>
      <c r="E5">
        <v>8.9</v>
      </c>
      <c r="F5">
        <v>8.9</v>
      </c>
      <c r="G5">
        <v>9</v>
      </c>
      <c r="H5">
        <v>9.1</v>
      </c>
      <c r="I5">
        <v>8</v>
      </c>
      <c r="J5">
        <v>7.9</v>
      </c>
      <c r="K5">
        <v>51.8</v>
      </c>
      <c r="L5">
        <v>8.6333333333333329</v>
      </c>
      <c r="M5">
        <v>9.1</v>
      </c>
      <c r="N5">
        <v>7.9</v>
      </c>
      <c r="O5">
        <v>34.799999999999997</v>
      </c>
      <c r="P5">
        <f t="shared" si="1"/>
        <v>2</v>
      </c>
    </row>
    <row r="6" spans="1:16" x14ac:dyDescent="0.15">
      <c r="A6" t="s">
        <v>72</v>
      </c>
      <c r="B6" t="s">
        <v>65</v>
      </c>
      <c r="C6" t="s">
        <v>66</v>
      </c>
      <c r="D6" t="str">
        <f t="shared" si="0"/>
        <v>M</v>
      </c>
      <c r="E6">
        <v>7.5</v>
      </c>
      <c r="F6">
        <v>7</v>
      </c>
      <c r="G6">
        <v>7.2</v>
      </c>
      <c r="H6">
        <v>6.9</v>
      </c>
      <c r="I6">
        <v>8.9</v>
      </c>
      <c r="J6">
        <v>6</v>
      </c>
      <c r="K6">
        <v>43.5</v>
      </c>
      <c r="L6">
        <v>7.25</v>
      </c>
      <c r="M6">
        <v>8.9</v>
      </c>
      <c r="N6">
        <v>6</v>
      </c>
      <c r="O6">
        <v>28.6</v>
      </c>
      <c r="P6">
        <f t="shared" si="1"/>
        <v>16</v>
      </c>
    </row>
    <row r="7" spans="1:16" x14ac:dyDescent="0.15">
      <c r="A7" t="s">
        <v>73</v>
      </c>
      <c r="B7" t="s">
        <v>70</v>
      </c>
      <c r="C7" t="s">
        <v>66</v>
      </c>
      <c r="D7" t="str">
        <f t="shared" si="0"/>
        <v>M</v>
      </c>
      <c r="E7">
        <v>5.5</v>
      </c>
      <c r="F7">
        <v>6</v>
      </c>
      <c r="G7">
        <v>5</v>
      </c>
      <c r="H7">
        <v>5.6</v>
      </c>
      <c r="I7">
        <v>9</v>
      </c>
      <c r="J7">
        <v>9.1999999999999993</v>
      </c>
      <c r="K7">
        <v>40.299999999999997</v>
      </c>
      <c r="L7">
        <v>6.7166666666666659</v>
      </c>
      <c r="M7">
        <v>9.1999999999999993</v>
      </c>
      <c r="N7">
        <v>5</v>
      </c>
      <c r="O7">
        <v>26.099999999999998</v>
      </c>
      <c r="P7">
        <f t="shared" si="1"/>
        <v>21</v>
      </c>
    </row>
    <row r="8" spans="1:16" x14ac:dyDescent="0.15">
      <c r="A8" t="s">
        <v>74</v>
      </c>
      <c r="B8" t="s">
        <v>70</v>
      </c>
      <c r="C8" t="s">
        <v>71</v>
      </c>
      <c r="D8" t="str">
        <f t="shared" si="0"/>
        <v>F</v>
      </c>
      <c r="E8">
        <v>9</v>
      </c>
      <c r="F8">
        <v>8.9</v>
      </c>
      <c r="G8">
        <v>8.9</v>
      </c>
      <c r="H8">
        <v>8.5</v>
      </c>
      <c r="I8">
        <v>8.4</v>
      </c>
      <c r="J8">
        <v>6.5</v>
      </c>
      <c r="K8">
        <v>50.199999999999996</v>
      </c>
      <c r="L8">
        <v>8.3666666666666654</v>
      </c>
      <c r="M8">
        <v>9</v>
      </c>
      <c r="N8">
        <v>6.5</v>
      </c>
      <c r="O8">
        <v>34.699999999999996</v>
      </c>
      <c r="P8">
        <f t="shared" si="1"/>
        <v>3</v>
      </c>
    </row>
    <row r="9" spans="1:16" x14ac:dyDescent="0.15">
      <c r="A9" t="s">
        <v>75</v>
      </c>
      <c r="B9" t="s">
        <v>68</v>
      </c>
      <c r="C9" t="s">
        <v>71</v>
      </c>
      <c r="D9" t="str">
        <f t="shared" si="0"/>
        <v>F</v>
      </c>
      <c r="E9">
        <v>7.5</v>
      </c>
      <c r="F9">
        <v>8</v>
      </c>
      <c r="G9">
        <v>7.9</v>
      </c>
      <c r="H9">
        <v>7.6</v>
      </c>
      <c r="I9">
        <v>9</v>
      </c>
      <c r="J9">
        <v>9.1999999999999993</v>
      </c>
      <c r="K9">
        <v>49.2</v>
      </c>
      <c r="L9">
        <v>8.2000000000000011</v>
      </c>
      <c r="M9">
        <v>9.1999999999999993</v>
      </c>
      <c r="N9">
        <v>7.5</v>
      </c>
      <c r="O9">
        <v>32.5</v>
      </c>
      <c r="P9">
        <f t="shared" si="1"/>
        <v>8</v>
      </c>
    </row>
    <row r="10" spans="1:16" x14ac:dyDescent="0.15">
      <c r="A10" t="s">
        <v>76</v>
      </c>
      <c r="B10" t="s">
        <v>70</v>
      </c>
      <c r="C10" t="s">
        <v>66</v>
      </c>
      <c r="D10" t="str">
        <f t="shared" si="0"/>
        <v>M</v>
      </c>
      <c r="E10">
        <v>9.1999999999999993</v>
      </c>
      <c r="F10">
        <v>9</v>
      </c>
      <c r="G10">
        <v>8.9</v>
      </c>
      <c r="H10">
        <v>9</v>
      </c>
      <c r="I10">
        <v>7.5</v>
      </c>
      <c r="J10">
        <v>6</v>
      </c>
      <c r="K10">
        <v>49.6</v>
      </c>
      <c r="L10">
        <v>8.2666666666666675</v>
      </c>
      <c r="M10">
        <v>9.1999999999999993</v>
      </c>
      <c r="N10">
        <v>6</v>
      </c>
      <c r="O10">
        <v>34.400000000000006</v>
      </c>
      <c r="P10">
        <f t="shared" si="1"/>
        <v>4</v>
      </c>
    </row>
    <row r="11" spans="1:16" x14ac:dyDescent="0.15">
      <c r="A11" t="s">
        <v>77</v>
      </c>
      <c r="B11" t="s">
        <v>65</v>
      </c>
      <c r="C11" t="s">
        <v>66</v>
      </c>
      <c r="D11" t="str">
        <f t="shared" si="0"/>
        <v>M</v>
      </c>
      <c r="E11">
        <v>6</v>
      </c>
      <c r="F11">
        <v>5</v>
      </c>
      <c r="G11">
        <v>5</v>
      </c>
      <c r="H11">
        <v>6</v>
      </c>
      <c r="I11">
        <v>9.1999999999999993</v>
      </c>
      <c r="J11">
        <v>8.3000000000000007</v>
      </c>
      <c r="K11">
        <v>39.5</v>
      </c>
      <c r="L11">
        <v>6.583333333333333</v>
      </c>
      <c r="M11">
        <v>9.1999999999999993</v>
      </c>
      <c r="N11">
        <v>5</v>
      </c>
      <c r="O11">
        <v>25.3</v>
      </c>
      <c r="P11">
        <f t="shared" si="1"/>
        <v>22</v>
      </c>
    </row>
    <row r="12" spans="1:16" x14ac:dyDescent="0.15">
      <c r="A12" t="s">
        <v>78</v>
      </c>
      <c r="B12" t="s">
        <v>65</v>
      </c>
      <c r="C12" t="s">
        <v>71</v>
      </c>
      <c r="D12" t="str">
        <f t="shared" si="0"/>
        <v>F</v>
      </c>
      <c r="E12">
        <v>8.3000000000000007</v>
      </c>
      <c r="F12">
        <v>5.5</v>
      </c>
      <c r="G12">
        <v>7.5</v>
      </c>
      <c r="H12">
        <v>8.9</v>
      </c>
      <c r="I12">
        <v>5.5</v>
      </c>
      <c r="J12">
        <v>6</v>
      </c>
      <c r="K12">
        <v>41.7</v>
      </c>
      <c r="L12">
        <v>6.95</v>
      </c>
      <c r="M12">
        <v>8.9</v>
      </c>
      <c r="N12">
        <v>5.5</v>
      </c>
      <c r="O12">
        <v>27.300000000000004</v>
      </c>
      <c r="P12">
        <f t="shared" si="1"/>
        <v>19</v>
      </c>
    </row>
    <row r="13" spans="1:16" x14ac:dyDescent="0.15">
      <c r="A13" t="s">
        <v>79</v>
      </c>
      <c r="B13" t="s">
        <v>70</v>
      </c>
      <c r="C13" t="s">
        <v>66</v>
      </c>
      <c r="D13" t="str">
        <f t="shared" si="0"/>
        <v>M</v>
      </c>
      <c r="E13">
        <v>6.5</v>
      </c>
      <c r="F13">
        <v>9</v>
      </c>
      <c r="G13">
        <v>9.1999999999999993</v>
      </c>
      <c r="H13">
        <v>7</v>
      </c>
      <c r="I13">
        <v>9</v>
      </c>
      <c r="J13">
        <v>8.9</v>
      </c>
      <c r="K13">
        <v>49.6</v>
      </c>
      <c r="L13">
        <v>8.2666666666666675</v>
      </c>
      <c r="M13">
        <v>9.1999999999999993</v>
      </c>
      <c r="N13">
        <v>6.5</v>
      </c>
      <c r="O13">
        <v>33.900000000000006</v>
      </c>
      <c r="P13">
        <f t="shared" si="1"/>
        <v>6</v>
      </c>
    </row>
    <row r="14" spans="1:16" x14ac:dyDescent="0.15">
      <c r="A14" t="s">
        <v>80</v>
      </c>
      <c r="B14" t="s">
        <v>68</v>
      </c>
      <c r="C14" t="s">
        <v>71</v>
      </c>
      <c r="D14" t="str">
        <f t="shared" si="0"/>
        <v>F</v>
      </c>
      <c r="E14">
        <v>9.1999999999999993</v>
      </c>
      <c r="F14">
        <v>7.5</v>
      </c>
      <c r="G14">
        <v>6</v>
      </c>
      <c r="H14">
        <v>6</v>
      </c>
      <c r="I14">
        <v>7.5</v>
      </c>
      <c r="J14">
        <v>8</v>
      </c>
      <c r="K14">
        <v>44.2</v>
      </c>
      <c r="L14">
        <v>7.3666666666666671</v>
      </c>
      <c r="M14">
        <v>9.1999999999999993</v>
      </c>
      <c r="N14">
        <v>6</v>
      </c>
      <c r="O14">
        <v>29</v>
      </c>
      <c r="P14">
        <f t="shared" si="1"/>
        <v>15</v>
      </c>
    </row>
    <row r="15" spans="1:16" x14ac:dyDescent="0.15">
      <c r="A15" t="s">
        <v>81</v>
      </c>
      <c r="B15" t="s">
        <v>68</v>
      </c>
      <c r="C15" t="s">
        <v>66</v>
      </c>
      <c r="D15" t="str">
        <f t="shared" si="0"/>
        <v>M</v>
      </c>
      <c r="E15">
        <v>6.7</v>
      </c>
      <c r="F15">
        <v>9.1999999999999993</v>
      </c>
      <c r="G15">
        <v>8.3000000000000007</v>
      </c>
      <c r="H15">
        <v>8.9</v>
      </c>
      <c r="I15">
        <v>6.3</v>
      </c>
      <c r="J15">
        <v>6.5</v>
      </c>
      <c r="K15">
        <v>45.9</v>
      </c>
      <c r="L15">
        <v>7.6499999999999995</v>
      </c>
      <c r="M15">
        <v>9.1999999999999993</v>
      </c>
      <c r="N15">
        <v>6.3</v>
      </c>
      <c r="O15">
        <v>30.400000000000002</v>
      </c>
      <c r="P15">
        <f t="shared" si="1"/>
        <v>12</v>
      </c>
    </row>
    <row r="16" spans="1:16" x14ac:dyDescent="0.15">
      <c r="A16" t="s">
        <v>82</v>
      </c>
      <c r="B16" t="s">
        <v>70</v>
      </c>
      <c r="C16" t="s">
        <v>66</v>
      </c>
      <c r="D16" t="str">
        <f t="shared" si="0"/>
        <v>M</v>
      </c>
      <c r="E16">
        <v>8.9</v>
      </c>
      <c r="F16">
        <v>6</v>
      </c>
      <c r="G16">
        <v>6.5</v>
      </c>
      <c r="H16">
        <v>8</v>
      </c>
      <c r="I16">
        <v>6.9</v>
      </c>
      <c r="J16">
        <v>9.1999999999999993</v>
      </c>
      <c r="K16">
        <v>45.5</v>
      </c>
      <c r="L16">
        <v>7.583333333333333</v>
      </c>
      <c r="M16">
        <v>9.1999999999999993</v>
      </c>
      <c r="N16">
        <v>6</v>
      </c>
      <c r="O16">
        <v>30.299999999999997</v>
      </c>
      <c r="P16">
        <f t="shared" si="1"/>
        <v>13</v>
      </c>
    </row>
    <row r="17" spans="1:16" x14ac:dyDescent="0.15">
      <c r="A17" t="s">
        <v>83</v>
      </c>
      <c r="B17" t="s">
        <v>65</v>
      </c>
      <c r="C17" t="s">
        <v>66</v>
      </c>
      <c r="D17" t="str">
        <f t="shared" si="0"/>
        <v>M</v>
      </c>
      <c r="E17">
        <v>9.1</v>
      </c>
      <c r="F17">
        <v>8.3000000000000007</v>
      </c>
      <c r="G17">
        <v>7.8</v>
      </c>
      <c r="H17">
        <v>9.1999999999999993</v>
      </c>
      <c r="I17">
        <v>5.3</v>
      </c>
      <c r="J17">
        <v>6.7</v>
      </c>
      <c r="K17">
        <v>46.4</v>
      </c>
      <c r="L17">
        <v>7.7333333333333334</v>
      </c>
      <c r="M17">
        <v>9.1999999999999993</v>
      </c>
      <c r="N17">
        <v>5.3</v>
      </c>
      <c r="O17">
        <v>31.900000000000002</v>
      </c>
      <c r="P17">
        <f t="shared" si="1"/>
        <v>9</v>
      </c>
    </row>
    <row r="18" spans="1:16" x14ac:dyDescent="0.15">
      <c r="A18" t="s">
        <v>84</v>
      </c>
      <c r="B18" t="s">
        <v>65</v>
      </c>
      <c r="C18" t="s">
        <v>71</v>
      </c>
      <c r="D18" t="str">
        <f t="shared" si="0"/>
        <v>F</v>
      </c>
      <c r="E18">
        <v>6.3</v>
      </c>
      <c r="F18">
        <v>6.5</v>
      </c>
      <c r="G18">
        <v>6.1</v>
      </c>
      <c r="H18">
        <v>6</v>
      </c>
      <c r="I18">
        <v>7.8</v>
      </c>
      <c r="J18">
        <v>8.9</v>
      </c>
      <c r="K18">
        <v>41.599999999999994</v>
      </c>
      <c r="L18">
        <v>6.9333333333333327</v>
      </c>
      <c r="M18">
        <v>8.9</v>
      </c>
      <c r="N18">
        <v>6</v>
      </c>
      <c r="O18">
        <v>26.699999999999996</v>
      </c>
      <c r="P18">
        <f t="shared" si="1"/>
        <v>20</v>
      </c>
    </row>
    <row r="19" spans="1:16" x14ac:dyDescent="0.15">
      <c r="A19" t="s">
        <v>85</v>
      </c>
      <c r="B19" t="s">
        <v>70</v>
      </c>
      <c r="C19" t="s">
        <v>71</v>
      </c>
      <c r="D19" t="str">
        <f t="shared" si="0"/>
        <v>F</v>
      </c>
      <c r="E19">
        <v>6.9</v>
      </c>
      <c r="F19">
        <v>9.1999999999999993</v>
      </c>
      <c r="G19">
        <v>9</v>
      </c>
      <c r="H19">
        <v>8.3000000000000007</v>
      </c>
      <c r="I19">
        <v>6.1</v>
      </c>
      <c r="J19">
        <v>7.5</v>
      </c>
      <c r="K19">
        <v>47.000000000000007</v>
      </c>
      <c r="L19">
        <v>7.8333333333333348</v>
      </c>
      <c r="M19">
        <v>9.1999999999999993</v>
      </c>
      <c r="N19">
        <v>6.1</v>
      </c>
      <c r="O19">
        <v>31.70000000000001</v>
      </c>
      <c r="P19">
        <f t="shared" si="1"/>
        <v>10</v>
      </c>
    </row>
    <row r="20" spans="1:16" x14ac:dyDescent="0.15">
      <c r="A20" t="s">
        <v>86</v>
      </c>
      <c r="B20" t="s">
        <v>68</v>
      </c>
      <c r="C20" t="s">
        <v>66</v>
      </c>
      <c r="D20" t="str">
        <f t="shared" si="0"/>
        <v>M</v>
      </c>
      <c r="E20">
        <v>5.3</v>
      </c>
      <c r="F20">
        <v>6.7</v>
      </c>
      <c r="G20">
        <v>8.4</v>
      </c>
      <c r="H20">
        <v>6.5</v>
      </c>
      <c r="I20">
        <v>9</v>
      </c>
      <c r="J20">
        <v>6.9</v>
      </c>
      <c r="K20">
        <v>42.8</v>
      </c>
      <c r="L20">
        <v>7.1333333333333329</v>
      </c>
      <c r="M20">
        <v>9</v>
      </c>
      <c r="N20">
        <v>5.3</v>
      </c>
      <c r="O20">
        <v>28.499999999999996</v>
      </c>
      <c r="P20">
        <f t="shared" si="1"/>
        <v>18</v>
      </c>
    </row>
    <row r="21" spans="1:16" x14ac:dyDescent="0.15">
      <c r="A21" t="s">
        <v>87</v>
      </c>
      <c r="B21" t="s">
        <v>70</v>
      </c>
      <c r="C21" t="s">
        <v>66</v>
      </c>
      <c r="D21" t="str">
        <f t="shared" si="0"/>
        <v>M</v>
      </c>
      <c r="E21">
        <v>7.8</v>
      </c>
      <c r="F21">
        <v>8.9</v>
      </c>
      <c r="G21">
        <v>6</v>
      </c>
      <c r="H21">
        <v>9</v>
      </c>
      <c r="I21">
        <v>8.9</v>
      </c>
      <c r="J21">
        <v>8.5</v>
      </c>
      <c r="K21">
        <v>49.1</v>
      </c>
      <c r="L21">
        <v>8.1833333333333336</v>
      </c>
      <c r="M21">
        <v>9</v>
      </c>
      <c r="N21">
        <v>6</v>
      </c>
      <c r="O21">
        <v>34.1</v>
      </c>
      <c r="P21">
        <f t="shared" si="1"/>
        <v>5</v>
      </c>
    </row>
    <row r="22" spans="1:16" x14ac:dyDescent="0.15">
      <c r="A22" t="s">
        <v>88</v>
      </c>
      <c r="B22" t="s">
        <v>65</v>
      </c>
      <c r="C22" t="s">
        <v>71</v>
      </c>
      <c r="D22" t="str">
        <f t="shared" si="0"/>
        <v>F</v>
      </c>
      <c r="E22">
        <v>6.1</v>
      </c>
      <c r="F22">
        <v>7.5</v>
      </c>
      <c r="G22">
        <v>8.3000000000000007</v>
      </c>
      <c r="H22">
        <v>5</v>
      </c>
      <c r="I22">
        <v>7.9</v>
      </c>
      <c r="J22">
        <v>7.6</v>
      </c>
      <c r="K22">
        <v>42.4</v>
      </c>
      <c r="L22">
        <v>7.0666666666666664</v>
      </c>
      <c r="M22">
        <v>8.3000000000000007</v>
      </c>
      <c r="N22">
        <v>5</v>
      </c>
      <c r="O22">
        <v>29.099999999999994</v>
      </c>
      <c r="P22">
        <f t="shared" si="1"/>
        <v>14</v>
      </c>
    </row>
    <row r="23" spans="1:16" x14ac:dyDescent="0.15">
      <c r="A23" t="s">
        <v>89</v>
      </c>
      <c r="B23" t="s">
        <v>68</v>
      </c>
      <c r="C23" t="s">
        <v>66</v>
      </c>
      <c r="D23" t="str">
        <f t="shared" si="0"/>
        <v>M</v>
      </c>
      <c r="E23">
        <v>9</v>
      </c>
      <c r="F23">
        <v>6.9</v>
      </c>
      <c r="G23">
        <v>6.5</v>
      </c>
      <c r="H23">
        <v>5.5</v>
      </c>
      <c r="I23">
        <v>8.9</v>
      </c>
      <c r="J23">
        <v>9</v>
      </c>
      <c r="K23">
        <v>45.8</v>
      </c>
      <c r="L23">
        <v>7.6333333333333329</v>
      </c>
      <c r="M23">
        <v>9</v>
      </c>
      <c r="N23">
        <v>5.5</v>
      </c>
      <c r="O23">
        <v>31.299999999999997</v>
      </c>
      <c r="P23">
        <f t="shared" si="1"/>
        <v>11</v>
      </c>
    </row>
    <row r="24" spans="1:16" x14ac:dyDescent="0.15">
      <c r="A24" t="s">
        <v>90</v>
      </c>
      <c r="B24" t="s">
        <v>65</v>
      </c>
      <c r="C24" t="s">
        <v>71</v>
      </c>
      <c r="D24" t="str">
        <f t="shared" si="0"/>
        <v>F</v>
      </c>
      <c r="E24">
        <v>8.4</v>
      </c>
      <c r="F24">
        <v>5.3</v>
      </c>
      <c r="G24">
        <v>9.1999999999999993</v>
      </c>
      <c r="H24">
        <v>9</v>
      </c>
      <c r="I24">
        <v>6.7</v>
      </c>
      <c r="J24">
        <v>9.1999999999999993</v>
      </c>
      <c r="K24">
        <v>47.8</v>
      </c>
      <c r="L24">
        <v>7.9666666666666659</v>
      </c>
      <c r="M24">
        <v>9.1999999999999993</v>
      </c>
      <c r="N24">
        <v>5.3</v>
      </c>
      <c r="O24">
        <v>33.299999999999997</v>
      </c>
      <c r="P24">
        <f t="shared" si="1"/>
        <v>7</v>
      </c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I20" sqref="I20"/>
    </sheetView>
  </sheetViews>
  <sheetFormatPr defaultRowHeight="14.25" x14ac:dyDescent="0.15"/>
  <sheetData>
    <row r="1" spans="1:17" x14ac:dyDescent="0.15">
      <c r="A1" s="20" t="s">
        <v>93</v>
      </c>
      <c r="B1" t="s">
        <v>63</v>
      </c>
    </row>
    <row r="2" spans="1:17" x14ac:dyDescent="0.15">
      <c r="A2" s="20" t="s">
        <v>94</v>
      </c>
      <c r="B2" s="20" t="s">
        <v>95</v>
      </c>
    </row>
    <row r="6" spans="1:17" x14ac:dyDescent="0.15">
      <c r="B6" t="s">
        <v>52</v>
      </c>
      <c r="C6" t="s">
        <v>53</v>
      </c>
      <c r="D6" t="s">
        <v>54</v>
      </c>
      <c r="E6" t="s">
        <v>91</v>
      </c>
      <c r="F6" t="s">
        <v>55</v>
      </c>
      <c r="G6" t="s">
        <v>56</v>
      </c>
      <c r="H6" t="s">
        <v>57</v>
      </c>
      <c r="I6" t="s">
        <v>58</v>
      </c>
      <c r="J6" t="s">
        <v>43</v>
      </c>
      <c r="K6" t="s">
        <v>44</v>
      </c>
      <c r="L6" t="s">
        <v>59</v>
      </c>
      <c r="M6" t="s">
        <v>60</v>
      </c>
      <c r="N6" t="s">
        <v>61</v>
      </c>
      <c r="O6" t="s">
        <v>62</v>
      </c>
      <c r="P6" t="s">
        <v>63</v>
      </c>
      <c r="Q6" t="s">
        <v>92</v>
      </c>
    </row>
    <row r="7" spans="1:17" x14ac:dyDescent="0.15">
      <c r="B7" t="s">
        <v>64</v>
      </c>
      <c r="C7" t="s">
        <v>65</v>
      </c>
      <c r="D7" t="s">
        <v>66</v>
      </c>
      <c r="E7" t="s">
        <v>96</v>
      </c>
      <c r="F7">
        <v>8.9</v>
      </c>
      <c r="G7">
        <v>9.1</v>
      </c>
      <c r="H7">
        <v>8.5</v>
      </c>
      <c r="I7">
        <v>8.6999999999999993</v>
      </c>
      <c r="J7">
        <v>9</v>
      </c>
      <c r="K7">
        <v>8.9</v>
      </c>
      <c r="L7">
        <v>53.1</v>
      </c>
      <c r="M7">
        <v>8.85</v>
      </c>
      <c r="N7">
        <v>9.1</v>
      </c>
      <c r="O7">
        <v>8.5</v>
      </c>
      <c r="P7">
        <v>35.5</v>
      </c>
      <c r="Q7">
        <v>1</v>
      </c>
    </row>
    <row r="8" spans="1:17" x14ac:dyDescent="0.15">
      <c r="B8" t="s">
        <v>72</v>
      </c>
      <c r="C8" t="s">
        <v>65</v>
      </c>
      <c r="D8" t="s">
        <v>66</v>
      </c>
      <c r="E8" t="s">
        <v>96</v>
      </c>
      <c r="F8">
        <v>7.5</v>
      </c>
      <c r="G8">
        <v>7</v>
      </c>
      <c r="H8">
        <v>7.2</v>
      </c>
      <c r="I8">
        <v>6.9</v>
      </c>
      <c r="J8">
        <v>8.9</v>
      </c>
      <c r="K8">
        <v>6</v>
      </c>
      <c r="L8">
        <v>43.5</v>
      </c>
      <c r="M8">
        <v>7.25</v>
      </c>
      <c r="N8">
        <v>8.9</v>
      </c>
      <c r="O8">
        <v>6</v>
      </c>
      <c r="P8">
        <v>28.6</v>
      </c>
      <c r="Q8">
        <v>16</v>
      </c>
    </row>
    <row r="9" spans="1:17" x14ac:dyDescent="0.15">
      <c r="B9" t="s">
        <v>83</v>
      </c>
      <c r="C9" t="s">
        <v>65</v>
      </c>
      <c r="D9" t="s">
        <v>66</v>
      </c>
      <c r="E9" t="s">
        <v>96</v>
      </c>
      <c r="F9">
        <v>9.1</v>
      </c>
      <c r="G9">
        <v>8.3000000000000007</v>
      </c>
      <c r="H9">
        <v>7.8</v>
      </c>
      <c r="I9">
        <v>9.1999999999999993</v>
      </c>
      <c r="J9">
        <v>5.3</v>
      </c>
      <c r="K9">
        <v>6.7</v>
      </c>
      <c r="L9">
        <v>46.4</v>
      </c>
      <c r="M9">
        <v>7.7333333333333334</v>
      </c>
      <c r="N9">
        <v>9.1999999999999993</v>
      </c>
      <c r="O9">
        <v>5.3</v>
      </c>
      <c r="P9">
        <v>31.900000000000002</v>
      </c>
      <c r="Q9">
        <v>9</v>
      </c>
    </row>
    <row r="10" spans="1:17" x14ac:dyDescent="0.15">
      <c r="B10" t="s">
        <v>88</v>
      </c>
      <c r="C10" t="s">
        <v>65</v>
      </c>
      <c r="D10" t="s">
        <v>71</v>
      </c>
      <c r="E10" t="s">
        <v>97</v>
      </c>
      <c r="F10">
        <v>6.1</v>
      </c>
      <c r="G10">
        <v>7.5</v>
      </c>
      <c r="H10">
        <v>8.3000000000000007</v>
      </c>
      <c r="I10">
        <v>5</v>
      </c>
      <c r="J10">
        <v>7.9</v>
      </c>
      <c r="K10">
        <v>7.6</v>
      </c>
      <c r="L10">
        <v>42.4</v>
      </c>
      <c r="M10">
        <v>7.0666666666666664</v>
      </c>
      <c r="N10">
        <v>8.3000000000000007</v>
      </c>
      <c r="O10">
        <v>5</v>
      </c>
      <c r="P10">
        <v>29.099999999999994</v>
      </c>
      <c r="Q10">
        <v>14</v>
      </c>
    </row>
    <row r="11" spans="1:17" x14ac:dyDescent="0.15">
      <c r="B11" t="s">
        <v>90</v>
      </c>
      <c r="C11" t="s">
        <v>65</v>
      </c>
      <c r="D11" t="s">
        <v>71</v>
      </c>
      <c r="E11" t="s">
        <v>97</v>
      </c>
      <c r="F11">
        <v>8.4</v>
      </c>
      <c r="G11">
        <v>5.3</v>
      </c>
      <c r="H11">
        <v>9.1999999999999993</v>
      </c>
      <c r="I11">
        <v>9</v>
      </c>
      <c r="J11">
        <v>6.7</v>
      </c>
      <c r="K11">
        <v>9.1999999999999993</v>
      </c>
      <c r="L11">
        <v>47.8</v>
      </c>
      <c r="M11">
        <v>7.9666666666666659</v>
      </c>
      <c r="N11">
        <v>9.1999999999999993</v>
      </c>
      <c r="O11">
        <v>5.3</v>
      </c>
      <c r="P11">
        <v>33.299999999999997</v>
      </c>
      <c r="Q11">
        <v>7</v>
      </c>
    </row>
  </sheetData>
  <phoneticPr fontId="3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E38" sqref="E38"/>
    </sheetView>
  </sheetViews>
  <sheetFormatPr defaultRowHeight="14.25" x14ac:dyDescent="0.15"/>
  <cols>
    <col min="1" max="1" width="13.125" customWidth="1"/>
    <col min="2" max="2" width="12.875" customWidth="1"/>
    <col min="3" max="3" width="15.5" customWidth="1"/>
  </cols>
  <sheetData>
    <row r="1" spans="1:3" x14ac:dyDescent="0.15">
      <c r="A1" s="3" t="s">
        <v>49</v>
      </c>
      <c r="B1" s="3"/>
      <c r="C1" s="3"/>
    </row>
    <row r="2" spans="1:3" x14ac:dyDescent="0.15">
      <c r="A2" s="1" t="s">
        <v>48</v>
      </c>
      <c r="B2" s="1" t="s">
        <v>41</v>
      </c>
      <c r="C2" s="1" t="s">
        <v>42</v>
      </c>
    </row>
    <row r="3" spans="1:3" x14ac:dyDescent="0.15">
      <c r="A3" s="2" t="s">
        <v>45</v>
      </c>
      <c r="B3" s="2">
        <f>歌手得分排序!K3</f>
        <v>8.85</v>
      </c>
      <c r="C3" s="2">
        <f>歌手得分排序!N3</f>
        <v>35.5</v>
      </c>
    </row>
    <row r="4" spans="1:3" x14ac:dyDescent="0.15">
      <c r="A4" s="2" t="s">
        <v>18</v>
      </c>
      <c r="B4" s="2">
        <f>歌手得分排序!K11</f>
        <v>8.2000000000000011</v>
      </c>
      <c r="C4" s="2">
        <f>歌手得分排序!N11</f>
        <v>32.5</v>
      </c>
    </row>
    <row r="5" spans="1:3" x14ac:dyDescent="0.15">
      <c r="A5" s="2" t="s">
        <v>47</v>
      </c>
      <c r="B5" s="2">
        <f>歌手得分排序!K17</f>
        <v>8.6333333333333329</v>
      </c>
      <c r="C5" s="2">
        <f>歌手得分排序!N17</f>
        <v>34.799999999999997</v>
      </c>
    </row>
  </sheetData>
  <mergeCells count="1">
    <mergeCell ref="A1:C1"/>
  </mergeCells>
  <phoneticPr fontId="3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selection activeCell="K17" sqref="K17"/>
    </sheetView>
  </sheetViews>
  <sheetFormatPr defaultRowHeight="14.25" x14ac:dyDescent="0.15"/>
  <sheetData>
    <row r="1" spans="1:14" x14ac:dyDescent="0.15">
      <c r="A1" t="s">
        <v>50</v>
      </c>
    </row>
    <row r="2" spans="1:14" x14ac:dyDescent="0.1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43</v>
      </c>
      <c r="I2" t="s">
        <v>44</v>
      </c>
      <c r="J2" t="s">
        <v>59</v>
      </c>
      <c r="K2" s="4" t="s">
        <v>60</v>
      </c>
      <c r="L2" t="s">
        <v>61</v>
      </c>
      <c r="M2" t="s">
        <v>62</v>
      </c>
      <c r="N2" t="s">
        <v>63</v>
      </c>
    </row>
    <row r="3" spans="1:14" x14ac:dyDescent="0.15">
      <c r="A3" t="s">
        <v>64</v>
      </c>
      <c r="B3" t="s">
        <v>65</v>
      </c>
      <c r="C3" t="s">
        <v>66</v>
      </c>
      <c r="D3">
        <v>8.9</v>
      </c>
      <c r="E3">
        <v>9.1</v>
      </c>
      <c r="F3">
        <v>8.5</v>
      </c>
      <c r="G3">
        <v>8.6999999999999993</v>
      </c>
      <c r="H3">
        <v>9</v>
      </c>
      <c r="I3">
        <v>8.9</v>
      </c>
      <c r="J3">
        <v>53.1</v>
      </c>
      <c r="K3" s="4">
        <v>8.85</v>
      </c>
      <c r="L3">
        <v>9.1</v>
      </c>
      <c r="M3">
        <v>8.5</v>
      </c>
      <c r="N3">
        <v>35.5</v>
      </c>
    </row>
    <row r="4" spans="1:14" x14ac:dyDescent="0.15">
      <c r="A4" t="s">
        <v>90</v>
      </c>
      <c r="B4" t="s">
        <v>65</v>
      </c>
      <c r="C4" t="s">
        <v>71</v>
      </c>
      <c r="D4">
        <v>8.4</v>
      </c>
      <c r="E4">
        <v>5.3</v>
      </c>
      <c r="F4">
        <v>9.1999999999999993</v>
      </c>
      <c r="G4">
        <v>9</v>
      </c>
      <c r="H4">
        <v>6.7</v>
      </c>
      <c r="I4">
        <v>9.1999999999999993</v>
      </c>
      <c r="J4">
        <v>47.8</v>
      </c>
      <c r="K4" s="4">
        <v>7.9666666666666659</v>
      </c>
      <c r="L4">
        <v>9.1999999999999993</v>
      </c>
      <c r="M4">
        <v>5.3</v>
      </c>
      <c r="N4">
        <v>33.299999999999997</v>
      </c>
    </row>
    <row r="5" spans="1:14" x14ac:dyDescent="0.15">
      <c r="A5" t="s">
        <v>83</v>
      </c>
      <c r="B5" t="s">
        <v>65</v>
      </c>
      <c r="C5" t="s">
        <v>66</v>
      </c>
      <c r="D5">
        <v>9.1</v>
      </c>
      <c r="E5">
        <v>8.3000000000000007</v>
      </c>
      <c r="F5">
        <v>7.8</v>
      </c>
      <c r="G5">
        <v>9.1999999999999993</v>
      </c>
      <c r="H5">
        <v>5.3</v>
      </c>
      <c r="I5">
        <v>6.7</v>
      </c>
      <c r="J5">
        <v>46.4</v>
      </c>
      <c r="K5" s="4">
        <v>7.7333333333333334</v>
      </c>
      <c r="L5">
        <v>9.1999999999999993</v>
      </c>
      <c r="M5">
        <v>5.3</v>
      </c>
      <c r="N5">
        <v>31.900000000000002</v>
      </c>
    </row>
    <row r="6" spans="1:14" x14ac:dyDescent="0.15">
      <c r="A6" t="s">
        <v>88</v>
      </c>
      <c r="B6" t="s">
        <v>65</v>
      </c>
      <c r="C6" t="s">
        <v>71</v>
      </c>
      <c r="D6">
        <v>6.1</v>
      </c>
      <c r="E6">
        <v>7.5</v>
      </c>
      <c r="F6">
        <v>8.3000000000000007</v>
      </c>
      <c r="G6">
        <v>5</v>
      </c>
      <c r="H6">
        <v>7.9</v>
      </c>
      <c r="I6">
        <v>7.6</v>
      </c>
      <c r="J6">
        <v>42.4</v>
      </c>
      <c r="K6" s="4">
        <v>7.0666666666666664</v>
      </c>
      <c r="L6">
        <v>8.3000000000000007</v>
      </c>
      <c r="M6">
        <v>5</v>
      </c>
      <c r="N6">
        <v>29.099999999999994</v>
      </c>
    </row>
    <row r="7" spans="1:14" x14ac:dyDescent="0.15">
      <c r="A7" t="s">
        <v>72</v>
      </c>
      <c r="B7" t="s">
        <v>65</v>
      </c>
      <c r="C7" t="s">
        <v>66</v>
      </c>
      <c r="D7">
        <v>7.5</v>
      </c>
      <c r="E7">
        <v>7</v>
      </c>
      <c r="F7">
        <v>7.2</v>
      </c>
      <c r="G7">
        <v>6.9</v>
      </c>
      <c r="H7">
        <v>8.9</v>
      </c>
      <c r="I7">
        <v>6</v>
      </c>
      <c r="J7">
        <v>43.5</v>
      </c>
      <c r="K7" s="4">
        <v>7.25</v>
      </c>
      <c r="L7">
        <v>8.9</v>
      </c>
      <c r="M7">
        <v>6</v>
      </c>
      <c r="N7">
        <v>28.6</v>
      </c>
    </row>
    <row r="8" spans="1:14" x14ac:dyDescent="0.15">
      <c r="A8" t="s">
        <v>78</v>
      </c>
      <c r="B8" t="s">
        <v>65</v>
      </c>
      <c r="C8" t="s">
        <v>71</v>
      </c>
      <c r="D8">
        <v>8.3000000000000007</v>
      </c>
      <c r="E8">
        <v>5.5</v>
      </c>
      <c r="F8">
        <v>7.5</v>
      </c>
      <c r="G8">
        <v>8.9</v>
      </c>
      <c r="H8">
        <v>5.5</v>
      </c>
      <c r="I8">
        <v>6</v>
      </c>
      <c r="J8">
        <v>41.7</v>
      </c>
      <c r="K8" s="4">
        <v>6.95</v>
      </c>
      <c r="L8">
        <v>8.9</v>
      </c>
      <c r="M8">
        <v>5.5</v>
      </c>
      <c r="N8">
        <v>27.300000000000004</v>
      </c>
    </row>
    <row r="9" spans="1:14" x14ac:dyDescent="0.15">
      <c r="A9" t="s">
        <v>84</v>
      </c>
      <c r="B9" t="s">
        <v>65</v>
      </c>
      <c r="C9" t="s">
        <v>71</v>
      </c>
      <c r="D9">
        <v>6.3</v>
      </c>
      <c r="E9">
        <v>6.5</v>
      </c>
      <c r="F9">
        <v>6.1</v>
      </c>
      <c r="G9">
        <v>6</v>
      </c>
      <c r="H9">
        <v>7.8</v>
      </c>
      <c r="I9">
        <v>8.9</v>
      </c>
      <c r="J9">
        <v>41.599999999999994</v>
      </c>
      <c r="K9" s="4">
        <v>6.9333333333333327</v>
      </c>
      <c r="L9">
        <v>8.9</v>
      </c>
      <c r="M9">
        <v>6</v>
      </c>
      <c r="N9">
        <v>26.699999999999996</v>
      </c>
    </row>
    <row r="10" spans="1:14" x14ac:dyDescent="0.15">
      <c r="A10" t="s">
        <v>77</v>
      </c>
      <c r="B10" t="s">
        <v>65</v>
      </c>
      <c r="C10" t="s">
        <v>66</v>
      </c>
      <c r="D10">
        <v>6</v>
      </c>
      <c r="E10">
        <v>5</v>
      </c>
      <c r="F10">
        <v>5</v>
      </c>
      <c r="G10">
        <v>6</v>
      </c>
      <c r="H10">
        <v>9.1999999999999993</v>
      </c>
      <c r="I10">
        <v>8.3000000000000007</v>
      </c>
      <c r="J10">
        <v>39.5</v>
      </c>
      <c r="K10" s="4">
        <v>6.583333333333333</v>
      </c>
      <c r="L10">
        <v>9.1999999999999993</v>
      </c>
      <c r="M10">
        <v>5</v>
      </c>
      <c r="N10">
        <v>25.3</v>
      </c>
    </row>
    <row r="11" spans="1:14" x14ac:dyDescent="0.15">
      <c r="A11" t="s">
        <v>75</v>
      </c>
      <c r="B11" t="s">
        <v>68</v>
      </c>
      <c r="C11" t="s">
        <v>71</v>
      </c>
      <c r="D11">
        <v>7.5</v>
      </c>
      <c r="E11">
        <v>8</v>
      </c>
      <c r="F11">
        <v>7.9</v>
      </c>
      <c r="G11">
        <v>7.6</v>
      </c>
      <c r="H11">
        <v>9</v>
      </c>
      <c r="I11">
        <v>9.1999999999999993</v>
      </c>
      <c r="J11">
        <v>49.2</v>
      </c>
      <c r="K11" s="4">
        <v>8.2000000000000011</v>
      </c>
      <c r="L11">
        <v>9.1999999999999993</v>
      </c>
      <c r="M11">
        <v>7.5</v>
      </c>
      <c r="N11">
        <v>32.5</v>
      </c>
    </row>
    <row r="12" spans="1:14" x14ac:dyDescent="0.15">
      <c r="A12" t="s">
        <v>89</v>
      </c>
      <c r="B12" t="s">
        <v>68</v>
      </c>
      <c r="C12" t="s">
        <v>66</v>
      </c>
      <c r="D12">
        <v>9</v>
      </c>
      <c r="E12">
        <v>6.9</v>
      </c>
      <c r="F12">
        <v>6.5</v>
      </c>
      <c r="G12">
        <v>5.5</v>
      </c>
      <c r="H12">
        <v>8.9</v>
      </c>
      <c r="I12">
        <v>9</v>
      </c>
      <c r="J12">
        <v>45.8</v>
      </c>
      <c r="K12" s="4">
        <v>7.6333333333333329</v>
      </c>
      <c r="L12">
        <v>9</v>
      </c>
      <c r="M12">
        <v>5.5</v>
      </c>
      <c r="N12">
        <v>31.299999999999997</v>
      </c>
    </row>
    <row r="13" spans="1:14" x14ac:dyDescent="0.15">
      <c r="A13" t="s">
        <v>81</v>
      </c>
      <c r="B13" t="s">
        <v>68</v>
      </c>
      <c r="C13" t="s">
        <v>66</v>
      </c>
      <c r="D13">
        <v>6.7</v>
      </c>
      <c r="E13">
        <v>9.1999999999999993</v>
      </c>
      <c r="F13">
        <v>8.3000000000000007</v>
      </c>
      <c r="G13">
        <v>8.9</v>
      </c>
      <c r="H13">
        <v>6.3</v>
      </c>
      <c r="I13">
        <v>6.5</v>
      </c>
      <c r="J13">
        <v>45.9</v>
      </c>
      <c r="K13" s="4">
        <v>7.6499999999999995</v>
      </c>
      <c r="L13">
        <v>9.1999999999999993</v>
      </c>
      <c r="M13">
        <v>6.3</v>
      </c>
      <c r="N13">
        <v>30.400000000000002</v>
      </c>
    </row>
    <row r="14" spans="1:14" x14ac:dyDescent="0.15">
      <c r="A14" t="s">
        <v>80</v>
      </c>
      <c r="B14" t="s">
        <v>68</v>
      </c>
      <c r="C14" t="s">
        <v>71</v>
      </c>
      <c r="D14">
        <v>9.1999999999999993</v>
      </c>
      <c r="E14">
        <v>7.5</v>
      </c>
      <c r="F14">
        <v>6</v>
      </c>
      <c r="G14">
        <v>6</v>
      </c>
      <c r="H14">
        <v>7.5</v>
      </c>
      <c r="I14">
        <v>8</v>
      </c>
      <c r="J14">
        <v>44.2</v>
      </c>
      <c r="K14" s="4">
        <v>7.3666666666666671</v>
      </c>
      <c r="L14">
        <v>9.1999999999999993</v>
      </c>
      <c r="M14">
        <v>6</v>
      </c>
      <c r="N14">
        <v>29</v>
      </c>
    </row>
    <row r="15" spans="1:14" x14ac:dyDescent="0.15">
      <c r="A15" t="s">
        <v>67</v>
      </c>
      <c r="B15" t="s">
        <v>68</v>
      </c>
      <c r="C15" t="s">
        <v>66</v>
      </c>
      <c r="D15">
        <v>6.8</v>
      </c>
      <c r="E15">
        <v>7.5</v>
      </c>
      <c r="F15">
        <v>7</v>
      </c>
      <c r="G15">
        <v>7.2</v>
      </c>
      <c r="H15">
        <v>6.5</v>
      </c>
      <c r="I15">
        <v>9</v>
      </c>
      <c r="J15">
        <v>44</v>
      </c>
      <c r="K15" s="4">
        <v>7.333333333333333</v>
      </c>
      <c r="L15">
        <v>9</v>
      </c>
      <c r="M15">
        <v>6.5</v>
      </c>
      <c r="N15">
        <v>28.5</v>
      </c>
    </row>
    <row r="16" spans="1:14" x14ac:dyDescent="0.15">
      <c r="A16" t="s">
        <v>86</v>
      </c>
      <c r="B16" t="s">
        <v>68</v>
      </c>
      <c r="C16" t="s">
        <v>66</v>
      </c>
      <c r="D16">
        <v>5.3</v>
      </c>
      <c r="E16">
        <v>6.7</v>
      </c>
      <c r="F16">
        <v>8.4</v>
      </c>
      <c r="G16">
        <v>6.5</v>
      </c>
      <c r="H16">
        <v>9</v>
      </c>
      <c r="I16">
        <v>6.9</v>
      </c>
      <c r="J16">
        <v>42.8</v>
      </c>
      <c r="K16" s="4">
        <v>7.1333333333333329</v>
      </c>
      <c r="L16">
        <v>9</v>
      </c>
      <c r="M16">
        <v>5.3</v>
      </c>
      <c r="N16">
        <v>28.499999999999996</v>
      </c>
    </row>
    <row r="17" spans="1:14" x14ac:dyDescent="0.15">
      <c r="A17" t="s">
        <v>69</v>
      </c>
      <c r="B17" t="s">
        <v>70</v>
      </c>
      <c r="C17" t="s">
        <v>71</v>
      </c>
      <c r="D17">
        <v>8.9</v>
      </c>
      <c r="E17">
        <v>8.9</v>
      </c>
      <c r="F17">
        <v>9</v>
      </c>
      <c r="G17">
        <v>9.1</v>
      </c>
      <c r="H17">
        <v>8</v>
      </c>
      <c r="I17">
        <v>7.9</v>
      </c>
      <c r="J17">
        <v>51.8</v>
      </c>
      <c r="K17" s="4">
        <v>8.6333333333333329</v>
      </c>
      <c r="L17">
        <v>9.1</v>
      </c>
      <c r="M17">
        <v>7.9</v>
      </c>
      <c r="N17">
        <v>34.799999999999997</v>
      </c>
    </row>
    <row r="18" spans="1:14" x14ac:dyDescent="0.15">
      <c r="A18" t="s">
        <v>74</v>
      </c>
      <c r="B18" t="s">
        <v>70</v>
      </c>
      <c r="C18" t="s">
        <v>71</v>
      </c>
      <c r="D18">
        <v>9</v>
      </c>
      <c r="E18">
        <v>8.9</v>
      </c>
      <c r="F18">
        <v>8.9</v>
      </c>
      <c r="G18">
        <v>8.5</v>
      </c>
      <c r="H18">
        <v>8.4</v>
      </c>
      <c r="I18">
        <v>6.5</v>
      </c>
      <c r="J18">
        <v>50.199999999999996</v>
      </c>
      <c r="K18" s="4">
        <v>8.3666666666666654</v>
      </c>
      <c r="L18">
        <v>9</v>
      </c>
      <c r="M18">
        <v>6.5</v>
      </c>
      <c r="N18">
        <v>34.699999999999996</v>
      </c>
    </row>
    <row r="19" spans="1:14" x14ac:dyDescent="0.15">
      <c r="A19" t="s">
        <v>76</v>
      </c>
      <c r="B19" t="s">
        <v>70</v>
      </c>
      <c r="C19" t="s">
        <v>66</v>
      </c>
      <c r="D19">
        <v>9.1999999999999993</v>
      </c>
      <c r="E19">
        <v>9</v>
      </c>
      <c r="F19">
        <v>8.9</v>
      </c>
      <c r="G19">
        <v>9</v>
      </c>
      <c r="H19">
        <v>7.5</v>
      </c>
      <c r="I19">
        <v>6</v>
      </c>
      <c r="J19">
        <v>49.6</v>
      </c>
      <c r="K19" s="4">
        <v>8.2666666666666675</v>
      </c>
      <c r="L19">
        <v>9.1999999999999993</v>
      </c>
      <c r="M19">
        <v>6</v>
      </c>
      <c r="N19">
        <v>34.400000000000006</v>
      </c>
    </row>
    <row r="20" spans="1:14" x14ac:dyDescent="0.15">
      <c r="A20" t="s">
        <v>87</v>
      </c>
      <c r="B20" t="s">
        <v>70</v>
      </c>
      <c r="C20" t="s">
        <v>66</v>
      </c>
      <c r="D20">
        <v>7.8</v>
      </c>
      <c r="E20">
        <v>8.9</v>
      </c>
      <c r="F20">
        <v>6</v>
      </c>
      <c r="G20">
        <v>9</v>
      </c>
      <c r="H20">
        <v>8.9</v>
      </c>
      <c r="I20">
        <v>8.5</v>
      </c>
      <c r="J20">
        <v>49.1</v>
      </c>
      <c r="K20" s="4">
        <v>8.1833333333333336</v>
      </c>
      <c r="L20">
        <v>9</v>
      </c>
      <c r="M20">
        <v>6</v>
      </c>
      <c r="N20">
        <v>34.1</v>
      </c>
    </row>
    <row r="21" spans="1:14" x14ac:dyDescent="0.15">
      <c r="A21" t="s">
        <v>79</v>
      </c>
      <c r="B21" t="s">
        <v>70</v>
      </c>
      <c r="C21" t="s">
        <v>66</v>
      </c>
      <c r="D21">
        <v>6.5</v>
      </c>
      <c r="E21">
        <v>9</v>
      </c>
      <c r="F21">
        <v>9.1999999999999993</v>
      </c>
      <c r="G21">
        <v>7</v>
      </c>
      <c r="H21">
        <v>9</v>
      </c>
      <c r="I21">
        <v>8.9</v>
      </c>
      <c r="J21">
        <v>49.6</v>
      </c>
      <c r="K21" s="4">
        <v>8.2666666666666675</v>
      </c>
      <c r="L21">
        <v>9.1999999999999993</v>
      </c>
      <c r="M21">
        <v>6.5</v>
      </c>
      <c r="N21">
        <v>33.900000000000006</v>
      </c>
    </row>
    <row r="22" spans="1:14" x14ac:dyDescent="0.15">
      <c r="A22" t="s">
        <v>85</v>
      </c>
      <c r="B22" t="s">
        <v>70</v>
      </c>
      <c r="C22" t="s">
        <v>71</v>
      </c>
      <c r="D22">
        <v>6.9</v>
      </c>
      <c r="E22">
        <v>9.1999999999999993</v>
      </c>
      <c r="F22">
        <v>9</v>
      </c>
      <c r="G22">
        <v>8.3000000000000007</v>
      </c>
      <c r="H22">
        <v>6.1</v>
      </c>
      <c r="I22">
        <v>7.5</v>
      </c>
      <c r="J22">
        <v>47.000000000000007</v>
      </c>
      <c r="K22" s="4">
        <v>7.8333333333333348</v>
      </c>
      <c r="L22">
        <v>9.1999999999999993</v>
      </c>
      <c r="M22">
        <v>6.1</v>
      </c>
      <c r="N22">
        <v>31.70000000000001</v>
      </c>
    </row>
    <row r="23" spans="1:14" x14ac:dyDescent="0.15">
      <c r="A23" t="s">
        <v>82</v>
      </c>
      <c r="B23" t="s">
        <v>70</v>
      </c>
      <c r="C23" t="s">
        <v>66</v>
      </c>
      <c r="D23">
        <v>8.9</v>
      </c>
      <c r="E23">
        <v>6</v>
      </c>
      <c r="F23">
        <v>6.5</v>
      </c>
      <c r="G23">
        <v>8</v>
      </c>
      <c r="H23">
        <v>6.9</v>
      </c>
      <c r="I23">
        <v>9.1999999999999993</v>
      </c>
      <c r="J23">
        <v>45.5</v>
      </c>
      <c r="K23" s="4">
        <v>7.583333333333333</v>
      </c>
      <c r="L23">
        <v>9.1999999999999993</v>
      </c>
      <c r="M23">
        <v>6</v>
      </c>
      <c r="N23">
        <v>30.299999999999997</v>
      </c>
    </row>
    <row r="24" spans="1:14" x14ac:dyDescent="0.15">
      <c r="A24" t="s">
        <v>73</v>
      </c>
      <c r="B24" t="s">
        <v>70</v>
      </c>
      <c r="C24" t="s">
        <v>66</v>
      </c>
      <c r="D24">
        <v>5.5</v>
      </c>
      <c r="E24">
        <v>6</v>
      </c>
      <c r="F24">
        <v>5</v>
      </c>
      <c r="G24">
        <v>5.6</v>
      </c>
      <c r="H24">
        <v>9</v>
      </c>
      <c r="I24">
        <v>9.1999999999999993</v>
      </c>
      <c r="J24">
        <v>40.299999999999997</v>
      </c>
      <c r="K24" s="4">
        <v>6.7166666666666659</v>
      </c>
      <c r="L24">
        <v>9.1999999999999993</v>
      </c>
      <c r="M24">
        <v>5</v>
      </c>
      <c r="N24">
        <v>26.099999999999998</v>
      </c>
    </row>
  </sheetData>
  <sortState ref="A3:N24">
    <sortCondition ref="B3:B24" customList="江苏,浙江,上海"/>
    <sortCondition descending="1" ref="N3:N24"/>
  </sortState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Sheet1</vt:lpstr>
      <vt:lpstr>最佳歌手名单</vt:lpstr>
      <vt:lpstr>筛选</vt:lpstr>
      <vt:lpstr>图表</vt:lpstr>
      <vt:lpstr>歌手得分排序</vt:lpstr>
      <vt:lpstr>筛选!Criteria</vt:lpstr>
      <vt:lpstr>筛选!提取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walkinnet</dc:creator>
  <cp:lastModifiedBy>SD</cp:lastModifiedBy>
  <dcterms:created xsi:type="dcterms:W3CDTF">2016-02-27T01:52:58Z</dcterms:created>
  <dcterms:modified xsi:type="dcterms:W3CDTF">2018-09-13T06:52:34Z</dcterms:modified>
</cp:coreProperties>
</file>