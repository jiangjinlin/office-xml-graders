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5" windowWidth="20355" windowHeight="8445" activeTab="2"/>
  </bookViews>
  <sheets>
    <sheet name="Sheet1" sheetId="1" r:id="rId1"/>
    <sheet name="Sheet2" sheetId="2" r:id="rId2"/>
    <sheet name="成绩统计表" sheetId="3" r:id="rId3"/>
  </sheets>
  <calcPr calcId="144525"/>
</workbook>
</file>

<file path=xl/calcChain.xml><?xml version="1.0" encoding="utf-8"?>
<calcChain xmlns="http://schemas.openxmlformats.org/spreadsheetml/2006/main">
  <c r="M4" i="2" l="1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3" i="2"/>
  <c r="K19" i="2"/>
  <c r="L19" i="2" s="1"/>
  <c r="J19" i="2"/>
  <c r="K18" i="2"/>
  <c r="L18" i="2" s="1"/>
  <c r="J18" i="2"/>
  <c r="K17" i="2"/>
  <c r="L17" i="2" s="1"/>
  <c r="J17" i="2"/>
  <c r="K16" i="2"/>
  <c r="L16" i="2" s="1"/>
  <c r="J16" i="2"/>
  <c r="K15" i="2"/>
  <c r="L15" i="2" s="1"/>
  <c r="J15" i="2"/>
  <c r="K14" i="2"/>
  <c r="L14" i="2" s="1"/>
  <c r="J14" i="2"/>
  <c r="K13" i="2"/>
  <c r="L13" i="2" s="1"/>
  <c r="J13" i="2"/>
  <c r="K12" i="2"/>
  <c r="L12" i="2" s="1"/>
  <c r="J12" i="2"/>
  <c r="K11" i="2"/>
  <c r="L11" i="2" s="1"/>
  <c r="J11" i="2"/>
  <c r="K10" i="2"/>
  <c r="L10" i="2" s="1"/>
  <c r="J10" i="2"/>
  <c r="K9" i="2"/>
  <c r="L9" i="2" s="1"/>
  <c r="J9" i="2"/>
  <c r="K8" i="2"/>
  <c r="L8" i="2" s="1"/>
  <c r="J8" i="2"/>
  <c r="K7" i="2"/>
  <c r="L7" i="2" s="1"/>
  <c r="J7" i="2"/>
  <c r="K6" i="2"/>
  <c r="L6" i="2" s="1"/>
  <c r="J6" i="2"/>
  <c r="K5" i="2"/>
  <c r="L5" i="2" s="1"/>
  <c r="J5" i="2"/>
  <c r="K4" i="2"/>
  <c r="L4" i="2" s="1"/>
  <c r="J4" i="2"/>
  <c r="K3" i="2"/>
  <c r="L3" i="2" s="1"/>
  <c r="J3" i="2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L3" i="1"/>
  <c r="K3" i="1"/>
  <c r="J19" i="1" l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</calcChain>
</file>

<file path=xl/sharedStrings.xml><?xml version="1.0" encoding="utf-8"?>
<sst xmlns="http://schemas.openxmlformats.org/spreadsheetml/2006/main" count="227" uniqueCount="102">
  <si>
    <t>学号</t>
    <phoneticPr fontId="1" type="noConversion"/>
  </si>
  <si>
    <t>姓名</t>
    <phoneticPr fontId="1" type="noConversion"/>
  </si>
  <si>
    <t>性别</t>
    <phoneticPr fontId="1" type="noConversion"/>
  </si>
  <si>
    <t>语文</t>
    <phoneticPr fontId="1" type="noConversion"/>
  </si>
  <si>
    <t>数学</t>
    <phoneticPr fontId="1" type="noConversion"/>
  </si>
  <si>
    <t>英语</t>
    <phoneticPr fontId="1" type="noConversion"/>
  </si>
  <si>
    <t>物理</t>
    <phoneticPr fontId="1" type="noConversion"/>
  </si>
  <si>
    <t>化学</t>
    <phoneticPr fontId="1" type="noConversion"/>
  </si>
  <si>
    <t>政治</t>
    <phoneticPr fontId="1" type="noConversion"/>
  </si>
  <si>
    <t>总分</t>
    <phoneticPr fontId="1" type="noConversion"/>
  </si>
  <si>
    <t>平均分</t>
    <phoneticPr fontId="1" type="noConversion"/>
  </si>
  <si>
    <t>等级</t>
    <phoneticPr fontId="1" type="noConversion"/>
  </si>
  <si>
    <t>胡晓兵</t>
    <phoneticPr fontId="1" type="noConversion"/>
  </si>
  <si>
    <t>男</t>
    <phoneticPr fontId="1" type="noConversion"/>
  </si>
  <si>
    <t>黄心迪</t>
    <phoneticPr fontId="1" type="noConversion"/>
  </si>
  <si>
    <t>女</t>
    <phoneticPr fontId="1" type="noConversion"/>
  </si>
  <si>
    <t>王欣雨</t>
    <phoneticPr fontId="1" type="noConversion"/>
  </si>
  <si>
    <t>女</t>
  </si>
  <si>
    <t>程本基</t>
    <phoneticPr fontId="1" type="noConversion"/>
  </si>
  <si>
    <t>邵军</t>
    <phoneticPr fontId="1" type="noConversion"/>
  </si>
  <si>
    <t>陈新平</t>
    <phoneticPr fontId="1" type="noConversion"/>
  </si>
  <si>
    <t>刘彬彬</t>
    <phoneticPr fontId="1" type="noConversion"/>
  </si>
  <si>
    <t>吴健树</t>
    <phoneticPr fontId="1" type="noConversion"/>
  </si>
  <si>
    <t>李东敏</t>
    <phoneticPr fontId="1" type="noConversion"/>
  </si>
  <si>
    <t>金凯</t>
    <phoneticPr fontId="1" type="noConversion"/>
  </si>
  <si>
    <t>孙汉臣</t>
    <phoneticPr fontId="1" type="noConversion"/>
  </si>
  <si>
    <t>严和平</t>
    <phoneticPr fontId="1" type="noConversion"/>
  </si>
  <si>
    <t>刘燕</t>
    <phoneticPr fontId="1" type="noConversion"/>
  </si>
  <si>
    <t>欧阳飞</t>
    <phoneticPr fontId="1" type="noConversion"/>
  </si>
  <si>
    <t>殷美娟</t>
    <phoneticPr fontId="1" type="noConversion"/>
  </si>
  <si>
    <t>汪津</t>
    <phoneticPr fontId="1" type="noConversion"/>
  </si>
  <si>
    <t>李阳</t>
    <phoneticPr fontId="1" type="noConversion"/>
  </si>
  <si>
    <t>学生成绩统计</t>
    <phoneticPr fontId="1" type="noConversion"/>
  </si>
  <si>
    <t>2011001</t>
  </si>
  <si>
    <t>2011001</t>
    <phoneticPr fontId="1" type="noConversion"/>
  </si>
  <si>
    <t>2011002</t>
  </si>
  <si>
    <t>2011002</t>
    <phoneticPr fontId="1" type="noConversion"/>
  </si>
  <si>
    <t>2011003</t>
  </si>
  <si>
    <t>2011004</t>
  </si>
  <si>
    <t>2011005</t>
  </si>
  <si>
    <t>2011006</t>
  </si>
  <si>
    <t>2011007</t>
  </si>
  <si>
    <t>2011008</t>
  </si>
  <si>
    <t>2011009</t>
  </si>
  <si>
    <t>2011010</t>
  </si>
  <si>
    <t>2011011</t>
  </si>
  <si>
    <t>2011012</t>
  </si>
  <si>
    <t>2011013</t>
  </si>
  <si>
    <t>2011014</t>
  </si>
  <si>
    <t>2011015</t>
  </si>
  <si>
    <t>2011016</t>
  </si>
  <si>
    <t>2011017</t>
  </si>
  <si>
    <t>排名</t>
  </si>
  <si>
    <t>排名</t>
    <phoneticPr fontId="1" type="noConversion"/>
  </si>
  <si>
    <t>学号</t>
  </si>
  <si>
    <t>姓名</t>
  </si>
  <si>
    <t>性别</t>
  </si>
  <si>
    <t>语文</t>
  </si>
  <si>
    <t>数学</t>
  </si>
  <si>
    <t>英语</t>
  </si>
  <si>
    <t>物理</t>
  </si>
  <si>
    <t>化学</t>
  </si>
  <si>
    <t>政治</t>
  </si>
  <si>
    <t>总分</t>
  </si>
  <si>
    <t>平均分</t>
  </si>
  <si>
    <t>等级</t>
  </si>
  <si>
    <t>胡晓兵</t>
  </si>
  <si>
    <t>男</t>
  </si>
  <si>
    <t>良好</t>
  </si>
  <si>
    <t>002</t>
  </si>
  <si>
    <t>黄心迪</t>
  </si>
  <si>
    <t>合格</t>
  </si>
  <si>
    <t>008</t>
  </si>
  <si>
    <t>王欣雨</t>
  </si>
  <si>
    <t>004</t>
  </si>
  <si>
    <t>程本基</t>
  </si>
  <si>
    <t>不合格</t>
  </si>
  <si>
    <t>017</t>
  </si>
  <si>
    <t>邵军</t>
  </si>
  <si>
    <t>优秀</t>
  </si>
  <si>
    <t>001</t>
  </si>
  <si>
    <t>陈新平</t>
  </si>
  <si>
    <t>006</t>
  </si>
  <si>
    <t>刘彬彬</t>
  </si>
  <si>
    <t>吴健树</t>
  </si>
  <si>
    <t>015</t>
  </si>
  <si>
    <t>李东敏</t>
  </si>
  <si>
    <t>010</t>
  </si>
  <si>
    <t>金凯</t>
  </si>
  <si>
    <t>014</t>
  </si>
  <si>
    <t>孙汉臣</t>
  </si>
  <si>
    <t>012</t>
  </si>
  <si>
    <t>严和平</t>
  </si>
  <si>
    <t>刘燕</t>
  </si>
  <si>
    <t>欧阳飞</t>
  </si>
  <si>
    <t>005</t>
  </si>
  <si>
    <t>殷美娟</t>
  </si>
  <si>
    <t>011</t>
  </si>
  <si>
    <t>汪津</t>
  </si>
  <si>
    <t>013</t>
  </si>
  <si>
    <t>李阳</t>
  </si>
  <si>
    <t>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</si>
</sst>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;[Red]0.00"/>
  </numFmts>
  <fonts count="5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b/>
      <sz val="18"/>
      <name val="楷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>
      <alignment vertical="center"/>
    </xf>
    <xf numFmtId="0" fontId="3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49" fontId="4" fillId="0" borderId="0" xfId="0" applyNumberFormat="1" applyFont="1">
      <alignment vertical="center"/>
    </xf>
    <xf numFmtId="176" fontId="0" fillId="0" borderId="0" xfId="0" applyNumberFormat="1">
      <alignment vertical="center"/>
    </xf>
    <xf numFmtId="0" fontId="0" fillId="0" borderId="0" xfId="0" applyFont="1" applyAlignment="1">
      <alignment horizontal="center"/>
    </xf>
  </cellXfs>
  <cellStyles count="1">
    <cellStyle name="常规" xfId="0" builtinId="0"/>
  </cellStyles>
  <dxfs count="3">
    <dxf>
      <font>
        <color rgb="FF7030A0"/>
      </font>
    </dxf>
    <dxf>
      <font>
        <color rgb="FF00B050"/>
      </font>
    </dxf>
    <dxf>
      <font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部分学生语数英成绩比较图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成绩统计表!$D$1</c:f>
              <c:strCache>
                <c:ptCount val="1"/>
                <c:pt idx="0">
                  <c:v>语文</c:v>
                </c:pt>
              </c:strCache>
            </c:strRef>
          </c:tx>
          <c:invertIfNegative val="0"/>
          <c:cat>
            <c:strRef>
              <c:f>成绩统计表!$B$2:$B$6</c:f>
              <c:strCache>
                <c:ptCount val="5"/>
                <c:pt idx="0">
                  <c:v>胡晓兵</c:v>
                </c:pt>
                <c:pt idx="1">
                  <c:v>黄心迪</c:v>
                </c:pt>
                <c:pt idx="2">
                  <c:v>王欣雨</c:v>
                </c:pt>
                <c:pt idx="3">
                  <c:v>程本基</c:v>
                </c:pt>
                <c:pt idx="4">
                  <c:v>邵军</c:v>
                </c:pt>
              </c:strCache>
            </c:strRef>
          </c:cat>
          <c:val>
            <c:numRef>
              <c:f>成绩统计表!$D$2:$D$6</c:f>
              <c:numCache>
                <c:formatCode>General</c:formatCode>
                <c:ptCount val="5"/>
                <c:pt idx="0">
                  <c:v>87</c:v>
                </c:pt>
                <c:pt idx="1">
                  <c:v>74</c:v>
                </c:pt>
                <c:pt idx="2">
                  <c:v>86</c:v>
                </c:pt>
                <c:pt idx="3">
                  <c:v>52</c:v>
                </c:pt>
                <c:pt idx="4">
                  <c:v>84</c:v>
                </c:pt>
              </c:numCache>
            </c:numRef>
          </c:val>
        </c:ser>
        <c:ser>
          <c:idx val="1"/>
          <c:order val="1"/>
          <c:tx>
            <c:strRef>
              <c:f>成绩统计表!$E$1</c:f>
              <c:strCache>
                <c:ptCount val="1"/>
                <c:pt idx="0">
                  <c:v>数学</c:v>
                </c:pt>
              </c:strCache>
            </c:strRef>
          </c:tx>
          <c:invertIfNegative val="0"/>
          <c:cat>
            <c:strRef>
              <c:f>成绩统计表!$B$2:$B$6</c:f>
              <c:strCache>
                <c:ptCount val="5"/>
                <c:pt idx="0">
                  <c:v>胡晓兵</c:v>
                </c:pt>
                <c:pt idx="1">
                  <c:v>黄心迪</c:v>
                </c:pt>
                <c:pt idx="2">
                  <c:v>王欣雨</c:v>
                </c:pt>
                <c:pt idx="3">
                  <c:v>程本基</c:v>
                </c:pt>
                <c:pt idx="4">
                  <c:v>邵军</c:v>
                </c:pt>
              </c:strCache>
            </c:strRef>
          </c:cat>
          <c:val>
            <c:numRef>
              <c:f>成绩统计表!$E$2:$E$6</c:f>
              <c:numCache>
                <c:formatCode>General</c:formatCode>
                <c:ptCount val="5"/>
                <c:pt idx="0">
                  <c:v>82</c:v>
                </c:pt>
                <c:pt idx="1">
                  <c:v>72</c:v>
                </c:pt>
                <c:pt idx="2">
                  <c:v>74</c:v>
                </c:pt>
                <c:pt idx="3">
                  <c:v>40</c:v>
                </c:pt>
                <c:pt idx="4">
                  <c:v>89</c:v>
                </c:pt>
              </c:numCache>
            </c:numRef>
          </c:val>
        </c:ser>
        <c:ser>
          <c:idx val="2"/>
          <c:order val="2"/>
          <c:tx>
            <c:strRef>
              <c:f>成绩统计表!$F$1</c:f>
              <c:strCache>
                <c:ptCount val="1"/>
                <c:pt idx="0">
                  <c:v>英语</c:v>
                </c:pt>
              </c:strCache>
            </c:strRef>
          </c:tx>
          <c:invertIfNegative val="0"/>
          <c:cat>
            <c:strRef>
              <c:f>成绩统计表!$B$2:$B$6</c:f>
              <c:strCache>
                <c:ptCount val="5"/>
                <c:pt idx="0">
                  <c:v>胡晓兵</c:v>
                </c:pt>
                <c:pt idx="1">
                  <c:v>黄心迪</c:v>
                </c:pt>
                <c:pt idx="2">
                  <c:v>王欣雨</c:v>
                </c:pt>
                <c:pt idx="3">
                  <c:v>程本基</c:v>
                </c:pt>
                <c:pt idx="4">
                  <c:v>邵军</c:v>
                </c:pt>
              </c:strCache>
            </c:strRef>
          </c:cat>
          <c:val>
            <c:numRef>
              <c:f>成绩统计表!$F$2:$F$6</c:f>
              <c:numCache>
                <c:formatCode>General</c:formatCode>
                <c:ptCount val="5"/>
                <c:pt idx="0">
                  <c:v>82.000000000000156</c:v>
                </c:pt>
                <c:pt idx="1">
                  <c:v>70</c:v>
                </c:pt>
                <c:pt idx="2">
                  <c:v>73</c:v>
                </c:pt>
                <c:pt idx="3">
                  <c:v>71</c:v>
                </c:pt>
                <c:pt idx="4">
                  <c:v>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1710208"/>
        <c:axId val="51716096"/>
        <c:axId val="0"/>
      </c:bar3DChart>
      <c:catAx>
        <c:axId val="51710208"/>
        <c:scaling>
          <c:orientation val="minMax"/>
        </c:scaling>
        <c:delete val="0"/>
        <c:axPos val="b"/>
        <c:majorTickMark val="out"/>
        <c:minorTickMark val="none"/>
        <c:tickLblPos val="nextTo"/>
        <c:crossAx val="51716096"/>
        <c:crosses val="autoZero"/>
        <c:auto val="1"/>
        <c:lblAlgn val="ctr"/>
        <c:lblOffset val="100"/>
        <c:noMultiLvlLbl val="0"/>
      </c:catAx>
      <c:valAx>
        <c:axId val="51716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17102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19</xdr:row>
      <xdr:rowOff>128587</xdr:rowOff>
    </xdr:from>
    <xdr:to>
      <xdr:col>8</xdr:col>
      <xdr:colOff>19050</xdr:colOff>
      <xdr:row>34</xdr:row>
      <xdr:rowOff>157162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workbookViewId="0">
      <selection activeCell="F26" sqref="A1:XFD1048576"/>
    </sheetView>
  </sheetViews>
  <sheetFormatPr defaultRowHeight="14.25" x14ac:dyDescent="0.15"/>
  <cols>
    <col min="2" max="2" width="7.5" bestFit="1" customWidth="1"/>
    <col min="3" max="10" width="5.5" bestFit="1" customWidth="1"/>
  </cols>
  <sheetData>
    <row r="1" spans="1:12" ht="27.95" customHeight="1" x14ac:dyDescent="0.15">
      <c r="A1" s="5" t="s">
        <v>32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15">
      <c r="A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ht="15.75" x14ac:dyDescent="0.25">
      <c r="A3" s="7" t="s">
        <v>34</v>
      </c>
      <c r="B3" s="1" t="s">
        <v>12</v>
      </c>
      <c r="C3" s="1" t="s">
        <v>13</v>
      </c>
      <c r="D3" s="2">
        <v>87</v>
      </c>
      <c r="E3" s="3">
        <v>82</v>
      </c>
      <c r="F3" s="2">
        <v>82.000000000000156</v>
      </c>
      <c r="G3" s="3">
        <v>89</v>
      </c>
      <c r="H3" s="2">
        <v>92</v>
      </c>
      <c r="I3" s="3">
        <v>88</v>
      </c>
      <c r="J3" s="4">
        <f>SUM(D3:I3)</f>
        <v>520.00000000000023</v>
      </c>
      <c r="K3" s="8">
        <f>AVERAGE(D3:I3)</f>
        <v>86.6666666666667</v>
      </c>
      <c r="L3" s="4" t="str">
        <f>IF(K3&gt;=90,"优秀",IF(K3&gt;=80,"良好",IF(K3&gt;=70,"合格","不合格")))</f>
        <v>良好</v>
      </c>
    </row>
    <row r="4" spans="1:12" ht="15.75" x14ac:dyDescent="0.25">
      <c r="A4" s="7" t="s">
        <v>36</v>
      </c>
      <c r="B4" s="1" t="s">
        <v>14</v>
      </c>
      <c r="C4" s="1" t="s">
        <v>15</v>
      </c>
      <c r="D4" s="2">
        <v>74</v>
      </c>
      <c r="E4" s="3">
        <v>72</v>
      </c>
      <c r="F4" s="2">
        <v>70</v>
      </c>
      <c r="G4" s="3">
        <v>75</v>
      </c>
      <c r="H4" s="2">
        <v>67</v>
      </c>
      <c r="I4" s="3">
        <v>85</v>
      </c>
      <c r="J4" s="4">
        <f t="shared" ref="J4:J19" si="0">SUM(D4:I4)</f>
        <v>443</v>
      </c>
      <c r="K4" s="8">
        <f t="shared" ref="K4:K19" si="1">AVERAGE(D4:I4)</f>
        <v>73.833333333333329</v>
      </c>
      <c r="L4" s="4" t="str">
        <f t="shared" ref="L4:L19" si="2">IF(K4&gt;=90,"优秀",IF(K4&gt;=80,"良好",IF(K4&gt;=70,"合格","不合格")))</f>
        <v>合格</v>
      </c>
    </row>
    <row r="5" spans="1:12" ht="15.75" x14ac:dyDescent="0.25">
      <c r="A5" s="7" t="s">
        <v>37</v>
      </c>
      <c r="B5" s="1" t="s">
        <v>16</v>
      </c>
      <c r="C5" s="1" t="s">
        <v>17</v>
      </c>
      <c r="D5" s="2">
        <v>86</v>
      </c>
      <c r="E5" s="3">
        <v>74</v>
      </c>
      <c r="F5" s="2">
        <v>73</v>
      </c>
      <c r="G5" s="3">
        <v>89</v>
      </c>
      <c r="H5" s="2">
        <v>72</v>
      </c>
      <c r="I5" s="3">
        <v>83</v>
      </c>
      <c r="J5" s="4">
        <f t="shared" si="0"/>
        <v>477</v>
      </c>
      <c r="K5" s="8">
        <f t="shared" si="1"/>
        <v>79.5</v>
      </c>
      <c r="L5" s="4" t="str">
        <f t="shared" si="2"/>
        <v>合格</v>
      </c>
    </row>
    <row r="6" spans="1:12" ht="15.75" x14ac:dyDescent="0.25">
      <c r="A6" s="7" t="s">
        <v>38</v>
      </c>
      <c r="B6" s="1" t="s">
        <v>18</v>
      </c>
      <c r="C6" s="1" t="s">
        <v>13</v>
      </c>
      <c r="D6" s="2">
        <v>52</v>
      </c>
      <c r="E6" s="3">
        <v>40</v>
      </c>
      <c r="F6" s="2">
        <v>71</v>
      </c>
      <c r="G6" s="3">
        <v>57</v>
      </c>
      <c r="H6" s="2">
        <v>36</v>
      </c>
      <c r="I6" s="3">
        <v>57</v>
      </c>
      <c r="J6" s="4">
        <f t="shared" si="0"/>
        <v>313</v>
      </c>
      <c r="K6" s="8">
        <f t="shared" si="1"/>
        <v>52.166666666666664</v>
      </c>
      <c r="L6" s="4" t="str">
        <f t="shared" si="2"/>
        <v>不合格</v>
      </c>
    </row>
    <row r="7" spans="1:12" ht="15.75" x14ac:dyDescent="0.25">
      <c r="A7" s="7" t="s">
        <v>39</v>
      </c>
      <c r="B7" s="1" t="s">
        <v>19</v>
      </c>
      <c r="C7" s="1" t="s">
        <v>13</v>
      </c>
      <c r="D7" s="2">
        <v>84</v>
      </c>
      <c r="E7" s="3">
        <v>89</v>
      </c>
      <c r="F7" s="2">
        <v>93</v>
      </c>
      <c r="G7" s="3">
        <v>86</v>
      </c>
      <c r="H7" s="2">
        <v>96</v>
      </c>
      <c r="I7" s="3">
        <v>96</v>
      </c>
      <c r="J7" s="4">
        <f t="shared" si="0"/>
        <v>544</v>
      </c>
      <c r="K7" s="8">
        <f t="shared" si="1"/>
        <v>90.666666666666671</v>
      </c>
      <c r="L7" s="4" t="str">
        <f t="shared" si="2"/>
        <v>优秀</v>
      </c>
    </row>
    <row r="8" spans="1:12" ht="15.75" x14ac:dyDescent="0.25">
      <c r="A8" s="7" t="s">
        <v>40</v>
      </c>
      <c r="B8" s="1" t="s">
        <v>20</v>
      </c>
      <c r="C8" s="1" t="s">
        <v>17</v>
      </c>
      <c r="D8" s="2">
        <v>68</v>
      </c>
      <c r="E8" s="3">
        <v>92</v>
      </c>
      <c r="F8" s="2">
        <v>66</v>
      </c>
      <c r="G8" s="3">
        <v>74</v>
      </c>
      <c r="H8" s="2">
        <v>72</v>
      </c>
      <c r="I8" s="3">
        <v>83</v>
      </c>
      <c r="J8" s="4">
        <f t="shared" si="0"/>
        <v>455</v>
      </c>
      <c r="K8" s="8">
        <f t="shared" si="1"/>
        <v>75.833333333333329</v>
      </c>
      <c r="L8" s="4" t="str">
        <f t="shared" si="2"/>
        <v>合格</v>
      </c>
    </row>
    <row r="9" spans="1:12" ht="15.75" x14ac:dyDescent="0.25">
      <c r="A9" s="7" t="s">
        <v>41</v>
      </c>
      <c r="B9" s="1" t="s">
        <v>21</v>
      </c>
      <c r="C9" s="1" t="s">
        <v>13</v>
      </c>
      <c r="D9" s="2">
        <v>62</v>
      </c>
      <c r="E9" s="3">
        <v>82</v>
      </c>
      <c r="F9" s="2">
        <v>72</v>
      </c>
      <c r="G9" s="3">
        <v>87</v>
      </c>
      <c r="H9" s="2">
        <v>75</v>
      </c>
      <c r="I9" s="3">
        <v>65</v>
      </c>
      <c r="J9" s="4">
        <f t="shared" si="0"/>
        <v>443</v>
      </c>
      <c r="K9" s="8">
        <f t="shared" si="1"/>
        <v>73.833333333333329</v>
      </c>
      <c r="L9" s="4" t="str">
        <f t="shared" si="2"/>
        <v>合格</v>
      </c>
    </row>
    <row r="10" spans="1:12" ht="15.75" x14ac:dyDescent="0.25">
      <c r="A10" s="7" t="s">
        <v>42</v>
      </c>
      <c r="B10" s="1" t="s">
        <v>22</v>
      </c>
      <c r="C10" s="1" t="s">
        <v>13</v>
      </c>
      <c r="D10" s="2">
        <v>65</v>
      </c>
      <c r="E10" s="3">
        <v>52</v>
      </c>
      <c r="F10" s="2">
        <v>66</v>
      </c>
      <c r="G10" s="3">
        <v>86</v>
      </c>
      <c r="H10" s="2">
        <v>67</v>
      </c>
      <c r="I10" s="3">
        <v>53</v>
      </c>
      <c r="J10" s="4">
        <f t="shared" si="0"/>
        <v>389</v>
      </c>
      <c r="K10" s="8">
        <f t="shared" si="1"/>
        <v>64.833333333333329</v>
      </c>
      <c r="L10" s="4" t="str">
        <f t="shared" si="2"/>
        <v>不合格</v>
      </c>
    </row>
    <row r="11" spans="1:12" ht="15.75" x14ac:dyDescent="0.25">
      <c r="A11" s="7" t="s">
        <v>43</v>
      </c>
      <c r="B11" s="1" t="s">
        <v>23</v>
      </c>
      <c r="C11" s="1" t="s">
        <v>13</v>
      </c>
      <c r="D11" s="2">
        <v>68</v>
      </c>
      <c r="E11" s="3">
        <v>68</v>
      </c>
      <c r="F11" s="2">
        <v>70</v>
      </c>
      <c r="G11" s="3">
        <v>71</v>
      </c>
      <c r="H11" s="2">
        <v>84</v>
      </c>
      <c r="I11" s="3">
        <v>75</v>
      </c>
      <c r="J11" s="4">
        <f t="shared" si="0"/>
        <v>436</v>
      </c>
      <c r="K11" s="8">
        <f t="shared" si="1"/>
        <v>72.666666666666671</v>
      </c>
      <c r="L11" s="4" t="str">
        <f t="shared" si="2"/>
        <v>合格</v>
      </c>
    </row>
    <row r="12" spans="1:12" ht="15.75" x14ac:dyDescent="0.25">
      <c r="A12" s="7" t="s">
        <v>44</v>
      </c>
      <c r="B12" s="1" t="s">
        <v>24</v>
      </c>
      <c r="C12" s="1" t="s">
        <v>15</v>
      </c>
      <c r="D12" s="2">
        <v>51</v>
      </c>
      <c r="E12" s="3">
        <v>57</v>
      </c>
      <c r="F12" s="2">
        <v>78</v>
      </c>
      <c r="G12" s="3">
        <v>84</v>
      </c>
      <c r="H12" s="2">
        <v>67</v>
      </c>
      <c r="I12" s="3">
        <v>60</v>
      </c>
      <c r="J12" s="4">
        <f t="shared" si="0"/>
        <v>397</v>
      </c>
      <c r="K12" s="8">
        <f t="shared" si="1"/>
        <v>66.166666666666671</v>
      </c>
      <c r="L12" s="4" t="str">
        <f t="shared" si="2"/>
        <v>不合格</v>
      </c>
    </row>
    <row r="13" spans="1:12" ht="15.75" x14ac:dyDescent="0.25">
      <c r="A13" s="7" t="s">
        <v>45</v>
      </c>
      <c r="B13" s="1" t="s">
        <v>25</v>
      </c>
      <c r="C13" s="1" t="s">
        <v>13</v>
      </c>
      <c r="D13" s="2">
        <v>87</v>
      </c>
      <c r="E13" s="3">
        <v>70</v>
      </c>
      <c r="F13" s="2">
        <v>71</v>
      </c>
      <c r="G13" s="3">
        <v>75</v>
      </c>
      <c r="H13" s="2">
        <v>58</v>
      </c>
      <c r="I13" s="3">
        <v>54</v>
      </c>
      <c r="J13" s="4">
        <f t="shared" si="0"/>
        <v>415</v>
      </c>
      <c r="K13" s="8">
        <f t="shared" si="1"/>
        <v>69.166666666666671</v>
      </c>
      <c r="L13" s="4" t="str">
        <f t="shared" si="2"/>
        <v>不合格</v>
      </c>
    </row>
    <row r="14" spans="1:12" ht="15.75" x14ac:dyDescent="0.25">
      <c r="A14" s="7" t="s">
        <v>46</v>
      </c>
      <c r="B14" s="1" t="s">
        <v>26</v>
      </c>
      <c r="C14" s="1" t="s">
        <v>13</v>
      </c>
      <c r="D14" s="2">
        <v>88</v>
      </c>
      <c r="E14" s="3">
        <v>74</v>
      </c>
      <c r="F14" s="2">
        <v>72</v>
      </c>
      <c r="G14" s="3">
        <v>70</v>
      </c>
      <c r="H14" s="2">
        <v>67</v>
      </c>
      <c r="I14" s="3">
        <v>84</v>
      </c>
      <c r="J14" s="4">
        <f t="shared" si="0"/>
        <v>455</v>
      </c>
      <c r="K14" s="8">
        <f t="shared" si="1"/>
        <v>75.833333333333329</v>
      </c>
      <c r="L14" s="4" t="str">
        <f t="shared" si="2"/>
        <v>合格</v>
      </c>
    </row>
    <row r="15" spans="1:12" ht="15.75" x14ac:dyDescent="0.25">
      <c r="A15" s="7" t="s">
        <v>47</v>
      </c>
      <c r="B15" s="1" t="s">
        <v>27</v>
      </c>
      <c r="C15" s="1" t="s">
        <v>15</v>
      </c>
      <c r="D15" s="2">
        <v>58</v>
      </c>
      <c r="E15" s="3">
        <v>76</v>
      </c>
      <c r="F15" s="2">
        <v>84</v>
      </c>
      <c r="G15" s="3">
        <v>75</v>
      </c>
      <c r="H15" s="2">
        <v>49</v>
      </c>
      <c r="I15" s="3">
        <v>47</v>
      </c>
      <c r="J15" s="4">
        <f t="shared" si="0"/>
        <v>389</v>
      </c>
      <c r="K15" s="8">
        <f t="shared" si="1"/>
        <v>64.833333333333329</v>
      </c>
      <c r="L15" s="4" t="str">
        <f t="shared" si="2"/>
        <v>不合格</v>
      </c>
    </row>
    <row r="16" spans="1:12" ht="15.75" x14ac:dyDescent="0.25">
      <c r="A16" s="7" t="s">
        <v>48</v>
      </c>
      <c r="B16" s="1" t="s">
        <v>28</v>
      </c>
      <c r="C16" s="1" t="s">
        <v>13</v>
      </c>
      <c r="D16" s="2">
        <v>75</v>
      </c>
      <c r="E16" s="3">
        <v>77</v>
      </c>
      <c r="F16" s="2">
        <v>84</v>
      </c>
      <c r="G16" s="3">
        <v>71</v>
      </c>
      <c r="H16" s="2">
        <v>80</v>
      </c>
      <c r="I16" s="3">
        <v>86</v>
      </c>
      <c r="J16" s="4">
        <f t="shared" si="0"/>
        <v>473</v>
      </c>
      <c r="K16" s="8">
        <f t="shared" si="1"/>
        <v>78.833333333333329</v>
      </c>
      <c r="L16" s="4" t="str">
        <f t="shared" si="2"/>
        <v>合格</v>
      </c>
    </row>
    <row r="17" spans="1:12" ht="15.75" x14ac:dyDescent="0.25">
      <c r="A17" s="7" t="s">
        <v>49</v>
      </c>
      <c r="B17" s="1" t="s">
        <v>29</v>
      </c>
      <c r="C17" s="1" t="s">
        <v>15</v>
      </c>
      <c r="D17" s="2">
        <v>64</v>
      </c>
      <c r="E17" s="3">
        <v>71</v>
      </c>
      <c r="F17" s="2">
        <v>76</v>
      </c>
      <c r="G17" s="3">
        <v>73</v>
      </c>
      <c r="H17" s="2">
        <v>76</v>
      </c>
      <c r="I17" s="3">
        <v>71</v>
      </c>
      <c r="J17" s="4">
        <f t="shared" si="0"/>
        <v>431</v>
      </c>
      <c r="K17" s="8">
        <f t="shared" si="1"/>
        <v>71.833333333333329</v>
      </c>
      <c r="L17" s="4" t="str">
        <f t="shared" si="2"/>
        <v>合格</v>
      </c>
    </row>
    <row r="18" spans="1:12" ht="15.75" x14ac:dyDescent="0.25">
      <c r="A18" s="7" t="s">
        <v>50</v>
      </c>
      <c r="B18" s="1" t="s">
        <v>30</v>
      </c>
      <c r="C18" s="1" t="s">
        <v>15</v>
      </c>
      <c r="D18" s="2">
        <v>68</v>
      </c>
      <c r="E18" s="3">
        <v>92</v>
      </c>
      <c r="F18" s="2">
        <v>67</v>
      </c>
      <c r="G18" s="3">
        <v>59</v>
      </c>
      <c r="H18" s="2">
        <v>49</v>
      </c>
      <c r="I18" s="3">
        <v>75</v>
      </c>
      <c r="J18" s="4">
        <f t="shared" si="0"/>
        <v>410</v>
      </c>
      <c r="K18" s="8">
        <f t="shared" si="1"/>
        <v>68.333333333333329</v>
      </c>
      <c r="L18" s="4" t="str">
        <f t="shared" si="2"/>
        <v>不合格</v>
      </c>
    </row>
    <row r="19" spans="1:12" ht="15.75" x14ac:dyDescent="0.25">
      <c r="A19" s="7" t="s">
        <v>51</v>
      </c>
      <c r="B19" s="1" t="s">
        <v>31</v>
      </c>
      <c r="C19" s="1" t="s">
        <v>13</v>
      </c>
      <c r="D19" s="3">
        <v>78</v>
      </c>
      <c r="E19" s="3">
        <v>86</v>
      </c>
      <c r="F19" s="2">
        <v>75</v>
      </c>
      <c r="G19" s="3">
        <v>86</v>
      </c>
      <c r="H19" s="2">
        <v>73</v>
      </c>
      <c r="I19" s="3">
        <v>85</v>
      </c>
      <c r="J19" s="4">
        <f t="shared" si="0"/>
        <v>483</v>
      </c>
      <c r="K19" s="8">
        <f t="shared" si="1"/>
        <v>80.5</v>
      </c>
      <c r="L19" s="4" t="str">
        <f t="shared" si="2"/>
        <v>良好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workbookViewId="0">
      <selection activeCell="A2" sqref="A2:M19"/>
    </sheetView>
  </sheetViews>
  <sheetFormatPr defaultRowHeight="14.25" x14ac:dyDescent="0.15"/>
  <cols>
    <col min="2" max="2" width="7.5" bestFit="1" customWidth="1"/>
    <col min="3" max="10" width="5.5" bestFit="1" customWidth="1"/>
  </cols>
  <sheetData>
    <row r="1" spans="1:13" ht="27.95" customHeight="1" x14ac:dyDescent="0.15">
      <c r="A1" s="5" t="s">
        <v>32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3" x14ac:dyDescent="0.15">
      <c r="A2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9" t="s">
        <v>53</v>
      </c>
    </row>
    <row r="3" spans="1:13" ht="15.75" x14ac:dyDescent="0.25">
      <c r="A3" s="7" t="s">
        <v>34</v>
      </c>
      <c r="B3" s="1" t="s">
        <v>12</v>
      </c>
      <c r="C3" s="1" t="s">
        <v>13</v>
      </c>
      <c r="D3" s="2">
        <v>87</v>
      </c>
      <c r="E3" s="3">
        <v>82</v>
      </c>
      <c r="F3" s="2">
        <v>82.000000000000156</v>
      </c>
      <c r="G3" s="3">
        <v>89</v>
      </c>
      <c r="H3" s="2">
        <v>92</v>
      </c>
      <c r="I3" s="3">
        <v>88</v>
      </c>
      <c r="J3" s="4">
        <f>SUM(D3:I3)</f>
        <v>520.00000000000023</v>
      </c>
      <c r="K3" s="8">
        <f>AVERAGE(D3:I3)</f>
        <v>86.6666666666667</v>
      </c>
      <c r="L3" s="4" t="str">
        <f>IF(K3&gt;=90,"优秀",IF(K3&gt;=80,"良好",IF(K3&gt;=70,"合格","不合格")))</f>
        <v>良好</v>
      </c>
      <c r="M3" t="str">
        <f>TEXT(RANK(J3,J$3:J$19),"000")</f>
        <v>002</v>
      </c>
    </row>
    <row r="4" spans="1:13" ht="15.75" x14ac:dyDescent="0.25">
      <c r="A4" s="7" t="s">
        <v>36</v>
      </c>
      <c r="B4" s="1" t="s">
        <v>14</v>
      </c>
      <c r="C4" s="1" t="s">
        <v>15</v>
      </c>
      <c r="D4" s="2">
        <v>74</v>
      </c>
      <c r="E4" s="3">
        <v>72</v>
      </c>
      <c r="F4" s="2">
        <v>70</v>
      </c>
      <c r="G4" s="3">
        <v>75</v>
      </c>
      <c r="H4" s="2">
        <v>67</v>
      </c>
      <c r="I4" s="3">
        <v>85</v>
      </c>
      <c r="J4" s="4">
        <f t="shared" ref="J4:J19" si="0">SUM(D4:I4)</f>
        <v>443</v>
      </c>
      <c r="K4" s="8">
        <f t="shared" ref="K4:K19" si="1">AVERAGE(D4:I4)</f>
        <v>73.833333333333329</v>
      </c>
      <c r="L4" s="4" t="str">
        <f t="shared" ref="L4:L19" si="2">IF(K4&gt;=90,"优秀",IF(K4&gt;=80,"良好",IF(K4&gt;=70,"合格","不合格")))</f>
        <v>合格</v>
      </c>
      <c r="M4" t="str">
        <f t="shared" ref="M4:M19" si="3">TEXT(RANK(J4,J$3:J$19),"000")</f>
        <v>008</v>
      </c>
    </row>
    <row r="5" spans="1:13" ht="15.75" x14ac:dyDescent="0.25">
      <c r="A5" s="7" t="s">
        <v>37</v>
      </c>
      <c r="B5" s="1" t="s">
        <v>16</v>
      </c>
      <c r="C5" s="1" t="s">
        <v>17</v>
      </c>
      <c r="D5" s="2">
        <v>86</v>
      </c>
      <c r="E5" s="3">
        <v>74</v>
      </c>
      <c r="F5" s="2">
        <v>73</v>
      </c>
      <c r="G5" s="3">
        <v>89</v>
      </c>
      <c r="H5" s="2">
        <v>72</v>
      </c>
      <c r="I5" s="3">
        <v>83</v>
      </c>
      <c r="J5" s="4">
        <f t="shared" si="0"/>
        <v>477</v>
      </c>
      <c r="K5" s="8">
        <f t="shared" si="1"/>
        <v>79.5</v>
      </c>
      <c r="L5" s="4" t="str">
        <f t="shared" si="2"/>
        <v>合格</v>
      </c>
      <c r="M5" t="str">
        <f t="shared" si="3"/>
        <v>004</v>
      </c>
    </row>
    <row r="6" spans="1:13" ht="15.75" x14ac:dyDescent="0.25">
      <c r="A6" s="7" t="s">
        <v>38</v>
      </c>
      <c r="B6" s="1" t="s">
        <v>18</v>
      </c>
      <c r="C6" s="1" t="s">
        <v>13</v>
      </c>
      <c r="D6" s="2">
        <v>52</v>
      </c>
      <c r="E6" s="3">
        <v>40</v>
      </c>
      <c r="F6" s="2">
        <v>71</v>
      </c>
      <c r="G6" s="3">
        <v>57</v>
      </c>
      <c r="H6" s="2">
        <v>36</v>
      </c>
      <c r="I6" s="3">
        <v>57</v>
      </c>
      <c r="J6" s="4">
        <f t="shared" si="0"/>
        <v>313</v>
      </c>
      <c r="K6" s="8">
        <f t="shared" si="1"/>
        <v>52.166666666666664</v>
      </c>
      <c r="L6" s="4" t="str">
        <f t="shared" si="2"/>
        <v>不合格</v>
      </c>
      <c r="M6" t="str">
        <f t="shared" si="3"/>
        <v>017</v>
      </c>
    </row>
    <row r="7" spans="1:13" ht="15.75" x14ac:dyDescent="0.25">
      <c r="A7" s="7" t="s">
        <v>39</v>
      </c>
      <c r="B7" s="1" t="s">
        <v>19</v>
      </c>
      <c r="C7" s="1" t="s">
        <v>13</v>
      </c>
      <c r="D7" s="2">
        <v>84</v>
      </c>
      <c r="E7" s="3">
        <v>89</v>
      </c>
      <c r="F7" s="2">
        <v>93</v>
      </c>
      <c r="G7" s="3">
        <v>86</v>
      </c>
      <c r="H7" s="2">
        <v>96</v>
      </c>
      <c r="I7" s="3">
        <v>96</v>
      </c>
      <c r="J7" s="4">
        <f t="shared" si="0"/>
        <v>544</v>
      </c>
      <c r="K7" s="8">
        <f t="shared" si="1"/>
        <v>90.666666666666671</v>
      </c>
      <c r="L7" s="4" t="str">
        <f t="shared" si="2"/>
        <v>优秀</v>
      </c>
      <c r="M7" t="str">
        <f t="shared" si="3"/>
        <v>001</v>
      </c>
    </row>
    <row r="8" spans="1:13" ht="15.75" x14ac:dyDescent="0.25">
      <c r="A8" s="7" t="s">
        <v>40</v>
      </c>
      <c r="B8" s="1" t="s">
        <v>20</v>
      </c>
      <c r="C8" s="1" t="s">
        <v>17</v>
      </c>
      <c r="D8" s="2">
        <v>68</v>
      </c>
      <c r="E8" s="3">
        <v>92</v>
      </c>
      <c r="F8" s="2">
        <v>66</v>
      </c>
      <c r="G8" s="3">
        <v>74</v>
      </c>
      <c r="H8" s="2">
        <v>72</v>
      </c>
      <c r="I8" s="3">
        <v>83</v>
      </c>
      <c r="J8" s="4">
        <f t="shared" si="0"/>
        <v>455</v>
      </c>
      <c r="K8" s="8">
        <f t="shared" si="1"/>
        <v>75.833333333333329</v>
      </c>
      <c r="L8" s="4" t="str">
        <f t="shared" si="2"/>
        <v>合格</v>
      </c>
      <c r="M8" t="str">
        <f t="shared" si="3"/>
        <v>006</v>
      </c>
    </row>
    <row r="9" spans="1:13" ht="15.75" x14ac:dyDescent="0.25">
      <c r="A9" s="7" t="s">
        <v>41</v>
      </c>
      <c r="B9" s="1" t="s">
        <v>21</v>
      </c>
      <c r="C9" s="1" t="s">
        <v>13</v>
      </c>
      <c r="D9" s="2">
        <v>62</v>
      </c>
      <c r="E9" s="3">
        <v>82</v>
      </c>
      <c r="F9" s="2">
        <v>72</v>
      </c>
      <c r="G9" s="3">
        <v>87</v>
      </c>
      <c r="H9" s="2">
        <v>75</v>
      </c>
      <c r="I9" s="3">
        <v>65</v>
      </c>
      <c r="J9" s="4">
        <f t="shared" si="0"/>
        <v>443</v>
      </c>
      <c r="K9" s="8">
        <f t="shared" si="1"/>
        <v>73.833333333333329</v>
      </c>
      <c r="L9" s="4" t="str">
        <f t="shared" si="2"/>
        <v>合格</v>
      </c>
      <c r="M9" t="str">
        <f t="shared" si="3"/>
        <v>008</v>
      </c>
    </row>
    <row r="10" spans="1:13" ht="15.75" x14ac:dyDescent="0.25">
      <c r="A10" s="7" t="s">
        <v>42</v>
      </c>
      <c r="B10" s="1" t="s">
        <v>22</v>
      </c>
      <c r="C10" s="1" t="s">
        <v>13</v>
      </c>
      <c r="D10" s="2">
        <v>65</v>
      </c>
      <c r="E10" s="3">
        <v>52</v>
      </c>
      <c r="F10" s="2">
        <v>66</v>
      </c>
      <c r="G10" s="3">
        <v>86</v>
      </c>
      <c r="H10" s="2">
        <v>67</v>
      </c>
      <c r="I10" s="3">
        <v>53</v>
      </c>
      <c r="J10" s="4">
        <f t="shared" si="0"/>
        <v>389</v>
      </c>
      <c r="K10" s="8">
        <f t="shared" si="1"/>
        <v>64.833333333333329</v>
      </c>
      <c r="L10" s="4" t="str">
        <f t="shared" si="2"/>
        <v>不合格</v>
      </c>
      <c r="M10" t="str">
        <f t="shared" si="3"/>
        <v>015</v>
      </c>
    </row>
    <row r="11" spans="1:13" ht="15.75" x14ac:dyDescent="0.25">
      <c r="A11" s="7" t="s">
        <v>43</v>
      </c>
      <c r="B11" s="1" t="s">
        <v>23</v>
      </c>
      <c r="C11" s="1" t="s">
        <v>13</v>
      </c>
      <c r="D11" s="2">
        <v>68</v>
      </c>
      <c r="E11" s="3">
        <v>68</v>
      </c>
      <c r="F11" s="2">
        <v>70</v>
      </c>
      <c r="G11" s="3">
        <v>71</v>
      </c>
      <c r="H11" s="2">
        <v>84</v>
      </c>
      <c r="I11" s="3">
        <v>75</v>
      </c>
      <c r="J11" s="4">
        <f t="shared" si="0"/>
        <v>436</v>
      </c>
      <c r="K11" s="8">
        <f t="shared" si="1"/>
        <v>72.666666666666671</v>
      </c>
      <c r="L11" s="4" t="str">
        <f t="shared" si="2"/>
        <v>合格</v>
      </c>
      <c r="M11" t="str">
        <f t="shared" si="3"/>
        <v>010</v>
      </c>
    </row>
    <row r="12" spans="1:13" ht="15.75" x14ac:dyDescent="0.25">
      <c r="A12" s="7" t="s">
        <v>44</v>
      </c>
      <c r="B12" s="1" t="s">
        <v>24</v>
      </c>
      <c r="C12" s="1" t="s">
        <v>15</v>
      </c>
      <c r="D12" s="2">
        <v>51</v>
      </c>
      <c r="E12" s="3">
        <v>57</v>
      </c>
      <c r="F12" s="2">
        <v>78</v>
      </c>
      <c r="G12" s="3">
        <v>84</v>
      </c>
      <c r="H12" s="2">
        <v>67</v>
      </c>
      <c r="I12" s="3">
        <v>60</v>
      </c>
      <c r="J12" s="4">
        <f t="shared" si="0"/>
        <v>397</v>
      </c>
      <c r="K12" s="8">
        <f t="shared" si="1"/>
        <v>66.166666666666671</v>
      </c>
      <c r="L12" s="4" t="str">
        <f t="shared" si="2"/>
        <v>不合格</v>
      </c>
      <c r="M12" t="str">
        <f t="shared" si="3"/>
        <v>014</v>
      </c>
    </row>
    <row r="13" spans="1:13" ht="15.75" x14ac:dyDescent="0.25">
      <c r="A13" s="7" t="s">
        <v>45</v>
      </c>
      <c r="B13" s="1" t="s">
        <v>25</v>
      </c>
      <c r="C13" s="1" t="s">
        <v>13</v>
      </c>
      <c r="D13" s="2">
        <v>87</v>
      </c>
      <c r="E13" s="3">
        <v>70</v>
      </c>
      <c r="F13" s="2">
        <v>71</v>
      </c>
      <c r="G13" s="3">
        <v>75</v>
      </c>
      <c r="H13" s="2">
        <v>58</v>
      </c>
      <c r="I13" s="3">
        <v>54</v>
      </c>
      <c r="J13" s="4">
        <f t="shared" si="0"/>
        <v>415</v>
      </c>
      <c r="K13" s="8">
        <f t="shared" si="1"/>
        <v>69.166666666666671</v>
      </c>
      <c r="L13" s="4" t="str">
        <f t="shared" si="2"/>
        <v>不合格</v>
      </c>
      <c r="M13" t="str">
        <f t="shared" si="3"/>
        <v>012</v>
      </c>
    </row>
    <row r="14" spans="1:13" ht="15.75" x14ac:dyDescent="0.25">
      <c r="A14" s="7" t="s">
        <v>46</v>
      </c>
      <c r="B14" s="1" t="s">
        <v>26</v>
      </c>
      <c r="C14" s="1" t="s">
        <v>13</v>
      </c>
      <c r="D14" s="2">
        <v>88</v>
      </c>
      <c r="E14" s="3">
        <v>74</v>
      </c>
      <c r="F14" s="2">
        <v>72</v>
      </c>
      <c r="G14" s="3">
        <v>70</v>
      </c>
      <c r="H14" s="2">
        <v>67</v>
      </c>
      <c r="I14" s="3">
        <v>84</v>
      </c>
      <c r="J14" s="4">
        <f t="shared" si="0"/>
        <v>455</v>
      </c>
      <c r="K14" s="8">
        <f t="shared" si="1"/>
        <v>75.833333333333329</v>
      </c>
      <c r="L14" s="4" t="str">
        <f t="shared" si="2"/>
        <v>合格</v>
      </c>
      <c r="M14" t="str">
        <f t="shared" si="3"/>
        <v>006</v>
      </c>
    </row>
    <row r="15" spans="1:13" ht="15.75" x14ac:dyDescent="0.25">
      <c r="A15" s="7" t="s">
        <v>47</v>
      </c>
      <c r="B15" s="1" t="s">
        <v>27</v>
      </c>
      <c r="C15" s="1" t="s">
        <v>15</v>
      </c>
      <c r="D15" s="2">
        <v>58</v>
      </c>
      <c r="E15" s="3">
        <v>76</v>
      </c>
      <c r="F15" s="2">
        <v>84</v>
      </c>
      <c r="G15" s="3">
        <v>75</v>
      </c>
      <c r="H15" s="2">
        <v>49</v>
      </c>
      <c r="I15" s="3">
        <v>47</v>
      </c>
      <c r="J15" s="4">
        <f t="shared" si="0"/>
        <v>389</v>
      </c>
      <c r="K15" s="8">
        <f t="shared" si="1"/>
        <v>64.833333333333329</v>
      </c>
      <c r="L15" s="4" t="str">
        <f t="shared" si="2"/>
        <v>不合格</v>
      </c>
      <c r="M15" t="str">
        <f t="shared" si="3"/>
        <v>015</v>
      </c>
    </row>
    <row r="16" spans="1:13" ht="15.75" x14ac:dyDescent="0.25">
      <c r="A16" s="7" t="s">
        <v>48</v>
      </c>
      <c r="B16" s="1" t="s">
        <v>28</v>
      </c>
      <c r="C16" s="1" t="s">
        <v>13</v>
      </c>
      <c r="D16" s="2">
        <v>75</v>
      </c>
      <c r="E16" s="3">
        <v>77</v>
      </c>
      <c r="F16" s="2">
        <v>84</v>
      </c>
      <c r="G16" s="3">
        <v>71</v>
      </c>
      <c r="H16" s="2">
        <v>80</v>
      </c>
      <c r="I16" s="3">
        <v>86</v>
      </c>
      <c r="J16" s="4">
        <f t="shared" si="0"/>
        <v>473</v>
      </c>
      <c r="K16" s="8">
        <f t="shared" si="1"/>
        <v>78.833333333333329</v>
      </c>
      <c r="L16" s="4" t="str">
        <f t="shared" si="2"/>
        <v>合格</v>
      </c>
      <c r="M16" t="str">
        <f t="shared" si="3"/>
        <v>005</v>
      </c>
    </row>
    <row r="17" spans="1:13" ht="15.75" x14ac:dyDescent="0.25">
      <c r="A17" s="7" t="s">
        <v>49</v>
      </c>
      <c r="B17" s="1" t="s">
        <v>29</v>
      </c>
      <c r="C17" s="1" t="s">
        <v>15</v>
      </c>
      <c r="D17" s="2">
        <v>64</v>
      </c>
      <c r="E17" s="3">
        <v>71</v>
      </c>
      <c r="F17" s="2">
        <v>76</v>
      </c>
      <c r="G17" s="3">
        <v>73</v>
      </c>
      <c r="H17" s="2">
        <v>76</v>
      </c>
      <c r="I17" s="3">
        <v>71</v>
      </c>
      <c r="J17" s="4">
        <f t="shared" si="0"/>
        <v>431</v>
      </c>
      <c r="K17" s="8">
        <f t="shared" si="1"/>
        <v>71.833333333333329</v>
      </c>
      <c r="L17" s="4" t="str">
        <f t="shared" si="2"/>
        <v>合格</v>
      </c>
      <c r="M17" t="str">
        <f t="shared" si="3"/>
        <v>011</v>
      </c>
    </row>
    <row r="18" spans="1:13" ht="15.75" x14ac:dyDescent="0.25">
      <c r="A18" s="7" t="s">
        <v>50</v>
      </c>
      <c r="B18" s="1" t="s">
        <v>30</v>
      </c>
      <c r="C18" s="1" t="s">
        <v>15</v>
      </c>
      <c r="D18" s="2">
        <v>68</v>
      </c>
      <c r="E18" s="3">
        <v>92</v>
      </c>
      <c r="F18" s="2">
        <v>67</v>
      </c>
      <c r="G18" s="3">
        <v>59</v>
      </c>
      <c r="H18" s="2">
        <v>49</v>
      </c>
      <c r="I18" s="3">
        <v>75</v>
      </c>
      <c r="J18" s="4">
        <f t="shared" si="0"/>
        <v>410</v>
      </c>
      <c r="K18" s="8">
        <f t="shared" si="1"/>
        <v>68.333333333333329</v>
      </c>
      <c r="L18" s="4" t="str">
        <f t="shared" si="2"/>
        <v>不合格</v>
      </c>
      <c r="M18" t="str">
        <f t="shared" si="3"/>
        <v>013</v>
      </c>
    </row>
    <row r="19" spans="1:13" ht="15.75" x14ac:dyDescent="0.25">
      <c r="A19" s="7" t="s">
        <v>51</v>
      </c>
      <c r="B19" s="1" t="s">
        <v>31</v>
      </c>
      <c r="C19" s="1" t="s">
        <v>13</v>
      </c>
      <c r="D19" s="3">
        <v>78</v>
      </c>
      <c r="E19" s="3">
        <v>86</v>
      </c>
      <c r="F19" s="2">
        <v>75</v>
      </c>
      <c r="G19" s="3">
        <v>86</v>
      </c>
      <c r="H19" s="2">
        <v>73</v>
      </c>
      <c r="I19" s="3">
        <v>85</v>
      </c>
      <c r="J19" s="4">
        <f t="shared" si="0"/>
        <v>483</v>
      </c>
      <c r="K19" s="8">
        <f t="shared" si="1"/>
        <v>80.5</v>
      </c>
      <c r="L19" s="4" t="str">
        <f t="shared" si="2"/>
        <v>良好</v>
      </c>
      <c r="M19" t="str">
        <f t="shared" si="3"/>
        <v>003</v>
      </c>
    </row>
  </sheetData>
  <phoneticPr fontId="1" type="noConversion"/>
  <conditionalFormatting sqref="D3:I19">
    <cfRule type="cellIs" dxfId="0" priority="2" operator="lessThan">
      <formula>60</formula>
    </cfRule>
    <cfRule type="cellIs" dxfId="1" priority="1" operator="between">
      <formula>61</formula>
      <formula>69</formula>
    </cfRule>
  </conditionalFormatting>
  <pageMargins left="0.75" right="0.75" top="1" bottom="1" header="0.5" footer="0.5"/>
  <pageSetup paperSize="9" orientation="portrait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abSelected="1" workbookViewId="0">
      <selection activeCell="D1" activeCellId="1" sqref="B1:B6 D1:F6"/>
    </sheetView>
  </sheetViews>
  <sheetFormatPr defaultRowHeight="14.25" x14ac:dyDescent="0.15"/>
  <sheetData>
    <row r="1" spans="1:13" x14ac:dyDescent="0.15">
      <c r="A1" t="s">
        <v>54</v>
      </c>
      <c r="B1" t="s">
        <v>55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52</v>
      </c>
    </row>
    <row r="2" spans="1:13" x14ac:dyDescent="0.15">
      <c r="A2" t="s">
        <v>33</v>
      </c>
      <c r="B2" t="s">
        <v>66</v>
      </c>
      <c r="C2" t="s">
        <v>67</v>
      </c>
      <c r="D2">
        <v>87</v>
      </c>
      <c r="E2">
        <v>82</v>
      </c>
      <c r="F2">
        <v>82.000000000000156</v>
      </c>
      <c r="G2">
        <v>89</v>
      </c>
      <c r="H2">
        <v>92</v>
      </c>
      <c r="I2">
        <v>88</v>
      </c>
      <c r="J2">
        <v>520.00000000000023</v>
      </c>
      <c r="K2">
        <v>86.6666666666667</v>
      </c>
      <c r="L2" t="s">
        <v>68</v>
      </c>
      <c r="M2" t="s">
        <v>69</v>
      </c>
    </row>
    <row r="3" spans="1:13" x14ac:dyDescent="0.15">
      <c r="A3" t="s">
        <v>35</v>
      </c>
      <c r="B3" t="s">
        <v>70</v>
      </c>
      <c r="C3" t="s">
        <v>17</v>
      </c>
      <c r="D3">
        <v>74</v>
      </c>
      <c r="E3">
        <v>72</v>
      </c>
      <c r="F3">
        <v>70</v>
      </c>
      <c r="G3">
        <v>75</v>
      </c>
      <c r="H3">
        <v>67</v>
      </c>
      <c r="I3">
        <v>85</v>
      </c>
      <c r="J3">
        <v>443</v>
      </c>
      <c r="K3">
        <v>73.833333333333329</v>
      </c>
      <c r="L3" t="s">
        <v>71</v>
      </c>
      <c r="M3" t="s">
        <v>72</v>
      </c>
    </row>
    <row r="4" spans="1:13" x14ac:dyDescent="0.15">
      <c r="A4" t="s">
        <v>37</v>
      </c>
      <c r="B4" t="s">
        <v>73</v>
      </c>
      <c r="C4" t="s">
        <v>17</v>
      </c>
      <c r="D4">
        <v>86</v>
      </c>
      <c r="E4">
        <v>74</v>
      </c>
      <c r="F4">
        <v>73</v>
      </c>
      <c r="G4">
        <v>89</v>
      </c>
      <c r="H4">
        <v>72</v>
      </c>
      <c r="I4">
        <v>83</v>
      </c>
      <c r="J4">
        <v>477</v>
      </c>
      <c r="K4">
        <v>79.5</v>
      </c>
      <c r="L4" t="s">
        <v>71</v>
      </c>
      <c r="M4" t="s">
        <v>74</v>
      </c>
    </row>
    <row r="5" spans="1:13" x14ac:dyDescent="0.15">
      <c r="A5" t="s">
        <v>38</v>
      </c>
      <c r="B5" t="s">
        <v>75</v>
      </c>
      <c r="C5" t="s">
        <v>67</v>
      </c>
      <c r="D5">
        <v>52</v>
      </c>
      <c r="E5">
        <v>40</v>
      </c>
      <c r="F5">
        <v>71</v>
      </c>
      <c r="G5">
        <v>57</v>
      </c>
      <c r="H5">
        <v>36</v>
      </c>
      <c r="I5">
        <v>57</v>
      </c>
      <c r="J5">
        <v>313</v>
      </c>
      <c r="K5">
        <v>52.166666666666664</v>
      </c>
      <c r="L5" t="s">
        <v>76</v>
      </c>
      <c r="M5" t="s">
        <v>77</v>
      </c>
    </row>
    <row r="6" spans="1:13" x14ac:dyDescent="0.15">
      <c r="A6" t="s">
        <v>39</v>
      </c>
      <c r="B6" t="s">
        <v>78</v>
      </c>
      <c r="C6" t="s">
        <v>67</v>
      </c>
      <c r="D6">
        <v>84</v>
      </c>
      <c r="E6">
        <v>89</v>
      </c>
      <c r="F6">
        <v>93</v>
      </c>
      <c r="G6">
        <v>86</v>
      </c>
      <c r="H6">
        <v>96</v>
      </c>
      <c r="I6">
        <v>96</v>
      </c>
      <c r="J6">
        <v>544</v>
      </c>
      <c r="K6">
        <v>90.666666666666671</v>
      </c>
      <c r="L6" t="s">
        <v>79</v>
      </c>
      <c r="M6" t="s">
        <v>80</v>
      </c>
    </row>
    <row r="7" spans="1:13" x14ac:dyDescent="0.15">
      <c r="A7" t="s">
        <v>40</v>
      </c>
      <c r="B7" t="s">
        <v>81</v>
      </c>
      <c r="C7" t="s">
        <v>17</v>
      </c>
      <c r="D7">
        <v>68</v>
      </c>
      <c r="E7">
        <v>92</v>
      </c>
      <c r="F7">
        <v>66</v>
      </c>
      <c r="G7">
        <v>74</v>
      </c>
      <c r="H7">
        <v>72</v>
      </c>
      <c r="I7">
        <v>83</v>
      </c>
      <c r="J7">
        <v>455</v>
      </c>
      <c r="K7">
        <v>75.833333333333329</v>
      </c>
      <c r="L7" t="s">
        <v>71</v>
      </c>
      <c r="M7" t="s">
        <v>82</v>
      </c>
    </row>
    <row r="8" spans="1:13" x14ac:dyDescent="0.15">
      <c r="A8" t="s">
        <v>41</v>
      </c>
      <c r="B8" t="s">
        <v>83</v>
      </c>
      <c r="C8" t="s">
        <v>67</v>
      </c>
      <c r="D8">
        <v>62</v>
      </c>
      <c r="E8">
        <v>82</v>
      </c>
      <c r="F8">
        <v>72</v>
      </c>
      <c r="G8">
        <v>87</v>
      </c>
      <c r="H8">
        <v>75</v>
      </c>
      <c r="I8">
        <v>65</v>
      </c>
      <c r="J8">
        <v>443</v>
      </c>
      <c r="K8">
        <v>73.833333333333329</v>
      </c>
      <c r="L8" t="s">
        <v>71</v>
      </c>
      <c r="M8" t="s">
        <v>72</v>
      </c>
    </row>
    <row r="9" spans="1:13" x14ac:dyDescent="0.15">
      <c r="A9" t="s">
        <v>42</v>
      </c>
      <c r="B9" t="s">
        <v>84</v>
      </c>
      <c r="C9" t="s">
        <v>67</v>
      </c>
      <c r="D9">
        <v>65</v>
      </c>
      <c r="E9">
        <v>52</v>
      </c>
      <c r="F9">
        <v>66</v>
      </c>
      <c r="G9">
        <v>86</v>
      </c>
      <c r="H9">
        <v>67</v>
      </c>
      <c r="I9">
        <v>53</v>
      </c>
      <c r="J9">
        <v>389</v>
      </c>
      <c r="K9">
        <v>64.833333333333329</v>
      </c>
      <c r="L9" t="s">
        <v>76</v>
      </c>
      <c r="M9" t="s">
        <v>85</v>
      </c>
    </row>
    <row r="10" spans="1:13" x14ac:dyDescent="0.15">
      <c r="A10" t="s">
        <v>43</v>
      </c>
      <c r="B10" t="s">
        <v>86</v>
      </c>
      <c r="C10" t="s">
        <v>67</v>
      </c>
      <c r="D10">
        <v>68</v>
      </c>
      <c r="E10">
        <v>68</v>
      </c>
      <c r="F10">
        <v>70</v>
      </c>
      <c r="G10">
        <v>71</v>
      </c>
      <c r="H10">
        <v>84</v>
      </c>
      <c r="I10">
        <v>75</v>
      </c>
      <c r="J10">
        <v>436</v>
      </c>
      <c r="K10">
        <v>72.666666666666671</v>
      </c>
      <c r="L10" t="s">
        <v>71</v>
      </c>
      <c r="M10" t="s">
        <v>87</v>
      </c>
    </row>
    <row r="11" spans="1:13" x14ac:dyDescent="0.15">
      <c r="A11" t="s">
        <v>44</v>
      </c>
      <c r="B11" t="s">
        <v>88</v>
      </c>
      <c r="C11" t="s">
        <v>17</v>
      </c>
      <c r="D11">
        <v>51</v>
      </c>
      <c r="E11">
        <v>57</v>
      </c>
      <c r="F11">
        <v>78</v>
      </c>
      <c r="G11">
        <v>84</v>
      </c>
      <c r="H11">
        <v>67</v>
      </c>
      <c r="I11">
        <v>60</v>
      </c>
      <c r="J11">
        <v>397</v>
      </c>
      <c r="K11">
        <v>66.166666666666671</v>
      </c>
      <c r="L11" t="s">
        <v>76</v>
      </c>
      <c r="M11" t="s">
        <v>89</v>
      </c>
    </row>
    <row r="12" spans="1:13" x14ac:dyDescent="0.15">
      <c r="A12" t="s">
        <v>45</v>
      </c>
      <c r="B12" t="s">
        <v>90</v>
      </c>
      <c r="C12" t="s">
        <v>67</v>
      </c>
      <c r="D12">
        <v>87</v>
      </c>
      <c r="E12">
        <v>70</v>
      </c>
      <c r="F12">
        <v>71</v>
      </c>
      <c r="G12">
        <v>75</v>
      </c>
      <c r="H12">
        <v>58</v>
      </c>
      <c r="I12">
        <v>54</v>
      </c>
      <c r="J12">
        <v>415</v>
      </c>
      <c r="K12">
        <v>69.166666666666671</v>
      </c>
      <c r="L12" t="s">
        <v>76</v>
      </c>
      <c r="M12" t="s">
        <v>91</v>
      </c>
    </row>
    <row r="13" spans="1:13" x14ac:dyDescent="0.15">
      <c r="A13" t="s">
        <v>46</v>
      </c>
      <c r="B13" t="s">
        <v>92</v>
      </c>
      <c r="C13" t="s">
        <v>67</v>
      </c>
      <c r="D13">
        <v>88</v>
      </c>
      <c r="E13">
        <v>74</v>
      </c>
      <c r="F13">
        <v>72</v>
      </c>
      <c r="G13">
        <v>70</v>
      </c>
      <c r="H13">
        <v>67</v>
      </c>
      <c r="I13">
        <v>84</v>
      </c>
      <c r="J13">
        <v>455</v>
      </c>
      <c r="K13">
        <v>75.833333333333329</v>
      </c>
      <c r="L13" t="s">
        <v>71</v>
      </c>
      <c r="M13" t="s">
        <v>82</v>
      </c>
    </row>
    <row r="14" spans="1:13" x14ac:dyDescent="0.15">
      <c r="A14" t="s">
        <v>47</v>
      </c>
      <c r="B14" t="s">
        <v>93</v>
      </c>
      <c r="C14" t="s">
        <v>17</v>
      </c>
      <c r="D14">
        <v>58</v>
      </c>
      <c r="E14">
        <v>76</v>
      </c>
      <c r="F14">
        <v>84</v>
      </c>
      <c r="G14">
        <v>75</v>
      </c>
      <c r="H14">
        <v>49</v>
      </c>
      <c r="I14">
        <v>47</v>
      </c>
      <c r="J14">
        <v>389</v>
      </c>
      <c r="K14">
        <v>64.833333333333329</v>
      </c>
      <c r="L14" t="s">
        <v>76</v>
      </c>
      <c r="M14" t="s">
        <v>85</v>
      </c>
    </row>
    <row r="15" spans="1:13" x14ac:dyDescent="0.15">
      <c r="A15" t="s">
        <v>48</v>
      </c>
      <c r="B15" t="s">
        <v>94</v>
      </c>
      <c r="C15" t="s">
        <v>67</v>
      </c>
      <c r="D15">
        <v>75</v>
      </c>
      <c r="E15">
        <v>77</v>
      </c>
      <c r="F15">
        <v>84</v>
      </c>
      <c r="G15">
        <v>71</v>
      </c>
      <c r="H15">
        <v>80</v>
      </c>
      <c r="I15">
        <v>86</v>
      </c>
      <c r="J15">
        <v>473</v>
      </c>
      <c r="K15">
        <v>78.833333333333329</v>
      </c>
      <c r="L15" t="s">
        <v>71</v>
      </c>
      <c r="M15" t="s">
        <v>95</v>
      </c>
    </row>
    <row r="16" spans="1:13" x14ac:dyDescent="0.15">
      <c r="A16" t="s">
        <v>49</v>
      </c>
      <c r="B16" t="s">
        <v>96</v>
      </c>
      <c r="C16" t="s">
        <v>17</v>
      </c>
      <c r="D16">
        <v>64</v>
      </c>
      <c r="E16">
        <v>71</v>
      </c>
      <c r="F16">
        <v>76</v>
      </c>
      <c r="G16">
        <v>73</v>
      </c>
      <c r="H16">
        <v>76</v>
      </c>
      <c r="I16">
        <v>71</v>
      </c>
      <c r="J16">
        <v>431</v>
      </c>
      <c r="K16">
        <v>71.833333333333329</v>
      </c>
      <c r="L16" t="s">
        <v>71</v>
      </c>
      <c r="M16" t="s">
        <v>97</v>
      </c>
    </row>
    <row r="17" spans="1:13" x14ac:dyDescent="0.15">
      <c r="A17" t="s">
        <v>50</v>
      </c>
      <c r="B17" t="s">
        <v>98</v>
      </c>
      <c r="C17" t="s">
        <v>17</v>
      </c>
      <c r="D17">
        <v>68</v>
      </c>
      <c r="E17">
        <v>92</v>
      </c>
      <c r="F17">
        <v>67</v>
      </c>
      <c r="G17">
        <v>59</v>
      </c>
      <c r="H17">
        <v>49</v>
      </c>
      <c r="I17">
        <v>75</v>
      </c>
      <c r="J17">
        <v>410</v>
      </c>
      <c r="K17">
        <v>68.333333333333329</v>
      </c>
      <c r="L17" t="s">
        <v>76</v>
      </c>
      <c r="M17" t="s">
        <v>99</v>
      </c>
    </row>
    <row r="18" spans="1:13" x14ac:dyDescent="0.15">
      <c r="A18" t="s">
        <v>51</v>
      </c>
      <c r="B18" t="s">
        <v>100</v>
      </c>
      <c r="C18" t="s">
        <v>67</v>
      </c>
      <c r="D18">
        <v>78</v>
      </c>
      <c r="E18">
        <v>86</v>
      </c>
      <c r="F18">
        <v>75</v>
      </c>
      <c r="G18">
        <v>86</v>
      </c>
      <c r="H18">
        <v>73</v>
      </c>
      <c r="I18">
        <v>85</v>
      </c>
      <c r="J18">
        <v>483</v>
      </c>
      <c r="K18">
        <v>80.5</v>
      </c>
      <c r="L18" t="s">
        <v>68</v>
      </c>
      <c r="M18" t="s">
        <v>101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成绩统计表</vt:lpstr>
    </vt:vector>
  </TitlesOfParts>
  <Company>Lenovo (Beijing) Limited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wwjt</cp:lastModifiedBy>
  <dcterms:created xsi:type="dcterms:W3CDTF">2013-03-02T13:10:25Z</dcterms:created>
  <dcterms:modified xsi:type="dcterms:W3CDTF">2018-10-24T09:31:54Z</dcterms:modified>
</cp:coreProperties>
</file>