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340" windowHeight="5400" activeTab="2"/>
  </bookViews>
  <sheets>
    <sheet name="Sheet1" sheetId="1" r:id="rId1"/>
    <sheet name="学生成绩统计表" sheetId="4" r:id="rId2"/>
    <sheet name="图表" sheetId="2" r:id="rId3"/>
    <sheet name="筛选" sheetId="3" r:id="rId4"/>
  </sheets>
  <definedNames>
    <definedName name="_xlnm.Criteria" localSheetId="3">筛选!$A$1:$B$2</definedName>
    <definedName name="_xlnm.Extract" localSheetId="3">筛选!$B$4:$G$4</definedName>
  </definedNames>
  <calcPr calcId="144525"/>
</workbook>
</file>

<file path=xl/calcChain.xml><?xml version="1.0" encoding="utf-8"?>
<calcChain xmlns="http://schemas.openxmlformats.org/spreadsheetml/2006/main">
  <c r="F36" i="1" l="1"/>
  <c r="E36" i="1"/>
  <c r="D36" i="1"/>
  <c r="F35" i="1"/>
  <c r="E35" i="1"/>
  <c r="D35" i="1"/>
  <c r="F26" i="1"/>
  <c r="E26" i="1"/>
  <c r="D26" i="1"/>
  <c r="F20" i="1"/>
  <c r="E20" i="1"/>
  <c r="D20" i="1"/>
  <c r="F12" i="1"/>
  <c r="E12" i="1"/>
  <c r="D12" i="1"/>
  <c r="C4" i="4" l="1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F27" i="1" l="1"/>
  <c r="F2" i="1"/>
  <c r="F28" i="1"/>
  <c r="F3" i="1"/>
  <c r="F14" i="1"/>
  <c r="F21" i="1"/>
  <c r="F4" i="1"/>
  <c r="F22" i="1"/>
  <c r="F15" i="1"/>
  <c r="F29" i="1"/>
  <c r="F30" i="1"/>
  <c r="F5" i="1"/>
  <c r="F6" i="1"/>
  <c r="F16" i="1"/>
  <c r="F17" i="1"/>
  <c r="F31" i="1"/>
  <c r="F32" i="1"/>
  <c r="F23" i="1"/>
  <c r="F24" i="1"/>
  <c r="F33" i="1"/>
  <c r="F34" i="1"/>
  <c r="F25" i="1"/>
  <c r="F7" i="1"/>
  <c r="F8" i="1"/>
  <c r="F9" i="1"/>
  <c r="F18" i="1"/>
  <c r="F19" i="1"/>
  <c r="F10" i="1"/>
  <c r="F11" i="1"/>
  <c r="F13" i="1"/>
</calcChain>
</file>

<file path=xl/sharedStrings.xml><?xml version="1.0" encoding="utf-8"?>
<sst xmlns="http://schemas.openxmlformats.org/spreadsheetml/2006/main" count="239" uniqueCount="94">
  <si>
    <t>学号</t>
    <phoneticPr fontId="2" type="noConversion"/>
  </si>
  <si>
    <t>姓名</t>
    <phoneticPr fontId="2" type="noConversion"/>
  </si>
  <si>
    <t>总成绩</t>
    <phoneticPr fontId="2" type="noConversion"/>
  </si>
  <si>
    <t>郝心怡</t>
    <phoneticPr fontId="2" type="noConversion"/>
  </si>
  <si>
    <t>王力</t>
    <phoneticPr fontId="2" type="noConversion"/>
  </si>
  <si>
    <t>金翔</t>
    <phoneticPr fontId="2" type="noConversion"/>
  </si>
  <si>
    <t>高晓东</t>
    <phoneticPr fontId="2" type="noConversion"/>
  </si>
  <si>
    <t>黄红</t>
    <phoneticPr fontId="2" type="noConversion"/>
  </si>
  <si>
    <t>孙英</t>
    <phoneticPr fontId="2" type="noConversion"/>
  </si>
  <si>
    <t>扬海东</t>
    <phoneticPr fontId="2" type="noConversion"/>
  </si>
  <si>
    <t>黄立</t>
    <phoneticPr fontId="2" type="noConversion"/>
  </si>
  <si>
    <t>陈松</t>
    <phoneticPr fontId="2" type="noConversion"/>
  </si>
  <si>
    <t>姚林</t>
    <phoneticPr fontId="2" type="noConversion"/>
  </si>
  <si>
    <t>钱民</t>
    <phoneticPr fontId="2" type="noConversion"/>
  </si>
  <si>
    <t>张平</t>
    <phoneticPr fontId="2" type="noConversion"/>
  </si>
  <si>
    <t>专业部</t>
    <phoneticPr fontId="2" type="noConversion"/>
  </si>
  <si>
    <t>电子部</t>
    <phoneticPr fontId="2" type="noConversion"/>
  </si>
  <si>
    <t>商贸部</t>
    <phoneticPr fontId="2" type="noConversion"/>
  </si>
  <si>
    <r>
      <t>14</t>
    </r>
    <r>
      <rPr>
        <sz val="12"/>
        <rFont val="宋体"/>
        <charset val="134"/>
      </rPr>
      <t>1021</t>
    </r>
    <phoneticPr fontId="2" type="noConversion"/>
  </si>
  <si>
    <r>
      <t>14</t>
    </r>
    <r>
      <rPr>
        <sz val="12"/>
        <rFont val="宋体"/>
        <charset val="134"/>
      </rPr>
      <t>2032</t>
    </r>
    <phoneticPr fontId="2" type="noConversion"/>
  </si>
  <si>
    <r>
      <t>14</t>
    </r>
    <r>
      <rPr>
        <sz val="12"/>
        <rFont val="宋体"/>
        <charset val="134"/>
      </rPr>
      <t>3023</t>
    </r>
    <phoneticPr fontId="2" type="noConversion"/>
  </si>
  <si>
    <t>141076</t>
    <phoneticPr fontId="2" type="noConversion"/>
  </si>
  <si>
    <t>145034</t>
    <phoneticPr fontId="2" type="noConversion"/>
  </si>
  <si>
    <t>144056</t>
    <phoneticPr fontId="2" type="noConversion"/>
  </si>
  <si>
    <t>143021</t>
    <phoneticPr fontId="2" type="noConversion"/>
  </si>
  <si>
    <t>142089</t>
    <phoneticPr fontId="2" type="noConversion"/>
  </si>
  <si>
    <t>142005</t>
    <phoneticPr fontId="2" type="noConversion"/>
  </si>
  <si>
    <t>143082</t>
    <phoneticPr fontId="2" type="noConversion"/>
  </si>
  <si>
    <t>141062</t>
    <phoneticPr fontId="2" type="noConversion"/>
  </si>
  <si>
    <r>
      <t>14</t>
    </r>
    <r>
      <rPr>
        <sz val="12"/>
        <rFont val="宋体"/>
        <charset val="134"/>
      </rPr>
      <t>5022</t>
    </r>
    <phoneticPr fontId="2" type="noConversion"/>
  </si>
  <si>
    <t>144034</t>
    <phoneticPr fontId="2" type="noConversion"/>
  </si>
  <si>
    <t>141025</t>
    <phoneticPr fontId="2" type="noConversion"/>
  </si>
  <si>
    <t>143026</t>
    <phoneticPr fontId="2" type="noConversion"/>
  </si>
  <si>
    <t>144086</t>
    <phoneticPr fontId="2" type="noConversion"/>
  </si>
  <si>
    <t>145014</t>
    <phoneticPr fontId="2" type="noConversion"/>
  </si>
  <si>
    <t>143053</t>
    <phoneticPr fontId="2" type="noConversion"/>
  </si>
  <si>
    <t>144027</t>
    <phoneticPr fontId="2" type="noConversion"/>
  </si>
  <si>
    <t>王磊</t>
    <phoneticPr fontId="2" type="noConversion"/>
  </si>
  <si>
    <t>张小辉</t>
    <phoneticPr fontId="2" type="noConversion"/>
  </si>
  <si>
    <t>陈新伟</t>
    <phoneticPr fontId="2" type="noConversion"/>
  </si>
  <si>
    <t>张晨曦</t>
    <phoneticPr fontId="2" type="noConversion"/>
  </si>
  <si>
    <t>王峥嵘</t>
    <phoneticPr fontId="2" type="noConversion"/>
  </si>
  <si>
    <t>张嘉玲</t>
    <phoneticPr fontId="2" type="noConversion"/>
  </si>
  <si>
    <t>李凯伦</t>
    <phoneticPr fontId="2" type="noConversion"/>
  </si>
  <si>
    <t>141027</t>
    <phoneticPr fontId="2" type="noConversion"/>
  </si>
  <si>
    <t>141063</t>
    <phoneticPr fontId="2" type="noConversion"/>
  </si>
  <si>
    <t>141086</t>
    <phoneticPr fontId="2" type="noConversion"/>
  </si>
  <si>
    <t>143025</t>
    <phoneticPr fontId="2" type="noConversion"/>
  </si>
  <si>
    <t>143090</t>
    <phoneticPr fontId="2" type="noConversion"/>
  </si>
  <si>
    <r>
      <t>14</t>
    </r>
    <r>
      <rPr>
        <sz val="12"/>
        <rFont val="宋体"/>
        <charset val="134"/>
      </rPr>
      <t>30</t>
    </r>
    <r>
      <rPr>
        <sz val="12"/>
        <rFont val="宋体"/>
        <charset val="134"/>
      </rPr>
      <t>9</t>
    </r>
    <r>
      <rPr>
        <sz val="12"/>
        <rFont val="宋体"/>
        <charset val="134"/>
      </rPr>
      <t>3</t>
    </r>
    <phoneticPr fontId="2" type="noConversion"/>
  </si>
  <si>
    <r>
      <t>14</t>
    </r>
    <r>
      <rPr>
        <sz val="12"/>
        <rFont val="宋体"/>
        <charset val="134"/>
      </rPr>
      <t>50</t>
    </r>
    <r>
      <rPr>
        <sz val="12"/>
        <rFont val="宋体"/>
        <charset val="134"/>
      </rPr>
      <t>25</t>
    </r>
    <phoneticPr fontId="2" type="noConversion"/>
  </si>
  <si>
    <r>
      <t>14503</t>
    </r>
    <r>
      <rPr>
        <sz val="12"/>
        <rFont val="宋体"/>
        <charset val="134"/>
      </rPr>
      <t>0</t>
    </r>
    <phoneticPr fontId="2" type="noConversion"/>
  </si>
  <si>
    <t>144060</t>
    <phoneticPr fontId="2" type="noConversion"/>
  </si>
  <si>
    <t>144099</t>
    <phoneticPr fontId="2" type="noConversion"/>
  </si>
  <si>
    <t>144088</t>
    <phoneticPr fontId="2" type="noConversion"/>
  </si>
  <si>
    <t>陈晨</t>
    <phoneticPr fontId="2" type="noConversion"/>
  </si>
  <si>
    <t>陆建辉</t>
    <phoneticPr fontId="2" type="noConversion"/>
  </si>
  <si>
    <t>陆红飞</t>
    <phoneticPr fontId="2" type="noConversion"/>
  </si>
  <si>
    <t>顾亚</t>
    <phoneticPr fontId="2" type="noConversion"/>
  </si>
  <si>
    <t>陆纳新</t>
    <phoneticPr fontId="2" type="noConversion"/>
  </si>
  <si>
    <t>钱小邻</t>
    <phoneticPr fontId="2" type="noConversion"/>
  </si>
  <si>
    <t>崔松</t>
    <phoneticPr fontId="2" type="noConversion"/>
  </si>
  <si>
    <t>王小燕</t>
    <phoneticPr fontId="2" type="noConversion"/>
  </si>
  <si>
    <t>陆培冲</t>
    <phoneticPr fontId="2" type="noConversion"/>
  </si>
  <si>
    <t>顾嫦娥</t>
    <phoneticPr fontId="2" type="noConversion"/>
  </si>
  <si>
    <t>理论考试</t>
    <phoneticPr fontId="2" type="noConversion"/>
  </si>
  <si>
    <t>实践考试</t>
    <phoneticPr fontId="2" type="noConversion"/>
  </si>
  <si>
    <t>机械部</t>
    <phoneticPr fontId="2" type="noConversion"/>
  </si>
  <si>
    <t>综高部</t>
    <phoneticPr fontId="2" type="noConversion"/>
  </si>
  <si>
    <t>蔡益平</t>
    <phoneticPr fontId="2" type="noConversion"/>
  </si>
  <si>
    <t>产品名称</t>
  </si>
  <si>
    <t>第一季度</t>
  </si>
  <si>
    <t>第二季度</t>
  </si>
  <si>
    <t>第三季度</t>
  </si>
  <si>
    <t>第四季度</t>
  </si>
  <si>
    <t>某商场产品季度销售数量情况表</t>
    <phoneticPr fontId="2" type="noConversion"/>
  </si>
  <si>
    <t>洗衣机</t>
    <phoneticPr fontId="2" type="noConversion"/>
  </si>
  <si>
    <t>电冰箱</t>
    <phoneticPr fontId="2" type="noConversion"/>
  </si>
  <si>
    <t>空调</t>
    <phoneticPr fontId="2" type="noConversion"/>
  </si>
  <si>
    <t>专业部学生成绩分析表</t>
    <phoneticPr fontId="2" type="noConversion"/>
  </si>
  <si>
    <t>141021</t>
    <phoneticPr fontId="2" type="noConversion"/>
  </si>
  <si>
    <t>145025</t>
    <phoneticPr fontId="2" type="noConversion"/>
  </si>
  <si>
    <t>143023</t>
    <phoneticPr fontId="2" type="noConversion"/>
  </si>
  <si>
    <t>143093</t>
    <phoneticPr fontId="2" type="noConversion"/>
  </si>
  <si>
    <t>145022</t>
    <phoneticPr fontId="2" type="noConversion"/>
  </si>
  <si>
    <t>145030</t>
    <phoneticPr fontId="2" type="noConversion"/>
  </si>
  <si>
    <t>142032</t>
    <phoneticPr fontId="2" type="noConversion"/>
  </si>
  <si>
    <t>年级代码</t>
    <phoneticPr fontId="2" type="noConversion"/>
  </si>
  <si>
    <t>&gt;=80</t>
    <phoneticPr fontId="2" type="noConversion"/>
  </si>
  <si>
    <t>综高部 平均值</t>
  </si>
  <si>
    <t>电子部 平均值</t>
  </si>
  <si>
    <t>商贸部 平均值</t>
  </si>
  <si>
    <t>机械部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</si>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</sst>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7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b/>
      <sz val="12"/>
      <name val="宋体"/>
      <charset val="134"/>
    </font>
    <font>
      <sz val="16"/>
      <color rgb="FFFF0000"/>
      <name val="华文楷体"/>
      <family val="3"/>
      <charset val="134"/>
    </font>
    <font>
      <sz val="1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0">
    <xf numFmtId="0" fontId="0" fillId="0" borderId="0" xfId="0">
      <alignment vertical="center"/>
    </xf>
    <xf numFmtId="0" fontId="1" fillId="0" borderId="0" xfId="1" applyFill="1"/>
    <xf numFmtId="0" fontId="0" fillId="0" borderId="0" xfId="0" applyFill="1">
      <alignment vertical="center"/>
    </xf>
    <xf numFmtId="0" fontId="1" fillId="0" borderId="0" xfId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1" applyFont="1" applyFill="1" applyAlignment="1">
      <alignment horizontal="left"/>
    </xf>
    <xf numFmtId="0" fontId="1" fillId="0" borderId="0" xfId="1" applyFill="1" applyAlignment="1">
      <alignment horizontal="left"/>
    </xf>
    <xf numFmtId="0" fontId="0" fillId="0" borderId="0" xfId="1" quotePrefix="1" applyFont="1" applyFill="1" applyAlignment="1">
      <alignment horizontal="left"/>
    </xf>
    <xf numFmtId="0" fontId="3" fillId="0" borderId="0" xfId="1" quotePrefix="1" applyFont="1" applyFill="1" applyAlignment="1">
      <alignment horizontal="left"/>
    </xf>
    <xf numFmtId="0" fontId="3" fillId="0" borderId="0" xfId="1" applyFont="1" applyFill="1" applyAlignment="1">
      <alignment horizontal="left"/>
    </xf>
    <xf numFmtId="0" fontId="1" fillId="0" borderId="0" xfId="1" quotePrefix="1" applyFont="1" applyFill="1" applyAlignment="1">
      <alignment horizontal="left"/>
    </xf>
    <xf numFmtId="0" fontId="6" fillId="0" borderId="0" xfId="1" applyFont="1" applyFill="1" applyAlignment="1">
      <alignment horizontal="center"/>
    </xf>
    <xf numFmtId="0" fontId="6" fillId="0" borderId="0" xfId="1" quotePrefix="1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1" applyFont="1" applyFill="1" applyAlignment="1">
      <alignment horizontal="left"/>
    </xf>
    <xf numFmtId="176" fontId="1" fillId="0" borderId="0" xfId="1" applyNumberFormat="1" applyFill="1" applyAlignment="1">
      <alignment horizontal="left"/>
    </xf>
  </cellXfs>
  <cellStyles count="2">
    <cellStyle name="常规" xfId="0" builtinId="0"/>
    <cellStyle name="常规_Sheet1" xfId="1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各产品二四季度销售量比较图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图表!$C$2</c:f>
              <c:strCache>
                <c:ptCount val="1"/>
                <c:pt idx="0">
                  <c:v>第二季度</c:v>
                </c:pt>
              </c:strCache>
            </c:strRef>
          </c:tx>
          <c:invertIfNegative val="0"/>
          <c:cat>
            <c:strRef>
              <c:f>图表!$A$3:$A$5</c:f>
              <c:strCache>
                <c:ptCount val="3"/>
                <c:pt idx="0">
                  <c:v>洗衣机</c:v>
                </c:pt>
                <c:pt idx="1">
                  <c:v>电冰箱</c:v>
                </c:pt>
                <c:pt idx="2">
                  <c:v>空调</c:v>
                </c:pt>
              </c:strCache>
            </c:strRef>
          </c:cat>
          <c:val>
            <c:numRef>
              <c:f>图表!$C$3:$C$5</c:f>
              <c:numCache>
                <c:formatCode>General</c:formatCode>
                <c:ptCount val="3"/>
                <c:pt idx="0">
                  <c:v>342</c:v>
                </c:pt>
                <c:pt idx="1">
                  <c:v>434</c:v>
                </c:pt>
                <c:pt idx="2">
                  <c:v>454</c:v>
                </c:pt>
              </c:numCache>
            </c:numRef>
          </c:val>
        </c:ser>
        <c:ser>
          <c:idx val="1"/>
          <c:order val="1"/>
          <c:tx>
            <c:strRef>
              <c:f>图表!$E$2</c:f>
              <c:strCache>
                <c:ptCount val="1"/>
                <c:pt idx="0">
                  <c:v>第四季度</c:v>
                </c:pt>
              </c:strCache>
            </c:strRef>
          </c:tx>
          <c:invertIfNegative val="0"/>
          <c:cat>
            <c:strRef>
              <c:f>图表!$A$3:$A$5</c:f>
              <c:strCache>
                <c:ptCount val="3"/>
                <c:pt idx="0">
                  <c:v>洗衣机</c:v>
                </c:pt>
                <c:pt idx="1">
                  <c:v>电冰箱</c:v>
                </c:pt>
                <c:pt idx="2">
                  <c:v>空调</c:v>
                </c:pt>
              </c:strCache>
            </c:strRef>
          </c:cat>
          <c:val>
            <c:numRef>
              <c:f>图表!$E$3:$E$5</c:f>
              <c:numCache>
                <c:formatCode>General</c:formatCode>
                <c:ptCount val="3"/>
                <c:pt idx="0">
                  <c:v>487</c:v>
                </c:pt>
                <c:pt idx="1">
                  <c:v>345</c:v>
                </c:pt>
                <c:pt idx="2">
                  <c:v>546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677760"/>
        <c:axId val="64679296"/>
        <c:axId val="0"/>
      </c:bar3DChart>
      <c:catAx>
        <c:axId val="64677760"/>
        <c:scaling>
          <c:orientation val="minMax"/>
        </c:scaling>
        <c:delete val="0"/>
        <c:axPos val="b"/>
        <c:majorTickMark val="out"/>
        <c:minorTickMark val="none"/>
        <c:tickLblPos val="nextTo"/>
        <c:crossAx val="64679296"/>
        <c:crosses val="autoZero"/>
        <c:auto val="1"/>
        <c:lblAlgn val="ctr"/>
        <c:lblOffset val="100"/>
        <c:noMultiLvlLbl val="0"/>
      </c:catAx>
      <c:valAx>
        <c:axId val="64679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4677760"/>
        <c:crosses val="autoZero"/>
        <c:crossBetween val="between"/>
      </c:valAx>
      <c:dTable>
        <c:showHorzBorder val="1"/>
        <c:showVertBorder val="1"/>
        <c:showOutline val="1"/>
        <c:showKeys val="0"/>
      </c:dTable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0</xdr:row>
      <xdr:rowOff>66675</xdr:rowOff>
    </xdr:from>
    <xdr:to>
      <xdr:col>12</xdr:col>
      <xdr:colOff>619125</xdr:colOff>
      <xdr:row>7</xdr:row>
      <xdr:rowOff>142875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opLeftCell="A7" workbookViewId="0">
      <selection activeCell="D35" activeCellId="2" sqref="D12:F12 D20:F20 D35:F36"/>
    </sheetView>
  </sheetViews>
  <sheetFormatPr defaultRowHeight="14.25" outlineLevelRow="2" x14ac:dyDescent="0.15"/>
  <cols>
    <col min="1" max="1" width="8.5" customWidth="1"/>
  </cols>
  <sheetData>
    <row r="1" spans="1:7" x14ac:dyDescent="0.15">
      <c r="A1" s="6" t="s">
        <v>15</v>
      </c>
      <c r="B1" s="7" t="s">
        <v>0</v>
      </c>
      <c r="C1" s="7" t="s">
        <v>1</v>
      </c>
      <c r="D1" s="6" t="s">
        <v>65</v>
      </c>
      <c r="E1" s="6" t="s">
        <v>66</v>
      </c>
      <c r="F1" s="7" t="s">
        <v>2</v>
      </c>
      <c r="G1" s="3"/>
    </row>
    <row r="2" spans="1:7" ht="15.75" outlineLevel="2" x14ac:dyDescent="0.25">
      <c r="A2" s="6" t="s">
        <v>68</v>
      </c>
      <c r="B2" s="9" t="s">
        <v>52</v>
      </c>
      <c r="C2" s="6" t="s">
        <v>63</v>
      </c>
      <c r="D2" s="7">
        <v>77</v>
      </c>
      <c r="E2" s="7">
        <v>14</v>
      </c>
      <c r="F2" s="7">
        <f>SUM(D2:E2)</f>
        <v>91</v>
      </c>
      <c r="G2" s="1"/>
    </row>
    <row r="3" spans="1:7" ht="15.75" outlineLevel="2" x14ac:dyDescent="0.25">
      <c r="A3" s="6" t="s">
        <v>68</v>
      </c>
      <c r="B3" s="9" t="s">
        <v>54</v>
      </c>
      <c r="C3" s="6" t="s">
        <v>69</v>
      </c>
      <c r="D3" s="7">
        <v>70</v>
      </c>
      <c r="E3" s="7">
        <v>19</v>
      </c>
      <c r="F3" s="7">
        <f>SUM(D3:E3)</f>
        <v>89</v>
      </c>
    </row>
    <row r="4" spans="1:7" ht="15.75" outlineLevel="2" x14ac:dyDescent="0.25">
      <c r="A4" s="6" t="s">
        <v>68</v>
      </c>
      <c r="B4" s="9" t="s">
        <v>53</v>
      </c>
      <c r="C4" s="6" t="s">
        <v>64</v>
      </c>
      <c r="D4" s="7">
        <v>73</v>
      </c>
      <c r="E4" s="7">
        <v>18</v>
      </c>
      <c r="F4" s="7">
        <f>SUM(D4:E4)</f>
        <v>91</v>
      </c>
    </row>
    <row r="5" spans="1:7" ht="15.75" outlineLevel="2" x14ac:dyDescent="0.25">
      <c r="A5" s="6" t="s">
        <v>68</v>
      </c>
      <c r="B5" s="9" t="s">
        <v>26</v>
      </c>
      <c r="C5" s="7" t="s">
        <v>9</v>
      </c>
      <c r="D5" s="7">
        <v>45</v>
      </c>
      <c r="E5" s="7">
        <v>19</v>
      </c>
      <c r="F5" s="7">
        <f>SUM(D5:E5)</f>
        <v>64</v>
      </c>
    </row>
    <row r="6" spans="1:7" ht="15.75" outlineLevel="2" x14ac:dyDescent="0.25">
      <c r="A6" s="6" t="s">
        <v>68</v>
      </c>
      <c r="B6" s="9" t="s">
        <v>30</v>
      </c>
      <c r="C6" s="7" t="s">
        <v>12</v>
      </c>
      <c r="D6" s="7">
        <v>79</v>
      </c>
      <c r="E6" s="7">
        <v>15</v>
      </c>
      <c r="F6" s="7">
        <f>SUM(D6:E6)</f>
        <v>94</v>
      </c>
    </row>
    <row r="7" spans="1:7" outlineLevel="2" x14ac:dyDescent="0.15">
      <c r="A7" s="6" t="s">
        <v>68</v>
      </c>
      <c r="B7" s="8" t="s">
        <v>19</v>
      </c>
      <c r="C7" s="6" t="s">
        <v>38</v>
      </c>
      <c r="D7" s="7">
        <v>38</v>
      </c>
      <c r="E7" s="7">
        <v>17</v>
      </c>
      <c r="F7" s="7">
        <f>SUM(D7:E7)</f>
        <v>55</v>
      </c>
      <c r="G7" s="1"/>
    </row>
    <row r="8" spans="1:7" ht="15.75" outlineLevel="2" x14ac:dyDescent="0.25">
      <c r="A8" s="6" t="s">
        <v>68</v>
      </c>
      <c r="B8" s="9" t="s">
        <v>23</v>
      </c>
      <c r="C8" s="7" t="s">
        <v>8</v>
      </c>
      <c r="D8" s="7">
        <v>77</v>
      </c>
      <c r="E8" s="7">
        <v>14</v>
      </c>
      <c r="F8" s="7">
        <f>SUM(D8:E8)</f>
        <v>91</v>
      </c>
      <c r="G8" s="2"/>
    </row>
    <row r="9" spans="1:7" ht="15.75" outlineLevel="2" x14ac:dyDescent="0.25">
      <c r="A9" s="6" t="s">
        <v>68</v>
      </c>
      <c r="B9" s="9" t="s">
        <v>25</v>
      </c>
      <c r="C9" s="7" t="s">
        <v>5</v>
      </c>
      <c r="D9" s="7">
        <v>73</v>
      </c>
      <c r="E9" s="7">
        <v>18</v>
      </c>
      <c r="F9" s="7">
        <f>SUM(D9:E9)</f>
        <v>91</v>
      </c>
      <c r="G9" s="2"/>
    </row>
    <row r="10" spans="1:7" ht="15.75" outlineLevel="2" x14ac:dyDescent="0.25">
      <c r="A10" s="6" t="s">
        <v>68</v>
      </c>
      <c r="B10" s="9" t="s">
        <v>33</v>
      </c>
      <c r="C10" s="7" t="s">
        <v>6</v>
      </c>
      <c r="D10" s="7">
        <v>78</v>
      </c>
      <c r="E10" s="7">
        <v>15</v>
      </c>
      <c r="F10" s="7">
        <f>SUM(D10:E10)</f>
        <v>93</v>
      </c>
      <c r="G10" s="2"/>
    </row>
    <row r="11" spans="1:7" ht="15.75" outlineLevel="2" x14ac:dyDescent="0.25">
      <c r="A11" s="6" t="s">
        <v>68</v>
      </c>
      <c r="B11" s="9" t="s">
        <v>36</v>
      </c>
      <c r="C11" s="7" t="s">
        <v>7</v>
      </c>
      <c r="D11" s="7">
        <v>65</v>
      </c>
      <c r="E11" s="7">
        <v>10</v>
      </c>
      <c r="F11" s="7">
        <f>SUM(D11:E11)</f>
        <v>75</v>
      </c>
      <c r="G11" s="2"/>
    </row>
    <row r="12" spans="1:7" ht="15.75" outlineLevel="1" x14ac:dyDescent="0.25">
      <c r="A12" s="18" t="s">
        <v>89</v>
      </c>
      <c r="B12" s="9"/>
      <c r="C12" s="7"/>
      <c r="D12" s="19">
        <f>SUBTOTAL(1,D2:D11)</f>
        <v>67.5</v>
      </c>
      <c r="E12" s="19">
        <f>SUBTOTAL(1,E2:E11)</f>
        <v>15.9</v>
      </c>
      <c r="F12" s="19">
        <f>SUBTOTAL(1,F2:F11)</f>
        <v>83.4</v>
      </c>
      <c r="G12" s="2"/>
    </row>
    <row r="13" spans="1:7" outlineLevel="2" x14ac:dyDescent="0.15">
      <c r="A13" s="6" t="s">
        <v>16</v>
      </c>
      <c r="B13" s="8" t="s">
        <v>18</v>
      </c>
      <c r="C13" s="6" t="s">
        <v>39</v>
      </c>
      <c r="D13" s="7">
        <v>74</v>
      </c>
      <c r="E13" s="7">
        <v>16</v>
      </c>
      <c r="F13" s="7">
        <f>SUM(D13:E13)</f>
        <v>90</v>
      </c>
      <c r="G13" s="1"/>
    </row>
    <row r="14" spans="1:7" ht="15.75" outlineLevel="2" x14ac:dyDescent="0.25">
      <c r="A14" s="6" t="s">
        <v>16</v>
      </c>
      <c r="B14" s="9" t="s">
        <v>31</v>
      </c>
      <c r="C14" s="6" t="s">
        <v>42</v>
      </c>
      <c r="D14" s="7">
        <v>62</v>
      </c>
      <c r="E14" s="7">
        <v>17</v>
      </c>
      <c r="F14" s="7">
        <f>SUM(D14:E14)</f>
        <v>79</v>
      </c>
      <c r="G14" s="1"/>
    </row>
    <row r="15" spans="1:7" ht="15.75" outlineLevel="2" x14ac:dyDescent="0.25">
      <c r="A15" s="6" t="s">
        <v>16</v>
      </c>
      <c r="B15" s="9" t="s">
        <v>46</v>
      </c>
      <c r="C15" s="6" t="s">
        <v>57</v>
      </c>
      <c r="D15" s="7">
        <v>80</v>
      </c>
      <c r="E15" s="7">
        <v>15</v>
      </c>
      <c r="F15" s="7">
        <f>SUM(D15:E15)</f>
        <v>95</v>
      </c>
      <c r="G15" s="1"/>
    </row>
    <row r="16" spans="1:7" ht="15.75" outlineLevel="2" x14ac:dyDescent="0.25">
      <c r="A16" s="6" t="s">
        <v>16</v>
      </c>
      <c r="B16" s="9" t="s">
        <v>21</v>
      </c>
      <c r="C16" s="6" t="s">
        <v>4</v>
      </c>
      <c r="D16" s="7">
        <v>81</v>
      </c>
      <c r="E16" s="7">
        <v>15</v>
      </c>
      <c r="F16" s="7">
        <f>SUM(D16:E16)</f>
        <v>96</v>
      </c>
      <c r="G16" s="1"/>
    </row>
    <row r="17" spans="1:7" ht="15.75" outlineLevel="2" x14ac:dyDescent="0.25">
      <c r="A17" s="6" t="s">
        <v>16</v>
      </c>
      <c r="B17" s="9" t="s">
        <v>28</v>
      </c>
      <c r="C17" s="6" t="s">
        <v>41</v>
      </c>
      <c r="D17" s="7">
        <v>78</v>
      </c>
      <c r="E17" s="7">
        <v>17</v>
      </c>
      <c r="F17" s="7">
        <f>SUM(D17:E17)</f>
        <v>95</v>
      </c>
      <c r="G17" s="1"/>
    </row>
    <row r="18" spans="1:7" ht="15.75" outlineLevel="2" x14ac:dyDescent="0.25">
      <c r="A18" s="6" t="s">
        <v>16</v>
      </c>
      <c r="B18" s="9" t="s">
        <v>44</v>
      </c>
      <c r="C18" s="6" t="s">
        <v>55</v>
      </c>
      <c r="D18" s="7">
        <v>41</v>
      </c>
      <c r="E18" s="7">
        <v>15</v>
      </c>
      <c r="F18" s="7">
        <f>SUM(D18:E18)</f>
        <v>56</v>
      </c>
      <c r="G18" s="2"/>
    </row>
    <row r="19" spans="1:7" ht="15.75" outlineLevel="2" x14ac:dyDescent="0.25">
      <c r="A19" s="6" t="s">
        <v>16</v>
      </c>
      <c r="B19" s="9" t="s">
        <v>45</v>
      </c>
      <c r="C19" s="6" t="s">
        <v>56</v>
      </c>
      <c r="D19" s="7">
        <v>78</v>
      </c>
      <c r="E19" s="7">
        <v>17</v>
      </c>
      <c r="F19" s="7">
        <f>SUM(D19:E19)</f>
        <v>95</v>
      </c>
      <c r="G19" s="2"/>
    </row>
    <row r="20" spans="1:7" ht="15.75" outlineLevel="1" x14ac:dyDescent="0.25">
      <c r="A20" s="18" t="s">
        <v>90</v>
      </c>
      <c r="B20" s="9"/>
      <c r="C20" s="6"/>
      <c r="D20" s="19">
        <f>SUBTOTAL(1,D13:D19)</f>
        <v>70.571428571428569</v>
      </c>
      <c r="E20" s="19">
        <f>SUBTOTAL(1,E13:E19)</f>
        <v>16</v>
      </c>
      <c r="F20" s="19">
        <f>SUBTOTAL(1,F13:F19)</f>
        <v>86.571428571428569</v>
      </c>
      <c r="G20" s="2"/>
    </row>
    <row r="21" spans="1:7" ht="15.75" outlineLevel="2" x14ac:dyDescent="0.25">
      <c r="A21" s="6" t="s">
        <v>17</v>
      </c>
      <c r="B21" s="9" t="s">
        <v>34</v>
      </c>
      <c r="C21" s="7" t="s">
        <v>14</v>
      </c>
      <c r="D21" s="7">
        <v>30</v>
      </c>
      <c r="E21" s="7">
        <v>18</v>
      </c>
      <c r="F21" s="7">
        <f>SUM(D21:E21)</f>
        <v>48</v>
      </c>
      <c r="G21" s="2"/>
    </row>
    <row r="22" spans="1:7" outlineLevel="2" x14ac:dyDescent="0.15">
      <c r="A22" s="6" t="s">
        <v>17</v>
      </c>
      <c r="B22" s="8" t="s">
        <v>50</v>
      </c>
      <c r="C22" s="6" t="s">
        <v>61</v>
      </c>
      <c r="D22" s="7">
        <v>69</v>
      </c>
      <c r="E22" s="7">
        <v>12</v>
      </c>
      <c r="F22" s="7">
        <f>SUM(D22:E22)</f>
        <v>81</v>
      </c>
      <c r="G22" s="1"/>
    </row>
    <row r="23" spans="1:7" outlineLevel="2" x14ac:dyDescent="0.15">
      <c r="A23" s="6" t="s">
        <v>17</v>
      </c>
      <c r="B23" s="11" t="s">
        <v>22</v>
      </c>
      <c r="C23" s="6" t="s">
        <v>3</v>
      </c>
      <c r="D23" s="7">
        <v>56</v>
      </c>
      <c r="E23" s="7">
        <v>17</v>
      </c>
      <c r="F23" s="7">
        <f>SUM(D23:E23)</f>
        <v>73</v>
      </c>
      <c r="G23" s="1"/>
    </row>
    <row r="24" spans="1:7" outlineLevel="2" x14ac:dyDescent="0.15">
      <c r="A24" s="6" t="s">
        <v>17</v>
      </c>
      <c r="B24" s="8" t="s">
        <v>29</v>
      </c>
      <c r="C24" s="7" t="s">
        <v>11</v>
      </c>
      <c r="D24" s="7">
        <v>69</v>
      </c>
      <c r="E24" s="7">
        <v>12</v>
      </c>
      <c r="F24" s="7">
        <f>SUM(D24:E24)</f>
        <v>81</v>
      </c>
      <c r="G24" s="1"/>
    </row>
    <row r="25" spans="1:7" outlineLevel="2" x14ac:dyDescent="0.15">
      <c r="A25" s="6" t="s">
        <v>17</v>
      </c>
      <c r="B25" s="11" t="s">
        <v>51</v>
      </c>
      <c r="C25" s="6" t="s">
        <v>62</v>
      </c>
      <c r="D25" s="7">
        <v>66</v>
      </c>
      <c r="E25" s="7">
        <v>17</v>
      </c>
      <c r="F25" s="7">
        <f>SUM(D25:E25)</f>
        <v>83</v>
      </c>
      <c r="G25" s="2"/>
    </row>
    <row r="26" spans="1:7" outlineLevel="1" x14ac:dyDescent="0.15">
      <c r="A26" s="18" t="s">
        <v>91</v>
      </c>
      <c r="B26" s="11"/>
      <c r="C26" s="6"/>
      <c r="D26" s="7">
        <f>SUBTOTAL(1,D21:D25)</f>
        <v>58</v>
      </c>
      <c r="E26" s="7">
        <f>SUBTOTAL(1,E21:E25)</f>
        <v>15.2</v>
      </c>
      <c r="F26" s="7">
        <f>SUBTOTAL(1,F21:F25)</f>
        <v>73.2</v>
      </c>
      <c r="G26" s="2"/>
    </row>
    <row r="27" spans="1:7" ht="15.75" outlineLevel="2" x14ac:dyDescent="0.25">
      <c r="A27" s="6" t="s">
        <v>67</v>
      </c>
      <c r="B27" s="9" t="s">
        <v>35</v>
      </c>
      <c r="C27" s="6" t="s">
        <v>43</v>
      </c>
      <c r="D27" s="7">
        <v>80</v>
      </c>
      <c r="E27" s="7">
        <v>19</v>
      </c>
      <c r="F27" s="7">
        <f>SUM(D27:E27)</f>
        <v>99</v>
      </c>
    </row>
    <row r="28" spans="1:7" ht="15.75" outlineLevel="2" x14ac:dyDescent="0.25">
      <c r="A28" s="6" t="s">
        <v>67</v>
      </c>
      <c r="B28" s="9" t="s">
        <v>47</v>
      </c>
      <c r="C28" s="6" t="s">
        <v>58</v>
      </c>
      <c r="D28" s="7">
        <v>60</v>
      </c>
      <c r="E28" s="7">
        <v>14</v>
      </c>
      <c r="F28" s="7">
        <f>SUM(D28:E28)</f>
        <v>74</v>
      </c>
    </row>
    <row r="29" spans="1:7" ht="15.75" outlineLevel="2" x14ac:dyDescent="0.25">
      <c r="A29" s="6" t="s">
        <v>67</v>
      </c>
      <c r="B29" s="8" t="s">
        <v>20</v>
      </c>
      <c r="C29" s="6" t="s">
        <v>37</v>
      </c>
      <c r="D29" s="10">
        <v>65</v>
      </c>
      <c r="E29" s="7">
        <v>19</v>
      </c>
      <c r="F29" s="7">
        <f>SUM(D29:E29)</f>
        <v>84</v>
      </c>
      <c r="G29" s="1"/>
    </row>
    <row r="30" spans="1:7" ht="15.75" outlineLevel="2" x14ac:dyDescent="0.25">
      <c r="A30" s="6" t="s">
        <v>67</v>
      </c>
      <c r="B30" s="9" t="s">
        <v>24</v>
      </c>
      <c r="C30" s="6" t="s">
        <v>40</v>
      </c>
      <c r="D30" s="7">
        <v>60</v>
      </c>
      <c r="E30" s="7">
        <v>14</v>
      </c>
      <c r="F30" s="7">
        <f>SUM(D30:E30)</f>
        <v>74</v>
      </c>
      <c r="G30" s="1"/>
    </row>
    <row r="31" spans="1:7" ht="15.75" outlineLevel="2" x14ac:dyDescent="0.25">
      <c r="A31" s="6" t="s">
        <v>67</v>
      </c>
      <c r="B31" s="9" t="s">
        <v>48</v>
      </c>
      <c r="C31" s="6" t="s">
        <v>59</v>
      </c>
      <c r="D31" s="7">
        <v>75</v>
      </c>
      <c r="E31" s="7">
        <v>20</v>
      </c>
      <c r="F31" s="7">
        <f>SUM(D31:E31)</f>
        <v>95</v>
      </c>
      <c r="G31" s="1"/>
    </row>
    <row r="32" spans="1:7" ht="15.75" outlineLevel="2" x14ac:dyDescent="0.25">
      <c r="A32" s="6" t="s">
        <v>67</v>
      </c>
      <c r="B32" s="8" t="s">
        <v>49</v>
      </c>
      <c r="C32" s="6" t="s">
        <v>60</v>
      </c>
      <c r="D32" s="10">
        <v>39</v>
      </c>
      <c r="E32" s="7">
        <v>19</v>
      </c>
      <c r="F32" s="7">
        <f>SUM(D32:E32)</f>
        <v>58</v>
      </c>
      <c r="G32" s="1"/>
    </row>
    <row r="33" spans="1:7" ht="15.75" outlineLevel="2" x14ac:dyDescent="0.25">
      <c r="A33" s="6" t="s">
        <v>67</v>
      </c>
      <c r="B33" s="9" t="s">
        <v>27</v>
      </c>
      <c r="C33" s="7" t="s">
        <v>10</v>
      </c>
      <c r="D33" s="7">
        <v>75</v>
      </c>
      <c r="E33" s="7">
        <v>20</v>
      </c>
      <c r="F33" s="7">
        <f>SUM(D33:E33)</f>
        <v>95</v>
      </c>
      <c r="G33" s="1"/>
    </row>
    <row r="34" spans="1:7" ht="15.75" outlineLevel="2" x14ac:dyDescent="0.25">
      <c r="A34" s="6" t="s">
        <v>67</v>
      </c>
      <c r="B34" s="9" t="s">
        <v>32</v>
      </c>
      <c r="C34" s="7" t="s">
        <v>13</v>
      </c>
      <c r="D34" s="7">
        <v>40</v>
      </c>
      <c r="E34" s="7">
        <v>15</v>
      </c>
      <c r="F34" s="7">
        <f>SUM(D34:E34)</f>
        <v>55</v>
      </c>
      <c r="G34" s="1"/>
    </row>
    <row r="35" spans="1:7" ht="15.75" outlineLevel="1" x14ac:dyDescent="0.25">
      <c r="A35" s="18" t="s">
        <v>92</v>
      </c>
      <c r="B35" s="9"/>
      <c r="C35" s="7"/>
      <c r="D35" s="19">
        <f>SUBTOTAL(1,D27:D34)</f>
        <v>61.75</v>
      </c>
      <c r="E35" s="19">
        <f>SUBTOTAL(1,E27:E34)</f>
        <v>17.5</v>
      </c>
      <c r="F35" s="19">
        <f>SUBTOTAL(1,F27:F34)</f>
        <v>79.25</v>
      </c>
      <c r="G35" s="1"/>
    </row>
    <row r="36" spans="1:7" ht="15.75" x14ac:dyDescent="0.25">
      <c r="A36" s="18" t="s">
        <v>93</v>
      </c>
      <c r="B36" s="9"/>
      <c r="C36" s="7"/>
      <c r="D36" s="19">
        <f>SUBTOTAL(1,D2:D34)</f>
        <v>65.099999999999994</v>
      </c>
      <c r="E36" s="19">
        <f>SUBTOTAL(1,E2:E34)</f>
        <v>16.233333333333334</v>
      </c>
      <c r="F36" s="19">
        <f>SUBTOTAL(1,F2:F34)</f>
        <v>81.333333333333329</v>
      </c>
      <c r="G36" s="1"/>
    </row>
    <row r="37" spans="1:7" x14ac:dyDescent="0.15">
      <c r="F37" s="4"/>
      <c r="G37" s="2"/>
    </row>
    <row r="38" spans="1:7" x14ac:dyDescent="0.15">
      <c r="F38" s="4"/>
      <c r="G38" s="2"/>
    </row>
    <row r="39" spans="1:7" x14ac:dyDescent="0.15">
      <c r="F39" s="4"/>
      <c r="G39" s="2"/>
    </row>
    <row r="41" spans="1:7" x14ac:dyDescent="0.15">
      <c r="F41" s="1"/>
      <c r="G41" s="1"/>
    </row>
    <row r="42" spans="1:7" x14ac:dyDescent="0.15">
      <c r="F42" s="1"/>
      <c r="G42" s="1"/>
    </row>
  </sheetData>
  <sortState ref="A2:F31">
    <sortCondition ref="A2:A31" customList="综高部,电子部,商贸部,机械部"/>
  </sortState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A28" workbookViewId="0">
      <selection activeCell="I29" sqref="I29"/>
    </sheetView>
  </sheetViews>
  <sheetFormatPr defaultRowHeight="14.25" x14ac:dyDescent="0.15"/>
  <cols>
    <col min="1" max="1" width="8.5" customWidth="1"/>
  </cols>
  <sheetData>
    <row r="1" spans="1:8" ht="21.75" x14ac:dyDescent="0.15">
      <c r="A1" s="16" t="s">
        <v>79</v>
      </c>
      <c r="B1" s="16"/>
      <c r="C1" s="16"/>
      <c r="D1" s="16"/>
      <c r="E1" s="16"/>
      <c r="F1" s="16"/>
      <c r="G1" s="16"/>
      <c r="H1" s="16"/>
    </row>
    <row r="2" spans="1:8" x14ac:dyDescent="0.15">
      <c r="A2" s="12" t="s">
        <v>15</v>
      </c>
      <c r="B2" s="12" t="s">
        <v>0</v>
      </c>
      <c r="C2" s="12" t="s">
        <v>87</v>
      </c>
      <c r="D2" s="12" t="s">
        <v>1</v>
      </c>
      <c r="E2" s="12" t="s">
        <v>65</v>
      </c>
      <c r="F2" s="12" t="s">
        <v>66</v>
      </c>
      <c r="G2" s="12" t="s">
        <v>2</v>
      </c>
      <c r="H2" s="12"/>
    </row>
    <row r="3" spans="1:8" x14ac:dyDescent="0.15">
      <c r="A3" s="12" t="s">
        <v>16</v>
      </c>
      <c r="B3" s="13" t="s">
        <v>80</v>
      </c>
      <c r="C3" s="13" t="str">
        <f>MID(B3,1,2)</f>
        <v>14</v>
      </c>
      <c r="D3" s="12" t="s">
        <v>39</v>
      </c>
      <c r="E3" s="12">
        <v>74</v>
      </c>
      <c r="F3" s="12">
        <v>16</v>
      </c>
      <c r="G3" s="12">
        <f t="shared" ref="G3:G32" si="0">SUM(E3:F3)</f>
        <v>90</v>
      </c>
      <c r="H3" s="12"/>
    </row>
    <row r="4" spans="1:8" x14ac:dyDescent="0.15">
      <c r="A4" s="12" t="s">
        <v>67</v>
      </c>
      <c r="B4" s="13" t="s">
        <v>35</v>
      </c>
      <c r="C4" s="13" t="str">
        <f t="shared" ref="C4:C32" si="1">MID(B4,1,2)</f>
        <v>14</v>
      </c>
      <c r="D4" s="12" t="s">
        <v>43</v>
      </c>
      <c r="E4" s="12">
        <v>80</v>
      </c>
      <c r="F4" s="12">
        <v>19</v>
      </c>
      <c r="G4" s="12">
        <f t="shared" si="0"/>
        <v>99</v>
      </c>
      <c r="H4" s="14"/>
    </row>
    <row r="5" spans="1:8" x14ac:dyDescent="0.15">
      <c r="A5" s="12" t="s">
        <v>68</v>
      </c>
      <c r="B5" s="13" t="s">
        <v>52</v>
      </c>
      <c r="C5" s="13" t="str">
        <f t="shared" si="1"/>
        <v>14</v>
      </c>
      <c r="D5" s="12" t="s">
        <v>63</v>
      </c>
      <c r="E5" s="12">
        <v>77</v>
      </c>
      <c r="F5" s="12">
        <v>14</v>
      </c>
      <c r="G5" s="12">
        <f t="shared" si="0"/>
        <v>91</v>
      </c>
      <c r="H5" s="14"/>
    </row>
    <row r="6" spans="1:8" x14ac:dyDescent="0.15">
      <c r="A6" s="12" t="s">
        <v>67</v>
      </c>
      <c r="B6" s="13" t="s">
        <v>47</v>
      </c>
      <c r="C6" s="13" t="str">
        <f t="shared" si="1"/>
        <v>14</v>
      </c>
      <c r="D6" s="12" t="s">
        <v>58</v>
      </c>
      <c r="E6" s="12">
        <v>60</v>
      </c>
      <c r="F6" s="12">
        <v>14</v>
      </c>
      <c r="G6" s="12">
        <f t="shared" si="0"/>
        <v>74</v>
      </c>
      <c r="H6" s="14"/>
    </row>
    <row r="7" spans="1:8" x14ac:dyDescent="0.15">
      <c r="A7" s="12" t="s">
        <v>68</v>
      </c>
      <c r="B7" s="13" t="s">
        <v>54</v>
      </c>
      <c r="C7" s="13" t="str">
        <f t="shared" si="1"/>
        <v>14</v>
      </c>
      <c r="D7" s="12" t="s">
        <v>69</v>
      </c>
      <c r="E7" s="12">
        <v>70</v>
      </c>
      <c r="F7" s="12">
        <v>19</v>
      </c>
      <c r="G7" s="12">
        <f t="shared" si="0"/>
        <v>89</v>
      </c>
      <c r="H7" s="14"/>
    </row>
    <row r="8" spans="1:8" x14ac:dyDescent="0.15">
      <c r="A8" s="12" t="s">
        <v>16</v>
      </c>
      <c r="B8" s="13" t="s">
        <v>31</v>
      </c>
      <c r="C8" s="13" t="str">
        <f t="shared" si="1"/>
        <v>14</v>
      </c>
      <c r="D8" s="12" t="s">
        <v>42</v>
      </c>
      <c r="E8" s="12">
        <v>62</v>
      </c>
      <c r="F8" s="12">
        <v>17</v>
      </c>
      <c r="G8" s="12">
        <f t="shared" si="0"/>
        <v>79</v>
      </c>
      <c r="H8" s="12"/>
    </row>
    <row r="9" spans="1:8" x14ac:dyDescent="0.15">
      <c r="A9" s="12" t="s">
        <v>17</v>
      </c>
      <c r="B9" s="13" t="s">
        <v>34</v>
      </c>
      <c r="C9" s="13" t="str">
        <f t="shared" si="1"/>
        <v>14</v>
      </c>
      <c r="D9" s="12" t="s">
        <v>14</v>
      </c>
      <c r="E9" s="12">
        <v>30</v>
      </c>
      <c r="F9" s="12">
        <v>18</v>
      </c>
      <c r="G9" s="12">
        <f t="shared" si="0"/>
        <v>48</v>
      </c>
      <c r="H9" s="15"/>
    </row>
    <row r="10" spans="1:8" x14ac:dyDescent="0.15">
      <c r="A10" s="12" t="s">
        <v>68</v>
      </c>
      <c r="B10" s="13" t="s">
        <v>53</v>
      </c>
      <c r="C10" s="13" t="str">
        <f t="shared" si="1"/>
        <v>14</v>
      </c>
      <c r="D10" s="12" t="s">
        <v>64</v>
      </c>
      <c r="E10" s="12">
        <v>73</v>
      </c>
      <c r="F10" s="12">
        <v>18</v>
      </c>
      <c r="G10" s="12">
        <f t="shared" si="0"/>
        <v>91</v>
      </c>
      <c r="H10" s="15"/>
    </row>
    <row r="11" spans="1:8" x14ac:dyDescent="0.15">
      <c r="A11" s="12" t="s">
        <v>17</v>
      </c>
      <c r="B11" s="13" t="s">
        <v>81</v>
      </c>
      <c r="C11" s="13" t="str">
        <f t="shared" si="1"/>
        <v>14</v>
      </c>
      <c r="D11" s="12" t="s">
        <v>61</v>
      </c>
      <c r="E11" s="12">
        <v>69</v>
      </c>
      <c r="F11" s="12">
        <v>12</v>
      </c>
      <c r="G11" s="12">
        <f t="shared" si="0"/>
        <v>81</v>
      </c>
      <c r="H11" s="15"/>
    </row>
    <row r="12" spans="1:8" x14ac:dyDescent="0.15">
      <c r="A12" s="12" t="s">
        <v>16</v>
      </c>
      <c r="B12" s="13" t="s">
        <v>46</v>
      </c>
      <c r="C12" s="13" t="str">
        <f t="shared" si="1"/>
        <v>14</v>
      </c>
      <c r="D12" s="12" t="s">
        <v>57</v>
      </c>
      <c r="E12" s="12">
        <v>80</v>
      </c>
      <c r="F12" s="12">
        <v>15</v>
      </c>
      <c r="G12" s="12">
        <f t="shared" si="0"/>
        <v>95</v>
      </c>
      <c r="H12" s="15"/>
    </row>
    <row r="13" spans="1:8" x14ac:dyDescent="0.15">
      <c r="A13" s="12" t="s">
        <v>67</v>
      </c>
      <c r="B13" s="13" t="s">
        <v>82</v>
      </c>
      <c r="C13" s="13" t="str">
        <f t="shared" si="1"/>
        <v>14</v>
      </c>
      <c r="D13" s="12" t="s">
        <v>37</v>
      </c>
      <c r="E13" s="12">
        <v>65</v>
      </c>
      <c r="F13" s="12">
        <v>19</v>
      </c>
      <c r="G13" s="12">
        <f t="shared" si="0"/>
        <v>84</v>
      </c>
      <c r="H13" s="12"/>
    </row>
    <row r="14" spans="1:8" x14ac:dyDescent="0.15">
      <c r="A14" s="12" t="s">
        <v>67</v>
      </c>
      <c r="B14" s="13" t="s">
        <v>24</v>
      </c>
      <c r="C14" s="13" t="str">
        <f t="shared" si="1"/>
        <v>14</v>
      </c>
      <c r="D14" s="12" t="s">
        <v>40</v>
      </c>
      <c r="E14" s="12">
        <v>60</v>
      </c>
      <c r="F14" s="12">
        <v>14</v>
      </c>
      <c r="G14" s="12">
        <f t="shared" si="0"/>
        <v>74</v>
      </c>
      <c r="H14" s="12"/>
    </row>
    <row r="15" spans="1:8" x14ac:dyDescent="0.15">
      <c r="A15" s="12" t="s">
        <v>68</v>
      </c>
      <c r="B15" s="13" t="s">
        <v>26</v>
      </c>
      <c r="C15" s="13" t="str">
        <f t="shared" si="1"/>
        <v>14</v>
      </c>
      <c r="D15" s="12" t="s">
        <v>9</v>
      </c>
      <c r="E15" s="12">
        <v>45</v>
      </c>
      <c r="F15" s="12">
        <v>19</v>
      </c>
      <c r="G15" s="12">
        <f t="shared" si="0"/>
        <v>64</v>
      </c>
      <c r="H15" s="12"/>
    </row>
    <row r="16" spans="1:8" x14ac:dyDescent="0.15">
      <c r="A16" s="12" t="s">
        <v>68</v>
      </c>
      <c r="B16" s="13" t="s">
        <v>30</v>
      </c>
      <c r="C16" s="13" t="str">
        <f t="shared" si="1"/>
        <v>14</v>
      </c>
      <c r="D16" s="12" t="s">
        <v>12</v>
      </c>
      <c r="E16" s="12">
        <v>79</v>
      </c>
      <c r="F16" s="12">
        <v>15</v>
      </c>
      <c r="G16" s="12">
        <f t="shared" si="0"/>
        <v>94</v>
      </c>
      <c r="H16" s="12"/>
    </row>
    <row r="17" spans="1:8" x14ac:dyDescent="0.15">
      <c r="A17" s="12" t="s">
        <v>16</v>
      </c>
      <c r="B17" s="13" t="s">
        <v>21</v>
      </c>
      <c r="C17" s="13" t="str">
        <f t="shared" si="1"/>
        <v>14</v>
      </c>
      <c r="D17" s="12" t="s">
        <v>4</v>
      </c>
      <c r="E17" s="12">
        <v>81</v>
      </c>
      <c r="F17" s="12">
        <v>15</v>
      </c>
      <c r="G17" s="12">
        <f t="shared" si="0"/>
        <v>96</v>
      </c>
      <c r="H17" s="12"/>
    </row>
    <row r="18" spans="1:8" x14ac:dyDescent="0.15">
      <c r="A18" s="12" t="s">
        <v>16</v>
      </c>
      <c r="B18" s="13" t="s">
        <v>28</v>
      </c>
      <c r="C18" s="13" t="str">
        <f t="shared" si="1"/>
        <v>14</v>
      </c>
      <c r="D18" s="12" t="s">
        <v>41</v>
      </c>
      <c r="E18" s="12">
        <v>78</v>
      </c>
      <c r="F18" s="12">
        <v>17</v>
      </c>
      <c r="G18" s="12">
        <f t="shared" si="0"/>
        <v>95</v>
      </c>
      <c r="H18" s="15"/>
    </row>
    <row r="19" spans="1:8" x14ac:dyDescent="0.15">
      <c r="A19" s="12" t="s">
        <v>67</v>
      </c>
      <c r="B19" s="13" t="s">
        <v>48</v>
      </c>
      <c r="C19" s="13" t="str">
        <f t="shared" si="1"/>
        <v>14</v>
      </c>
      <c r="D19" s="12" t="s">
        <v>59</v>
      </c>
      <c r="E19" s="12">
        <v>75</v>
      </c>
      <c r="F19" s="12">
        <v>20</v>
      </c>
      <c r="G19" s="12">
        <f t="shared" si="0"/>
        <v>95</v>
      </c>
      <c r="H19" s="15"/>
    </row>
    <row r="20" spans="1:8" x14ac:dyDescent="0.15">
      <c r="A20" s="12" t="s">
        <v>67</v>
      </c>
      <c r="B20" s="13" t="s">
        <v>83</v>
      </c>
      <c r="C20" s="13" t="str">
        <f t="shared" si="1"/>
        <v>14</v>
      </c>
      <c r="D20" s="12" t="s">
        <v>60</v>
      </c>
      <c r="E20" s="12">
        <v>39</v>
      </c>
      <c r="F20" s="12">
        <v>19</v>
      </c>
      <c r="G20" s="12">
        <f t="shared" si="0"/>
        <v>58</v>
      </c>
      <c r="H20" s="15"/>
    </row>
    <row r="21" spans="1:8" x14ac:dyDescent="0.15">
      <c r="A21" s="12" t="s">
        <v>17</v>
      </c>
      <c r="B21" s="13" t="s">
        <v>22</v>
      </c>
      <c r="C21" s="13" t="str">
        <f t="shared" si="1"/>
        <v>14</v>
      </c>
      <c r="D21" s="12" t="s">
        <v>3</v>
      </c>
      <c r="E21" s="12">
        <v>56</v>
      </c>
      <c r="F21" s="12">
        <v>17</v>
      </c>
      <c r="G21" s="12">
        <f t="shared" si="0"/>
        <v>73</v>
      </c>
      <c r="H21" s="12"/>
    </row>
    <row r="22" spans="1:8" x14ac:dyDescent="0.15">
      <c r="A22" s="12" t="s">
        <v>17</v>
      </c>
      <c r="B22" s="13" t="s">
        <v>84</v>
      </c>
      <c r="C22" s="13" t="str">
        <f t="shared" si="1"/>
        <v>14</v>
      </c>
      <c r="D22" s="12" t="s">
        <v>11</v>
      </c>
      <c r="E22" s="12">
        <v>69</v>
      </c>
      <c r="F22" s="12">
        <v>12</v>
      </c>
      <c r="G22" s="12">
        <f t="shared" si="0"/>
        <v>81</v>
      </c>
      <c r="H22" s="12"/>
    </row>
    <row r="23" spans="1:8" x14ac:dyDescent="0.15">
      <c r="A23" s="12" t="s">
        <v>67</v>
      </c>
      <c r="B23" s="13" t="s">
        <v>27</v>
      </c>
      <c r="C23" s="13" t="str">
        <f t="shared" si="1"/>
        <v>14</v>
      </c>
      <c r="D23" s="12" t="s">
        <v>10</v>
      </c>
      <c r="E23" s="12">
        <v>75</v>
      </c>
      <c r="F23" s="12">
        <v>20</v>
      </c>
      <c r="G23" s="12">
        <f t="shared" si="0"/>
        <v>95</v>
      </c>
      <c r="H23" s="12"/>
    </row>
    <row r="24" spans="1:8" x14ac:dyDescent="0.15">
      <c r="A24" s="12" t="s">
        <v>67</v>
      </c>
      <c r="B24" s="13" t="s">
        <v>32</v>
      </c>
      <c r="C24" s="13" t="str">
        <f t="shared" si="1"/>
        <v>14</v>
      </c>
      <c r="D24" s="12" t="s">
        <v>13</v>
      </c>
      <c r="E24" s="12">
        <v>40</v>
      </c>
      <c r="F24" s="12">
        <v>15</v>
      </c>
      <c r="G24" s="12">
        <f t="shared" si="0"/>
        <v>55</v>
      </c>
      <c r="H24" s="15"/>
    </row>
    <row r="25" spans="1:8" x14ac:dyDescent="0.15">
      <c r="A25" s="12" t="s">
        <v>17</v>
      </c>
      <c r="B25" s="13" t="s">
        <v>85</v>
      </c>
      <c r="C25" s="13" t="str">
        <f t="shared" si="1"/>
        <v>14</v>
      </c>
      <c r="D25" s="12" t="s">
        <v>62</v>
      </c>
      <c r="E25" s="12">
        <v>66</v>
      </c>
      <c r="F25" s="12">
        <v>17</v>
      </c>
      <c r="G25" s="12">
        <f t="shared" si="0"/>
        <v>83</v>
      </c>
      <c r="H25" s="14"/>
    </row>
    <row r="26" spans="1:8" x14ac:dyDescent="0.15">
      <c r="A26" s="12" t="s">
        <v>68</v>
      </c>
      <c r="B26" s="13" t="s">
        <v>86</v>
      </c>
      <c r="C26" s="13" t="str">
        <f t="shared" si="1"/>
        <v>14</v>
      </c>
      <c r="D26" s="12" t="s">
        <v>38</v>
      </c>
      <c r="E26" s="12">
        <v>38</v>
      </c>
      <c r="F26" s="12">
        <v>17</v>
      </c>
      <c r="G26" s="12">
        <f t="shared" si="0"/>
        <v>55</v>
      </c>
      <c r="H26" s="14"/>
    </row>
    <row r="27" spans="1:8" x14ac:dyDescent="0.15">
      <c r="A27" s="12" t="s">
        <v>68</v>
      </c>
      <c r="B27" s="13" t="s">
        <v>23</v>
      </c>
      <c r="C27" s="13" t="str">
        <f t="shared" si="1"/>
        <v>14</v>
      </c>
      <c r="D27" s="12" t="s">
        <v>8</v>
      </c>
      <c r="E27" s="12">
        <v>77</v>
      </c>
      <c r="F27" s="12">
        <v>14</v>
      </c>
      <c r="G27" s="12">
        <f t="shared" si="0"/>
        <v>91</v>
      </c>
      <c r="H27" s="12"/>
    </row>
    <row r="28" spans="1:8" x14ac:dyDescent="0.15">
      <c r="A28" s="12" t="s">
        <v>68</v>
      </c>
      <c r="B28" s="13" t="s">
        <v>25</v>
      </c>
      <c r="C28" s="13" t="str">
        <f t="shared" si="1"/>
        <v>14</v>
      </c>
      <c r="D28" s="12" t="s">
        <v>5</v>
      </c>
      <c r="E28" s="12">
        <v>73</v>
      </c>
      <c r="F28" s="12">
        <v>18</v>
      </c>
      <c r="G28" s="12">
        <f t="shared" si="0"/>
        <v>91</v>
      </c>
      <c r="H28" s="12"/>
    </row>
    <row r="29" spans="1:8" x14ac:dyDescent="0.15">
      <c r="A29" s="12" t="s">
        <v>16</v>
      </c>
      <c r="B29" s="13" t="s">
        <v>44</v>
      </c>
      <c r="C29" s="13" t="str">
        <f t="shared" si="1"/>
        <v>14</v>
      </c>
      <c r="D29" s="12" t="s">
        <v>55</v>
      </c>
      <c r="E29" s="12">
        <v>41</v>
      </c>
      <c r="F29" s="12">
        <v>15</v>
      </c>
      <c r="G29" s="12">
        <f t="shared" si="0"/>
        <v>56</v>
      </c>
      <c r="H29" s="12"/>
    </row>
    <row r="30" spans="1:8" x14ac:dyDescent="0.15">
      <c r="A30" s="12" t="s">
        <v>16</v>
      </c>
      <c r="B30" s="13" t="s">
        <v>45</v>
      </c>
      <c r="C30" s="13" t="str">
        <f t="shared" si="1"/>
        <v>14</v>
      </c>
      <c r="D30" s="12" t="s">
        <v>56</v>
      </c>
      <c r="E30" s="12">
        <v>78</v>
      </c>
      <c r="F30" s="12">
        <v>17</v>
      </c>
      <c r="G30" s="12">
        <f t="shared" si="0"/>
        <v>95</v>
      </c>
      <c r="H30" s="12"/>
    </row>
    <row r="31" spans="1:8" x14ac:dyDescent="0.15">
      <c r="A31" s="12" t="s">
        <v>68</v>
      </c>
      <c r="B31" s="13" t="s">
        <v>33</v>
      </c>
      <c r="C31" s="13" t="str">
        <f t="shared" si="1"/>
        <v>14</v>
      </c>
      <c r="D31" s="12" t="s">
        <v>6</v>
      </c>
      <c r="E31" s="12">
        <v>78</v>
      </c>
      <c r="F31" s="12">
        <v>15</v>
      </c>
      <c r="G31" s="12">
        <f t="shared" si="0"/>
        <v>93</v>
      </c>
      <c r="H31" s="12"/>
    </row>
    <row r="32" spans="1:8" x14ac:dyDescent="0.15">
      <c r="A32" s="12" t="s">
        <v>68</v>
      </c>
      <c r="B32" s="13" t="s">
        <v>36</v>
      </c>
      <c r="C32" s="13" t="str">
        <f t="shared" si="1"/>
        <v>14</v>
      </c>
      <c r="D32" s="12" t="s">
        <v>7</v>
      </c>
      <c r="E32" s="12">
        <v>65</v>
      </c>
      <c r="F32" s="12">
        <v>10</v>
      </c>
      <c r="G32" s="12">
        <f t="shared" si="0"/>
        <v>75</v>
      </c>
      <c r="H32" s="12"/>
    </row>
    <row r="33" spans="7:8" x14ac:dyDescent="0.15">
      <c r="G33" s="4"/>
      <c r="H33" s="2"/>
    </row>
    <row r="34" spans="7:8" x14ac:dyDescent="0.15">
      <c r="G34" s="4"/>
      <c r="H34" s="2"/>
    </row>
    <row r="35" spans="7:8" x14ac:dyDescent="0.15">
      <c r="G35" s="4"/>
      <c r="H35" s="2"/>
    </row>
    <row r="37" spans="7:8" x14ac:dyDescent="0.15">
      <c r="G37" s="1"/>
      <c r="H37" s="1"/>
    </row>
    <row r="38" spans="7:8" x14ac:dyDescent="0.15">
      <c r="G38" s="1"/>
      <c r="H38" s="1"/>
    </row>
  </sheetData>
  <mergeCells count="1">
    <mergeCell ref="A1:H1"/>
  </mergeCells>
  <phoneticPr fontId="2" type="noConversion"/>
  <conditionalFormatting sqref="G3:G32">
    <cfRule type="cellIs" dxfId="0" priority="1" operator="lessThan">
      <formula>60</formula>
    </cfRule>
  </conditionalFormatting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&amp;R&amp;"宋体,加粗"&amp;10&amp;U某校各专业部学生考试成绩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K19" sqref="K19"/>
    </sheetView>
  </sheetViews>
  <sheetFormatPr defaultRowHeight="14.25" x14ac:dyDescent="0.15"/>
  <cols>
    <col min="1" max="1" width="11.875" customWidth="1"/>
    <col min="2" max="2" width="11.125" customWidth="1"/>
    <col min="3" max="3" width="11.375" customWidth="1"/>
    <col min="4" max="4" width="11.25" customWidth="1"/>
    <col min="5" max="5" width="11.875" customWidth="1"/>
  </cols>
  <sheetData>
    <row r="1" spans="1:5" ht="32.25" customHeight="1" x14ac:dyDescent="0.15">
      <c r="A1" s="17" t="s">
        <v>75</v>
      </c>
      <c r="B1" s="17"/>
      <c r="C1" s="17"/>
      <c r="D1" s="17"/>
      <c r="E1" s="17"/>
    </row>
    <row r="2" spans="1:5" ht="27" customHeight="1" x14ac:dyDescent="0.15">
      <c r="A2" s="5" t="s">
        <v>70</v>
      </c>
      <c r="B2" s="5" t="s">
        <v>71</v>
      </c>
      <c r="C2" s="5" t="s">
        <v>72</v>
      </c>
      <c r="D2" s="5" t="s">
        <v>73</v>
      </c>
      <c r="E2" s="5" t="s">
        <v>74</v>
      </c>
    </row>
    <row r="3" spans="1:5" ht="27" customHeight="1" x14ac:dyDescent="0.15">
      <c r="A3" s="5" t="s">
        <v>76</v>
      </c>
      <c r="B3" s="5">
        <v>256</v>
      </c>
      <c r="C3" s="5">
        <v>342</v>
      </c>
      <c r="D3" s="5">
        <v>654</v>
      </c>
      <c r="E3" s="5">
        <v>487</v>
      </c>
    </row>
    <row r="4" spans="1:5" ht="27" customHeight="1" x14ac:dyDescent="0.15">
      <c r="A4" s="5" t="s">
        <v>77</v>
      </c>
      <c r="B4" s="5">
        <v>298</v>
      </c>
      <c r="C4" s="5">
        <v>434</v>
      </c>
      <c r="D4" s="5">
        <v>398</v>
      </c>
      <c r="E4" s="5">
        <v>345</v>
      </c>
    </row>
    <row r="5" spans="1:5" ht="27" customHeight="1" x14ac:dyDescent="0.15">
      <c r="A5" s="5" t="s">
        <v>78</v>
      </c>
      <c r="B5" s="5">
        <v>467</v>
      </c>
      <c r="C5" s="5">
        <v>454</v>
      </c>
      <c r="D5" s="5">
        <v>487</v>
      </c>
      <c r="E5" s="5">
        <v>546</v>
      </c>
    </row>
  </sheetData>
  <mergeCells count="1">
    <mergeCell ref="A1:E1"/>
  </mergeCells>
  <phoneticPr fontId="2" type="noConversion"/>
  <pageMargins left="0.75" right="0.75" top="1" bottom="1" header="0.5" footer="0.5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4" sqref="B4"/>
    </sheetView>
  </sheetViews>
  <sheetFormatPr defaultRowHeight="14.25" x14ac:dyDescent="0.15"/>
  <sheetData>
    <row r="1" spans="1:7" x14ac:dyDescent="0.15">
      <c r="A1" s="6" t="s">
        <v>15</v>
      </c>
      <c r="B1" s="7" t="s">
        <v>2</v>
      </c>
    </row>
    <row r="2" spans="1:7" x14ac:dyDescent="0.15">
      <c r="A2" s="6" t="s">
        <v>68</v>
      </c>
      <c r="B2" t="s">
        <v>88</v>
      </c>
    </row>
    <row r="4" spans="1:7" x14ac:dyDescent="0.15">
      <c r="B4" s="6" t="s">
        <v>15</v>
      </c>
      <c r="C4" s="7" t="s">
        <v>0</v>
      </c>
      <c r="D4" s="7" t="s">
        <v>1</v>
      </c>
      <c r="E4" s="6" t="s">
        <v>65</v>
      </c>
      <c r="F4" s="6" t="s">
        <v>66</v>
      </c>
      <c r="G4" s="7" t="s">
        <v>2</v>
      </c>
    </row>
    <row r="5" spans="1:7" ht="15.75" x14ac:dyDescent="0.25">
      <c r="B5" s="6" t="s">
        <v>68</v>
      </c>
      <c r="C5" s="9" t="s">
        <v>52</v>
      </c>
      <c r="D5" s="6" t="s">
        <v>63</v>
      </c>
      <c r="E5" s="7">
        <v>77</v>
      </c>
      <c r="F5" s="7">
        <v>14</v>
      </c>
      <c r="G5" s="7">
        <v>91</v>
      </c>
    </row>
    <row r="6" spans="1:7" ht="15.75" x14ac:dyDescent="0.25">
      <c r="B6" s="6" t="s">
        <v>68</v>
      </c>
      <c r="C6" s="9" t="s">
        <v>54</v>
      </c>
      <c r="D6" s="6" t="s">
        <v>69</v>
      </c>
      <c r="E6" s="7">
        <v>70</v>
      </c>
      <c r="F6" s="7">
        <v>19</v>
      </c>
      <c r="G6" s="7">
        <v>89</v>
      </c>
    </row>
    <row r="7" spans="1:7" ht="15.75" x14ac:dyDescent="0.25">
      <c r="B7" s="6" t="s">
        <v>68</v>
      </c>
      <c r="C7" s="9" t="s">
        <v>53</v>
      </c>
      <c r="D7" s="6" t="s">
        <v>64</v>
      </c>
      <c r="E7" s="7">
        <v>73</v>
      </c>
      <c r="F7" s="7">
        <v>18</v>
      </c>
      <c r="G7" s="7">
        <v>91</v>
      </c>
    </row>
    <row r="8" spans="1:7" ht="15.75" x14ac:dyDescent="0.25">
      <c r="B8" s="6" t="s">
        <v>68</v>
      </c>
      <c r="C8" s="9" t="s">
        <v>30</v>
      </c>
      <c r="D8" s="7" t="s">
        <v>12</v>
      </c>
      <c r="E8" s="7">
        <v>79</v>
      </c>
      <c r="F8" s="7">
        <v>15</v>
      </c>
      <c r="G8" s="7">
        <v>94</v>
      </c>
    </row>
    <row r="9" spans="1:7" ht="15.75" x14ac:dyDescent="0.25">
      <c r="B9" s="6" t="s">
        <v>68</v>
      </c>
      <c r="C9" s="9" t="s">
        <v>23</v>
      </c>
      <c r="D9" s="7" t="s">
        <v>8</v>
      </c>
      <c r="E9" s="7">
        <v>77</v>
      </c>
      <c r="F9" s="7">
        <v>14</v>
      </c>
      <c r="G9" s="7">
        <v>91</v>
      </c>
    </row>
    <row r="10" spans="1:7" ht="15.75" x14ac:dyDescent="0.25">
      <c r="B10" s="6" t="s">
        <v>68</v>
      </c>
      <c r="C10" s="9" t="s">
        <v>25</v>
      </c>
      <c r="D10" s="7" t="s">
        <v>5</v>
      </c>
      <c r="E10" s="7">
        <v>73</v>
      </c>
      <c r="F10" s="7">
        <v>18</v>
      </c>
      <c r="G10" s="7">
        <v>91</v>
      </c>
    </row>
    <row r="11" spans="1:7" ht="15.75" x14ac:dyDescent="0.25">
      <c r="B11" s="6" t="s">
        <v>68</v>
      </c>
      <c r="C11" s="9" t="s">
        <v>33</v>
      </c>
      <c r="D11" s="7" t="s">
        <v>6</v>
      </c>
      <c r="E11" s="7">
        <v>78</v>
      </c>
      <c r="F11" s="7">
        <v>15</v>
      </c>
      <c r="G11" s="7">
        <v>93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Sheet1</vt:lpstr>
      <vt:lpstr>学生成绩统计表</vt:lpstr>
      <vt:lpstr>图表</vt:lpstr>
      <vt:lpstr>筛选</vt:lpstr>
      <vt:lpstr>筛选!Criteria</vt:lpstr>
      <vt:lpstr>筛选!提取</vt:lpstr>
    </vt:vector>
  </TitlesOfParts>
  <Company>yourcompany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</cp:lastModifiedBy>
  <dcterms:created xsi:type="dcterms:W3CDTF">2015-03-01T08:52:08Z</dcterms:created>
  <dcterms:modified xsi:type="dcterms:W3CDTF">2018-10-09T07:07:09Z</dcterms:modified>
</cp:coreProperties>
</file>