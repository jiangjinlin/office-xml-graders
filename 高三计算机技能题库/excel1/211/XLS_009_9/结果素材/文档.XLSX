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8195" windowHeight="10695"/>
  </bookViews>
  <sheets>
    <sheet name="3月份工资统计表" sheetId="1" r:id="rId1"/>
    <sheet name="Sheet2" sheetId="2" r:id="rId2"/>
    <sheet name="分类汇总" sheetId="3" r:id="rId3"/>
    <sheet name="筛选" sheetId="4" r:id="rId4"/>
    <sheet name="图表" sheetId="5" r:id="rId5"/>
  </sheets>
  <definedNames>
    <definedName name="_xlnm.Criteria" localSheetId="3">筛选!$A$1:$B$2</definedName>
    <definedName name="_xlnm.Extract" localSheetId="3">筛选!$A$6:$H$6</definedName>
  </definedNames>
  <calcPr calcId="144525"/>
</workbook>
</file>

<file path=xl/calcChain.xml><?xml version="1.0" encoding="utf-8"?>
<calcChain xmlns="http://schemas.openxmlformats.org/spreadsheetml/2006/main">
  <c r="H36" i="3" l="1"/>
  <c r="H35" i="3"/>
  <c r="H30" i="3"/>
  <c r="H20" i="3"/>
  <c r="H13" i="3"/>
  <c r="H8" i="3"/>
  <c r="H19" i="3"/>
  <c r="H16" i="3"/>
  <c r="H6" i="3"/>
  <c r="H25" i="3"/>
  <c r="H34" i="3"/>
  <c r="H18" i="3"/>
  <c r="H24" i="3"/>
  <c r="H23" i="3"/>
  <c r="H15" i="3"/>
  <c r="H29" i="3"/>
  <c r="H17" i="3"/>
  <c r="H10" i="3"/>
  <c r="H22" i="3"/>
  <c r="H7" i="3"/>
  <c r="H27" i="3"/>
  <c r="H32" i="3"/>
  <c r="H28" i="3"/>
  <c r="H21" i="3"/>
  <c r="H5" i="3"/>
  <c r="H9" i="3"/>
  <c r="H4" i="3"/>
  <c r="H12" i="3"/>
  <c r="H26" i="3"/>
  <c r="H33" i="3"/>
  <c r="H3" i="3"/>
  <c r="H11" i="3"/>
  <c r="H14" i="3"/>
  <c r="H31" i="3"/>
  <c r="B35" i="2" l="1"/>
  <c r="B34" i="2"/>
  <c r="B33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" i="1"/>
</calcChain>
</file>

<file path=xl/sharedStrings.xml><?xml version="1.0" encoding="utf-8"?>
<sst xmlns="http://schemas.openxmlformats.org/spreadsheetml/2006/main" count="313" uniqueCount="59">
  <si>
    <t>姓名</t>
    <phoneticPr fontId="1" type="noConversion"/>
  </si>
  <si>
    <t>王萍</t>
    <phoneticPr fontId="1" type="noConversion"/>
  </si>
  <si>
    <t>陈芮</t>
    <phoneticPr fontId="1" type="noConversion"/>
  </si>
  <si>
    <t>张平</t>
    <phoneticPr fontId="1" type="noConversion"/>
  </si>
  <si>
    <t>赵露</t>
    <phoneticPr fontId="1" type="noConversion"/>
  </si>
  <si>
    <t>耿秋文</t>
    <phoneticPr fontId="1" type="noConversion"/>
  </si>
  <si>
    <t>张冲</t>
    <phoneticPr fontId="1" type="noConversion"/>
  </si>
  <si>
    <t>刘利</t>
    <phoneticPr fontId="1" type="noConversion"/>
  </si>
  <si>
    <t>赵婷</t>
    <phoneticPr fontId="1" type="noConversion"/>
  </si>
  <si>
    <t>李敏</t>
    <phoneticPr fontId="1" type="noConversion"/>
  </si>
  <si>
    <t>郑双</t>
    <phoneticPr fontId="1" type="noConversion"/>
  </si>
  <si>
    <t>李丽晓</t>
    <phoneticPr fontId="1" type="noConversion"/>
  </si>
  <si>
    <t>蔡晓文</t>
    <phoneticPr fontId="1" type="noConversion"/>
  </si>
  <si>
    <t>李京</t>
    <phoneticPr fontId="1" type="noConversion"/>
  </si>
  <si>
    <t>闻文清</t>
    <phoneticPr fontId="1" type="noConversion"/>
  </si>
  <si>
    <t>刘以为</t>
    <phoneticPr fontId="1" type="noConversion"/>
  </si>
  <si>
    <t>张路霞</t>
    <phoneticPr fontId="1" type="noConversion"/>
  </si>
  <si>
    <t>孙思苗</t>
    <phoneticPr fontId="1" type="noConversion"/>
  </si>
  <si>
    <t>刘立三</t>
    <phoneticPr fontId="1" type="noConversion"/>
  </si>
  <si>
    <t>聂文元</t>
    <phoneticPr fontId="1" type="noConversion"/>
  </si>
  <si>
    <t>王雨河</t>
    <phoneticPr fontId="1" type="noConversion"/>
  </si>
  <si>
    <t>崔萍萍</t>
    <phoneticPr fontId="1" type="noConversion"/>
  </si>
  <si>
    <t>李再山</t>
    <phoneticPr fontId="1" type="noConversion"/>
  </si>
  <si>
    <t>所属部门</t>
    <phoneticPr fontId="1" type="noConversion"/>
  </si>
  <si>
    <t>聘用关系</t>
    <phoneticPr fontId="1" type="noConversion"/>
  </si>
  <si>
    <t>财务科</t>
    <phoneticPr fontId="1" type="noConversion"/>
  </si>
  <si>
    <t>行政科</t>
    <phoneticPr fontId="1" type="noConversion"/>
  </si>
  <si>
    <t>研发科</t>
    <phoneticPr fontId="1" type="noConversion"/>
  </si>
  <si>
    <t>销售科</t>
    <phoneticPr fontId="1" type="noConversion"/>
  </si>
  <si>
    <t>生产科</t>
    <phoneticPr fontId="1" type="noConversion"/>
  </si>
  <si>
    <t>陈四明</t>
    <phoneticPr fontId="1" type="noConversion"/>
  </si>
  <si>
    <t>朱月英</t>
    <phoneticPr fontId="1" type="noConversion"/>
  </si>
  <si>
    <t>刘培生</t>
    <phoneticPr fontId="1" type="noConversion"/>
  </si>
  <si>
    <t>郑奇志</t>
    <phoneticPr fontId="1" type="noConversion"/>
  </si>
  <si>
    <t>王天来</t>
    <phoneticPr fontId="1" type="noConversion"/>
  </si>
  <si>
    <t>顾历历</t>
    <phoneticPr fontId="1" type="noConversion"/>
  </si>
  <si>
    <t>在编</t>
    <phoneticPr fontId="1" type="noConversion"/>
  </si>
  <si>
    <t>外聘</t>
    <phoneticPr fontId="1" type="noConversion"/>
  </si>
  <si>
    <t>试用</t>
    <phoneticPr fontId="1" type="noConversion"/>
  </si>
  <si>
    <t>基本工资</t>
    <phoneticPr fontId="1" type="noConversion"/>
  </si>
  <si>
    <t>职务津贴</t>
    <phoneticPr fontId="1" type="noConversion"/>
  </si>
  <si>
    <t>外勤补贴</t>
    <phoneticPr fontId="1" type="noConversion"/>
  </si>
  <si>
    <t>扣除款项</t>
    <phoneticPr fontId="1" type="noConversion"/>
  </si>
  <si>
    <t>应得工资</t>
    <phoneticPr fontId="1" type="noConversion"/>
  </si>
  <si>
    <t>杭州分公司当月工资申报表</t>
  </si>
  <si>
    <t>在编人员情况</t>
    <phoneticPr fontId="1" type="noConversion"/>
  </si>
  <si>
    <t>人数</t>
    <phoneticPr fontId="1" type="noConversion"/>
  </si>
  <si>
    <t>总计</t>
    <phoneticPr fontId="1" type="noConversion"/>
  </si>
  <si>
    <t>平均</t>
    <phoneticPr fontId="1" type="noConversion"/>
  </si>
  <si>
    <t>行政科 平均值</t>
  </si>
  <si>
    <t>销售科 平均值</t>
  </si>
  <si>
    <t>研发科 平均值</t>
  </si>
  <si>
    <t>生产科 平均值</t>
  </si>
  <si>
    <t>财务科 平均值</t>
  </si>
  <si>
    <t>总计平均值</t>
  </si>
  <si>
    <t>聘用关系</t>
    <phoneticPr fontId="1" type="noConversion"/>
  </si>
  <si>
    <t>应得工资</t>
    <phoneticPr fontId="1" type="noConversion"/>
  </si>
  <si>
    <t>外聘</t>
    <phoneticPr fontId="1" type="noConversion"/>
  </si>
  <si>
    <t>&gt;=6800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</si>
</sst>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charset val="134"/>
    </font>
    <font>
      <b/>
      <i/>
      <sz val="18"/>
      <color rgb="FFFF0000"/>
      <name val="华文楷体"/>
      <family val="3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0070C0"/>
      </left>
      <right style="thin">
        <color rgb="FF00B0F0"/>
      </right>
      <top style="thick">
        <color rgb="FF0070C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ck">
        <color rgb="FF0070C0"/>
      </top>
      <bottom style="thin">
        <color rgb="FF00B0F0"/>
      </bottom>
      <diagonal/>
    </border>
    <border>
      <left style="thin">
        <color rgb="FF00B0F0"/>
      </left>
      <right style="thick">
        <color rgb="FF0070C0"/>
      </right>
      <top style="thick">
        <color rgb="FF0070C0"/>
      </top>
      <bottom style="thin">
        <color rgb="FF00B0F0"/>
      </bottom>
      <diagonal/>
    </border>
    <border>
      <left style="thick">
        <color rgb="FF0070C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ck">
        <color rgb="FF0070C0"/>
      </right>
      <top style="thin">
        <color rgb="FF00B0F0"/>
      </top>
      <bottom style="thin">
        <color rgb="FF00B0F0"/>
      </bottom>
      <diagonal/>
    </border>
    <border>
      <left style="thick">
        <color rgb="FF0070C0"/>
      </left>
      <right style="thin">
        <color rgb="FF00B0F0"/>
      </right>
      <top style="thin">
        <color rgb="FF00B0F0"/>
      </top>
      <bottom style="thick">
        <color rgb="FF0070C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ck">
        <color rgb="FF0070C0"/>
      </bottom>
      <diagonal/>
    </border>
    <border>
      <left style="thin">
        <color rgb="FF00B0F0"/>
      </left>
      <right style="thick">
        <color rgb="FF0070C0"/>
      </right>
      <top style="thin">
        <color rgb="FF00B0F0"/>
      </top>
      <bottom style="thick">
        <color rgb="FF0070C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5" xfId="0" applyFont="1" applyBorder="1">
      <alignment vertical="center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3">
    <dxf>
      <font>
        <color rgb="FF0070C0"/>
      </font>
    </dxf>
    <dxf>
      <font>
        <color rgb="FF0070C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部分外聘人员工资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筛选!$H$6</c:f>
              <c:strCache>
                <c:ptCount val="1"/>
                <c:pt idx="0">
                  <c:v>应得工资</c:v>
                </c:pt>
              </c:strCache>
            </c:strRef>
          </c:tx>
          <c:invertIfNegative val="0"/>
          <c:cat>
            <c:strRef>
              <c:f>筛选!$A$7:$A$10</c:f>
              <c:strCache>
                <c:ptCount val="4"/>
                <c:pt idx="0">
                  <c:v>蔡晓文</c:v>
                </c:pt>
                <c:pt idx="1">
                  <c:v>闻文清</c:v>
                </c:pt>
                <c:pt idx="2">
                  <c:v>刘立三</c:v>
                </c:pt>
                <c:pt idx="3">
                  <c:v>崔萍萍</c:v>
                </c:pt>
              </c:strCache>
            </c:strRef>
          </c:cat>
          <c:val>
            <c:numRef>
              <c:f>筛选!$H$7:$H$10</c:f>
              <c:numCache>
                <c:formatCode>General</c:formatCode>
                <c:ptCount val="4"/>
                <c:pt idx="0">
                  <c:v>7057</c:v>
                </c:pt>
                <c:pt idx="1">
                  <c:v>7111</c:v>
                </c:pt>
                <c:pt idx="2">
                  <c:v>7134</c:v>
                </c:pt>
                <c:pt idx="3">
                  <c:v>6925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pyramid"/>
        <c:axId val="85111552"/>
        <c:axId val="85113088"/>
        <c:axId val="0"/>
      </c:bar3DChart>
      <c:catAx>
        <c:axId val="8511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85113088"/>
        <c:crosses val="autoZero"/>
        <c:auto val="1"/>
        <c:lblAlgn val="ctr"/>
        <c:lblOffset val="100"/>
        <c:noMultiLvlLbl val="0"/>
      </c:catAx>
      <c:valAx>
        <c:axId val="851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511155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975" cy="607670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M9" sqref="M9"/>
    </sheetView>
  </sheetViews>
  <sheetFormatPr defaultRowHeight="14.25" x14ac:dyDescent="0.15"/>
  <cols>
    <col min="1" max="1" width="7.5" bestFit="1" customWidth="1"/>
    <col min="2" max="8" width="9.5" bestFit="1" customWidth="1"/>
  </cols>
  <sheetData>
    <row r="1" spans="1:8" ht="25.5" thickBot="1" x14ac:dyDescent="0.2">
      <c r="A1" s="13" t="s">
        <v>44</v>
      </c>
      <c r="B1" s="13"/>
      <c r="C1" s="13"/>
      <c r="D1" s="13"/>
      <c r="E1" s="13"/>
      <c r="F1" s="13"/>
      <c r="G1" s="13"/>
      <c r="H1" s="13"/>
    </row>
    <row r="2" spans="1:8" ht="15" thickTop="1" x14ac:dyDescent="0.15">
      <c r="A2" s="1" t="s">
        <v>0</v>
      </c>
      <c r="B2" s="2" t="s">
        <v>23</v>
      </c>
      <c r="C2" s="2" t="s">
        <v>24</v>
      </c>
      <c r="D2" s="2" t="s">
        <v>39</v>
      </c>
      <c r="E2" s="2" t="s">
        <v>40</v>
      </c>
      <c r="F2" s="2" t="s">
        <v>41</v>
      </c>
      <c r="G2" s="2" t="s">
        <v>42</v>
      </c>
      <c r="H2" s="3" t="s">
        <v>43</v>
      </c>
    </row>
    <row r="3" spans="1:8" x14ac:dyDescent="0.15">
      <c r="A3" s="4" t="s">
        <v>9</v>
      </c>
      <c r="B3" s="5" t="s">
        <v>25</v>
      </c>
      <c r="C3" s="5" t="s">
        <v>36</v>
      </c>
      <c r="D3" s="5">
        <v>3480</v>
      </c>
      <c r="E3" s="5">
        <v>1999</v>
      </c>
      <c r="F3" s="5">
        <v>913</v>
      </c>
      <c r="G3" s="5">
        <v>322</v>
      </c>
      <c r="H3" s="6">
        <f>D3+E3+F3-G3</f>
        <v>6070</v>
      </c>
    </row>
    <row r="4" spans="1:8" x14ac:dyDescent="0.15">
      <c r="A4" s="4" t="s">
        <v>10</v>
      </c>
      <c r="B4" s="5" t="s">
        <v>27</v>
      </c>
      <c r="C4" s="5" t="s">
        <v>36</v>
      </c>
      <c r="D4" s="5">
        <v>3918</v>
      </c>
      <c r="E4" s="5">
        <v>2079</v>
      </c>
      <c r="F4" s="5">
        <v>853</v>
      </c>
      <c r="G4" s="5">
        <v>252</v>
      </c>
      <c r="H4" s="6">
        <f t="shared" ref="H4:H30" si="0">D4+E4+F4-G4</f>
        <v>6598</v>
      </c>
    </row>
    <row r="5" spans="1:8" x14ac:dyDescent="0.15">
      <c r="A5" s="4" t="s">
        <v>12</v>
      </c>
      <c r="B5" s="5" t="s">
        <v>28</v>
      </c>
      <c r="C5" s="5" t="s">
        <v>37</v>
      </c>
      <c r="D5" s="5">
        <v>4031</v>
      </c>
      <c r="E5" s="5">
        <v>2325</v>
      </c>
      <c r="F5" s="5">
        <v>1011</v>
      </c>
      <c r="G5" s="5">
        <v>310</v>
      </c>
      <c r="H5" s="6">
        <f t="shared" si="0"/>
        <v>7057</v>
      </c>
    </row>
    <row r="6" spans="1:8" x14ac:dyDescent="0.15">
      <c r="A6" s="4" t="s">
        <v>13</v>
      </c>
      <c r="B6" s="5" t="s">
        <v>26</v>
      </c>
      <c r="C6" s="5" t="s">
        <v>36</v>
      </c>
      <c r="D6" s="5">
        <v>3982</v>
      </c>
      <c r="E6" s="5">
        <v>1824</v>
      </c>
      <c r="F6" s="5">
        <v>915</v>
      </c>
      <c r="G6" s="5">
        <v>211</v>
      </c>
      <c r="H6" s="6">
        <f t="shared" si="0"/>
        <v>6510</v>
      </c>
    </row>
    <row r="7" spans="1:8" x14ac:dyDescent="0.15">
      <c r="A7" s="4" t="s">
        <v>14</v>
      </c>
      <c r="B7" s="5" t="s">
        <v>25</v>
      </c>
      <c r="C7" s="5" t="s">
        <v>37</v>
      </c>
      <c r="D7" s="5">
        <v>4039</v>
      </c>
      <c r="E7" s="5">
        <v>2250</v>
      </c>
      <c r="F7" s="5">
        <v>1039</v>
      </c>
      <c r="G7" s="5">
        <v>217</v>
      </c>
      <c r="H7" s="6">
        <f t="shared" si="0"/>
        <v>7111</v>
      </c>
    </row>
    <row r="8" spans="1:8" x14ac:dyDescent="0.15">
      <c r="A8" s="4" t="s">
        <v>15</v>
      </c>
      <c r="B8" s="5" t="s">
        <v>29</v>
      </c>
      <c r="C8" s="5" t="s">
        <v>37</v>
      </c>
      <c r="D8" s="5">
        <v>3953</v>
      </c>
      <c r="E8" s="5">
        <v>2268</v>
      </c>
      <c r="F8" s="5">
        <v>702</v>
      </c>
      <c r="G8" s="5">
        <v>310</v>
      </c>
      <c r="H8" s="6">
        <f t="shared" si="0"/>
        <v>6613</v>
      </c>
    </row>
    <row r="9" spans="1:8" x14ac:dyDescent="0.15">
      <c r="A9" s="4" t="s">
        <v>16</v>
      </c>
      <c r="B9" s="5" t="s">
        <v>28</v>
      </c>
      <c r="C9" s="5" t="s">
        <v>38</v>
      </c>
      <c r="D9" s="5">
        <v>2300</v>
      </c>
      <c r="E9" s="5">
        <v>1085</v>
      </c>
      <c r="F9" s="5">
        <v>826</v>
      </c>
      <c r="G9" s="5">
        <v>304</v>
      </c>
      <c r="H9" s="6">
        <f t="shared" si="0"/>
        <v>3907</v>
      </c>
    </row>
    <row r="10" spans="1:8" x14ac:dyDescent="0.15">
      <c r="A10" s="4" t="s">
        <v>4</v>
      </c>
      <c r="B10" s="5" t="s">
        <v>26</v>
      </c>
      <c r="C10" s="5" t="s">
        <v>36</v>
      </c>
      <c r="D10" s="5">
        <v>3952</v>
      </c>
      <c r="E10" s="5">
        <v>1846</v>
      </c>
      <c r="F10" s="5">
        <v>713</v>
      </c>
      <c r="G10" s="5">
        <v>211</v>
      </c>
      <c r="H10" s="6">
        <f t="shared" si="0"/>
        <v>6300</v>
      </c>
    </row>
    <row r="11" spans="1:8" x14ac:dyDescent="0.15">
      <c r="A11" s="4" t="s">
        <v>17</v>
      </c>
      <c r="B11" s="5" t="s">
        <v>28</v>
      </c>
      <c r="C11" s="5" t="s">
        <v>36</v>
      </c>
      <c r="D11" s="5">
        <v>3927</v>
      </c>
      <c r="E11" s="5">
        <v>1771</v>
      </c>
      <c r="F11" s="5">
        <v>1026</v>
      </c>
      <c r="G11" s="5">
        <v>298</v>
      </c>
      <c r="H11" s="6">
        <f t="shared" si="0"/>
        <v>6426</v>
      </c>
    </row>
    <row r="12" spans="1:8" x14ac:dyDescent="0.15">
      <c r="A12" s="4" t="s">
        <v>18</v>
      </c>
      <c r="B12" s="5" t="s">
        <v>26</v>
      </c>
      <c r="C12" s="5" t="s">
        <v>37</v>
      </c>
      <c r="D12" s="5">
        <v>3984</v>
      </c>
      <c r="E12" s="5">
        <v>2525</v>
      </c>
      <c r="F12" s="5">
        <v>872</v>
      </c>
      <c r="G12" s="5">
        <v>247</v>
      </c>
      <c r="H12" s="6">
        <f t="shared" si="0"/>
        <v>7134</v>
      </c>
    </row>
    <row r="13" spans="1:8" x14ac:dyDescent="0.15">
      <c r="A13" s="4" t="s">
        <v>8</v>
      </c>
      <c r="B13" s="5" t="s">
        <v>29</v>
      </c>
      <c r="C13" s="5" t="s">
        <v>36</v>
      </c>
      <c r="D13" s="5">
        <v>3931</v>
      </c>
      <c r="E13" s="5">
        <v>1606</v>
      </c>
      <c r="F13" s="5">
        <v>874</v>
      </c>
      <c r="G13" s="5">
        <v>278</v>
      </c>
      <c r="H13" s="6">
        <f t="shared" si="0"/>
        <v>6133</v>
      </c>
    </row>
    <row r="14" spans="1:8" x14ac:dyDescent="0.15">
      <c r="A14" s="4" t="s">
        <v>3</v>
      </c>
      <c r="B14" s="5" t="s">
        <v>29</v>
      </c>
      <c r="C14" s="5" t="s">
        <v>38</v>
      </c>
      <c r="D14" s="5">
        <v>2300</v>
      </c>
      <c r="E14" s="5">
        <v>1101</v>
      </c>
      <c r="F14" s="5">
        <v>1020</v>
      </c>
      <c r="G14" s="5">
        <v>277</v>
      </c>
      <c r="H14" s="6">
        <f t="shared" si="0"/>
        <v>4144</v>
      </c>
    </row>
    <row r="15" spans="1:8" x14ac:dyDescent="0.15">
      <c r="A15" s="4" t="s">
        <v>2</v>
      </c>
      <c r="B15" s="5" t="s">
        <v>25</v>
      </c>
      <c r="C15" s="5" t="s">
        <v>36</v>
      </c>
      <c r="D15" s="5">
        <v>3905</v>
      </c>
      <c r="E15" s="5">
        <v>2136</v>
      </c>
      <c r="F15" s="5">
        <v>825</v>
      </c>
      <c r="G15" s="5">
        <v>210</v>
      </c>
      <c r="H15" s="6">
        <f t="shared" si="0"/>
        <v>6656</v>
      </c>
    </row>
    <row r="16" spans="1:8" x14ac:dyDescent="0.15">
      <c r="A16" s="4" t="s">
        <v>5</v>
      </c>
      <c r="B16" s="5" t="s">
        <v>29</v>
      </c>
      <c r="C16" s="5" t="s">
        <v>37</v>
      </c>
      <c r="D16" s="5">
        <v>4024</v>
      </c>
      <c r="E16" s="5">
        <v>2146</v>
      </c>
      <c r="F16" s="5">
        <v>766</v>
      </c>
      <c r="G16" s="5">
        <v>244</v>
      </c>
      <c r="H16" s="6">
        <f t="shared" si="0"/>
        <v>6692</v>
      </c>
    </row>
    <row r="17" spans="1:8" x14ac:dyDescent="0.15">
      <c r="A17" s="4" t="s">
        <v>20</v>
      </c>
      <c r="B17" s="5" t="s">
        <v>26</v>
      </c>
      <c r="C17" s="5" t="s">
        <v>38</v>
      </c>
      <c r="D17" s="5">
        <v>2300</v>
      </c>
      <c r="E17" s="5">
        <v>1121</v>
      </c>
      <c r="F17" s="5">
        <v>771</v>
      </c>
      <c r="G17" s="5">
        <v>268</v>
      </c>
      <c r="H17" s="6">
        <f t="shared" si="0"/>
        <v>3924</v>
      </c>
    </row>
    <row r="18" spans="1:8" x14ac:dyDescent="0.15">
      <c r="A18" s="4" t="s">
        <v>19</v>
      </c>
      <c r="B18" s="5" t="s">
        <v>29</v>
      </c>
      <c r="C18" s="5" t="s">
        <v>36</v>
      </c>
      <c r="D18" s="5">
        <v>3967</v>
      </c>
      <c r="E18" s="5">
        <v>2059</v>
      </c>
      <c r="F18" s="5">
        <v>1006</v>
      </c>
      <c r="G18" s="5">
        <v>314</v>
      </c>
      <c r="H18" s="6">
        <f t="shared" si="0"/>
        <v>6718</v>
      </c>
    </row>
    <row r="19" spans="1:8" x14ac:dyDescent="0.15">
      <c r="A19" s="4" t="s">
        <v>6</v>
      </c>
      <c r="B19" s="5" t="s">
        <v>28</v>
      </c>
      <c r="C19" s="5" t="s">
        <v>36</v>
      </c>
      <c r="D19" s="5">
        <v>3466</v>
      </c>
      <c r="E19" s="5">
        <v>1572</v>
      </c>
      <c r="F19" s="5">
        <v>829</v>
      </c>
      <c r="G19" s="5">
        <v>251</v>
      </c>
      <c r="H19" s="6">
        <f t="shared" si="0"/>
        <v>5616</v>
      </c>
    </row>
    <row r="20" spans="1:8" x14ac:dyDescent="0.15">
      <c r="A20" s="4" t="s">
        <v>33</v>
      </c>
      <c r="B20" s="5" t="s">
        <v>27</v>
      </c>
      <c r="C20" s="5" t="s">
        <v>37</v>
      </c>
      <c r="D20" s="5">
        <v>4006</v>
      </c>
      <c r="E20" s="5">
        <v>2151</v>
      </c>
      <c r="F20" s="5">
        <v>716</v>
      </c>
      <c r="G20" s="5">
        <v>300</v>
      </c>
      <c r="H20" s="6">
        <f t="shared" si="0"/>
        <v>6573</v>
      </c>
    </row>
    <row r="21" spans="1:8" x14ac:dyDescent="0.15">
      <c r="A21" s="4" t="s">
        <v>34</v>
      </c>
      <c r="B21" s="5" t="s">
        <v>29</v>
      </c>
      <c r="C21" s="5" t="s">
        <v>38</v>
      </c>
      <c r="D21" s="5">
        <v>2300</v>
      </c>
      <c r="E21" s="5">
        <v>1124</v>
      </c>
      <c r="F21" s="5">
        <v>951</v>
      </c>
      <c r="G21" s="5">
        <v>277</v>
      </c>
      <c r="H21" s="6">
        <f t="shared" si="0"/>
        <v>4098</v>
      </c>
    </row>
    <row r="22" spans="1:8" x14ac:dyDescent="0.15">
      <c r="A22" s="4" t="s">
        <v>35</v>
      </c>
      <c r="B22" s="5" t="s">
        <v>27</v>
      </c>
      <c r="C22" s="5" t="s">
        <v>36</v>
      </c>
      <c r="D22" s="5">
        <v>4028</v>
      </c>
      <c r="E22" s="5">
        <v>1781</v>
      </c>
      <c r="F22" s="5">
        <v>825</v>
      </c>
      <c r="G22" s="5">
        <v>222</v>
      </c>
      <c r="H22" s="6">
        <f t="shared" si="0"/>
        <v>6412</v>
      </c>
    </row>
    <row r="23" spans="1:8" x14ac:dyDescent="0.15">
      <c r="A23" s="4" t="s">
        <v>32</v>
      </c>
      <c r="B23" s="5" t="s">
        <v>29</v>
      </c>
      <c r="C23" s="5" t="s">
        <v>36</v>
      </c>
      <c r="D23" s="5">
        <v>4021</v>
      </c>
      <c r="E23" s="5">
        <v>1814</v>
      </c>
      <c r="F23" s="5">
        <v>932</v>
      </c>
      <c r="G23" s="5">
        <v>318</v>
      </c>
      <c r="H23" s="6">
        <f t="shared" si="0"/>
        <v>6449</v>
      </c>
    </row>
    <row r="24" spans="1:8" x14ac:dyDescent="0.15">
      <c r="A24" s="4" t="s">
        <v>31</v>
      </c>
      <c r="B24" s="5" t="s">
        <v>29</v>
      </c>
      <c r="C24" s="5" t="s">
        <v>36</v>
      </c>
      <c r="D24" s="5">
        <v>3928</v>
      </c>
      <c r="E24" s="5">
        <v>1525</v>
      </c>
      <c r="F24" s="5">
        <v>990</v>
      </c>
      <c r="G24" s="5">
        <v>321</v>
      </c>
      <c r="H24" s="6">
        <f t="shared" si="0"/>
        <v>6122</v>
      </c>
    </row>
    <row r="25" spans="1:8" x14ac:dyDescent="0.15">
      <c r="A25" s="4" t="s">
        <v>21</v>
      </c>
      <c r="B25" s="5" t="s">
        <v>27</v>
      </c>
      <c r="C25" s="5" t="s">
        <v>37</v>
      </c>
      <c r="D25" s="5">
        <v>4014</v>
      </c>
      <c r="E25" s="5">
        <v>2157</v>
      </c>
      <c r="F25" s="5">
        <v>1008</v>
      </c>
      <c r="G25" s="5">
        <v>254</v>
      </c>
      <c r="H25" s="6">
        <f t="shared" si="0"/>
        <v>6925</v>
      </c>
    </row>
    <row r="26" spans="1:8" x14ac:dyDescent="0.15">
      <c r="A26" s="4" t="s">
        <v>7</v>
      </c>
      <c r="B26" s="5" t="s">
        <v>25</v>
      </c>
      <c r="C26" s="5" t="s">
        <v>38</v>
      </c>
      <c r="D26" s="5">
        <v>2300</v>
      </c>
      <c r="E26" s="5">
        <v>1063</v>
      </c>
      <c r="F26" s="5">
        <v>951</v>
      </c>
      <c r="G26" s="5">
        <v>320</v>
      </c>
      <c r="H26" s="6">
        <f t="shared" si="0"/>
        <v>3994</v>
      </c>
    </row>
    <row r="27" spans="1:8" x14ac:dyDescent="0.15">
      <c r="A27" s="4" t="s">
        <v>11</v>
      </c>
      <c r="B27" s="5" t="s">
        <v>29</v>
      </c>
      <c r="C27" s="5" t="s">
        <v>36</v>
      </c>
      <c r="D27" s="5">
        <v>3913</v>
      </c>
      <c r="E27" s="5">
        <v>1596</v>
      </c>
      <c r="F27" s="5">
        <v>891</v>
      </c>
      <c r="G27" s="5">
        <v>252</v>
      </c>
      <c r="H27" s="6">
        <f t="shared" si="0"/>
        <v>6148</v>
      </c>
    </row>
    <row r="28" spans="1:8" x14ac:dyDescent="0.15">
      <c r="A28" s="4" t="s">
        <v>22</v>
      </c>
      <c r="B28" s="5" t="s">
        <v>26</v>
      </c>
      <c r="C28" s="5" t="s">
        <v>37</v>
      </c>
      <c r="D28" s="5">
        <v>3917</v>
      </c>
      <c r="E28" s="5">
        <v>2009</v>
      </c>
      <c r="F28" s="5">
        <v>837</v>
      </c>
      <c r="G28" s="5">
        <v>317</v>
      </c>
      <c r="H28" s="6">
        <f t="shared" si="0"/>
        <v>6446</v>
      </c>
    </row>
    <row r="29" spans="1:8" x14ac:dyDescent="0.15">
      <c r="A29" s="4" t="s">
        <v>1</v>
      </c>
      <c r="B29" s="5" t="s">
        <v>27</v>
      </c>
      <c r="C29" s="5" t="s">
        <v>36</v>
      </c>
      <c r="D29" s="5">
        <v>4028</v>
      </c>
      <c r="E29" s="5">
        <v>1730</v>
      </c>
      <c r="F29" s="5">
        <v>364</v>
      </c>
      <c r="G29" s="5">
        <v>297</v>
      </c>
      <c r="H29" s="6">
        <f t="shared" si="0"/>
        <v>5825</v>
      </c>
    </row>
    <row r="30" spans="1:8" ht="15" thickBot="1" x14ac:dyDescent="0.2">
      <c r="A30" s="7" t="s">
        <v>30</v>
      </c>
      <c r="B30" s="8" t="s">
        <v>27</v>
      </c>
      <c r="C30" s="8" t="s">
        <v>38</v>
      </c>
      <c r="D30" s="8">
        <v>2300</v>
      </c>
      <c r="E30" s="8">
        <v>1031</v>
      </c>
      <c r="F30" s="8">
        <v>764</v>
      </c>
      <c r="G30" s="8">
        <v>285</v>
      </c>
      <c r="H30" s="9">
        <f t="shared" si="0"/>
        <v>3810</v>
      </c>
    </row>
    <row r="31" spans="1:8" ht="15" thickTop="1" x14ac:dyDescent="0.15"/>
  </sheetData>
  <mergeCells count="1">
    <mergeCell ref="A1:H1"/>
  </mergeCells>
  <phoneticPr fontId="1" type="noConversion"/>
  <conditionalFormatting sqref="H3:H30">
    <cfRule type="cellIs" dxfId="2" priority="1" operator="lessThan">
      <formula>4000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opLeftCell="A18" workbookViewId="0">
      <selection activeCell="A2" sqref="A2"/>
    </sheetView>
  </sheetViews>
  <sheetFormatPr defaultRowHeight="14.25" x14ac:dyDescent="0.15"/>
  <sheetData>
    <row r="1" spans="1:8" ht="25.5" thickBot="1" x14ac:dyDescent="0.2">
      <c r="A1" s="13" t="s">
        <v>44</v>
      </c>
      <c r="B1" s="13"/>
      <c r="C1" s="13"/>
      <c r="D1" s="13"/>
      <c r="E1" s="13"/>
      <c r="F1" s="13"/>
      <c r="G1" s="13"/>
      <c r="H1" s="13"/>
    </row>
    <row r="2" spans="1:8" ht="15" thickTop="1" x14ac:dyDescent="0.15">
      <c r="A2" s="1" t="s">
        <v>0</v>
      </c>
      <c r="B2" s="2" t="s">
        <v>23</v>
      </c>
      <c r="C2" s="2" t="s">
        <v>24</v>
      </c>
      <c r="D2" s="2" t="s">
        <v>39</v>
      </c>
      <c r="E2" s="2" t="s">
        <v>40</v>
      </c>
      <c r="F2" s="2" t="s">
        <v>41</v>
      </c>
      <c r="G2" s="2" t="s">
        <v>42</v>
      </c>
      <c r="H2" s="3" t="s">
        <v>43</v>
      </c>
    </row>
    <row r="3" spans="1:8" x14ac:dyDescent="0.15">
      <c r="A3" s="4" t="s">
        <v>9</v>
      </c>
      <c r="B3" s="5" t="s">
        <v>25</v>
      </c>
      <c r="C3" s="5" t="s">
        <v>36</v>
      </c>
      <c r="D3" s="5">
        <v>3480</v>
      </c>
      <c r="E3" s="5">
        <v>1999</v>
      </c>
      <c r="F3" s="5">
        <v>913</v>
      </c>
      <c r="G3" s="5">
        <v>322</v>
      </c>
      <c r="H3" s="6">
        <f>D3+E3+F3-G3</f>
        <v>6070</v>
      </c>
    </row>
    <row r="4" spans="1:8" x14ac:dyDescent="0.15">
      <c r="A4" s="4" t="s">
        <v>10</v>
      </c>
      <c r="B4" s="5" t="s">
        <v>27</v>
      </c>
      <c r="C4" s="5" t="s">
        <v>36</v>
      </c>
      <c r="D4" s="5">
        <v>3918</v>
      </c>
      <c r="E4" s="5">
        <v>2079</v>
      </c>
      <c r="F4" s="5">
        <v>853</v>
      </c>
      <c r="G4" s="5">
        <v>252</v>
      </c>
      <c r="H4" s="6">
        <f t="shared" ref="H4:H30" si="0">D4+E4+F4-G4</f>
        <v>6598</v>
      </c>
    </row>
    <row r="5" spans="1:8" x14ac:dyDescent="0.15">
      <c r="A5" s="4" t="s">
        <v>12</v>
      </c>
      <c r="B5" s="5" t="s">
        <v>28</v>
      </c>
      <c r="C5" s="5" t="s">
        <v>37</v>
      </c>
      <c r="D5" s="5">
        <v>4031</v>
      </c>
      <c r="E5" s="5">
        <v>2325</v>
      </c>
      <c r="F5" s="5">
        <v>1011</v>
      </c>
      <c r="G5" s="5">
        <v>310</v>
      </c>
      <c r="H5" s="6">
        <f t="shared" si="0"/>
        <v>7057</v>
      </c>
    </row>
    <row r="6" spans="1:8" x14ac:dyDescent="0.15">
      <c r="A6" s="4" t="s">
        <v>13</v>
      </c>
      <c r="B6" s="5" t="s">
        <v>26</v>
      </c>
      <c r="C6" s="5" t="s">
        <v>36</v>
      </c>
      <c r="D6" s="5">
        <v>3982</v>
      </c>
      <c r="E6" s="5">
        <v>1824</v>
      </c>
      <c r="F6" s="5">
        <v>915</v>
      </c>
      <c r="G6" s="5">
        <v>211</v>
      </c>
      <c r="H6" s="6">
        <f t="shared" si="0"/>
        <v>6510</v>
      </c>
    </row>
    <row r="7" spans="1:8" x14ac:dyDescent="0.15">
      <c r="A7" s="4" t="s">
        <v>14</v>
      </c>
      <c r="B7" s="5" t="s">
        <v>25</v>
      </c>
      <c r="C7" s="5" t="s">
        <v>37</v>
      </c>
      <c r="D7" s="5">
        <v>4039</v>
      </c>
      <c r="E7" s="5">
        <v>2250</v>
      </c>
      <c r="F7" s="5">
        <v>1039</v>
      </c>
      <c r="G7" s="5">
        <v>217</v>
      </c>
      <c r="H7" s="6">
        <f t="shared" si="0"/>
        <v>7111</v>
      </c>
    </row>
    <row r="8" spans="1:8" x14ac:dyDescent="0.15">
      <c r="A8" s="4" t="s">
        <v>15</v>
      </c>
      <c r="B8" s="5" t="s">
        <v>29</v>
      </c>
      <c r="C8" s="5" t="s">
        <v>37</v>
      </c>
      <c r="D8" s="5">
        <v>3953</v>
      </c>
      <c r="E8" s="5">
        <v>2268</v>
      </c>
      <c r="F8" s="5">
        <v>702</v>
      </c>
      <c r="G8" s="5">
        <v>310</v>
      </c>
      <c r="H8" s="6">
        <f t="shared" si="0"/>
        <v>6613</v>
      </c>
    </row>
    <row r="9" spans="1:8" x14ac:dyDescent="0.15">
      <c r="A9" s="4" t="s">
        <v>16</v>
      </c>
      <c r="B9" s="5" t="s">
        <v>28</v>
      </c>
      <c r="C9" s="5" t="s">
        <v>38</v>
      </c>
      <c r="D9" s="5">
        <v>2300</v>
      </c>
      <c r="E9" s="5">
        <v>1085</v>
      </c>
      <c r="F9" s="5">
        <v>826</v>
      </c>
      <c r="G9" s="5">
        <v>304</v>
      </c>
      <c r="H9" s="6">
        <f t="shared" si="0"/>
        <v>3907</v>
      </c>
    </row>
    <row r="10" spans="1:8" x14ac:dyDescent="0.15">
      <c r="A10" s="4" t="s">
        <v>4</v>
      </c>
      <c r="B10" s="5" t="s">
        <v>26</v>
      </c>
      <c r="C10" s="5" t="s">
        <v>36</v>
      </c>
      <c r="D10" s="5">
        <v>3952</v>
      </c>
      <c r="E10" s="5">
        <v>1846</v>
      </c>
      <c r="F10" s="5">
        <v>713</v>
      </c>
      <c r="G10" s="5">
        <v>211</v>
      </c>
      <c r="H10" s="6">
        <f t="shared" si="0"/>
        <v>6300</v>
      </c>
    </row>
    <row r="11" spans="1:8" x14ac:dyDescent="0.15">
      <c r="A11" s="4" t="s">
        <v>17</v>
      </c>
      <c r="B11" s="5" t="s">
        <v>28</v>
      </c>
      <c r="C11" s="5" t="s">
        <v>36</v>
      </c>
      <c r="D11" s="5">
        <v>3927</v>
      </c>
      <c r="E11" s="5">
        <v>1771</v>
      </c>
      <c r="F11" s="5">
        <v>1026</v>
      </c>
      <c r="G11" s="5">
        <v>298</v>
      </c>
      <c r="H11" s="6">
        <f t="shared" si="0"/>
        <v>6426</v>
      </c>
    </row>
    <row r="12" spans="1:8" x14ac:dyDescent="0.15">
      <c r="A12" s="4" t="s">
        <v>18</v>
      </c>
      <c r="B12" s="5" t="s">
        <v>26</v>
      </c>
      <c r="C12" s="5" t="s">
        <v>37</v>
      </c>
      <c r="D12" s="5">
        <v>3984</v>
      </c>
      <c r="E12" s="5">
        <v>2525</v>
      </c>
      <c r="F12" s="5">
        <v>872</v>
      </c>
      <c r="G12" s="5">
        <v>247</v>
      </c>
      <c r="H12" s="6">
        <f t="shared" si="0"/>
        <v>7134</v>
      </c>
    </row>
    <row r="13" spans="1:8" x14ac:dyDescent="0.15">
      <c r="A13" s="4" t="s">
        <v>8</v>
      </c>
      <c r="B13" s="5" t="s">
        <v>29</v>
      </c>
      <c r="C13" s="5" t="s">
        <v>36</v>
      </c>
      <c r="D13" s="5">
        <v>3931</v>
      </c>
      <c r="E13" s="5">
        <v>1606</v>
      </c>
      <c r="F13" s="5">
        <v>874</v>
      </c>
      <c r="G13" s="5">
        <v>278</v>
      </c>
      <c r="H13" s="6">
        <f t="shared" si="0"/>
        <v>6133</v>
      </c>
    </row>
    <row r="14" spans="1:8" x14ac:dyDescent="0.15">
      <c r="A14" s="4" t="s">
        <v>3</v>
      </c>
      <c r="B14" s="5" t="s">
        <v>29</v>
      </c>
      <c r="C14" s="5" t="s">
        <v>38</v>
      </c>
      <c r="D14" s="5">
        <v>2300</v>
      </c>
      <c r="E14" s="5">
        <v>1101</v>
      </c>
      <c r="F14" s="5">
        <v>1020</v>
      </c>
      <c r="G14" s="5">
        <v>277</v>
      </c>
      <c r="H14" s="6">
        <f t="shared" si="0"/>
        <v>4144</v>
      </c>
    </row>
    <row r="15" spans="1:8" x14ac:dyDescent="0.15">
      <c r="A15" s="4" t="s">
        <v>2</v>
      </c>
      <c r="B15" s="5" t="s">
        <v>25</v>
      </c>
      <c r="C15" s="5" t="s">
        <v>36</v>
      </c>
      <c r="D15" s="5">
        <v>3905</v>
      </c>
      <c r="E15" s="5">
        <v>2136</v>
      </c>
      <c r="F15" s="5">
        <v>825</v>
      </c>
      <c r="G15" s="5">
        <v>210</v>
      </c>
      <c r="H15" s="6">
        <f t="shared" si="0"/>
        <v>6656</v>
      </c>
    </row>
    <row r="16" spans="1:8" x14ac:dyDescent="0.15">
      <c r="A16" s="4" t="s">
        <v>5</v>
      </c>
      <c r="B16" s="5" t="s">
        <v>29</v>
      </c>
      <c r="C16" s="5" t="s">
        <v>37</v>
      </c>
      <c r="D16" s="5">
        <v>4024</v>
      </c>
      <c r="E16" s="5">
        <v>2146</v>
      </c>
      <c r="F16" s="5">
        <v>766</v>
      </c>
      <c r="G16" s="5">
        <v>244</v>
      </c>
      <c r="H16" s="6">
        <f t="shared" si="0"/>
        <v>6692</v>
      </c>
    </row>
    <row r="17" spans="1:8" x14ac:dyDescent="0.15">
      <c r="A17" s="4" t="s">
        <v>20</v>
      </c>
      <c r="B17" s="5" t="s">
        <v>26</v>
      </c>
      <c r="C17" s="5" t="s">
        <v>38</v>
      </c>
      <c r="D17" s="5">
        <v>2300</v>
      </c>
      <c r="E17" s="5">
        <v>1121</v>
      </c>
      <c r="F17" s="5">
        <v>771</v>
      </c>
      <c r="G17" s="5">
        <v>268</v>
      </c>
      <c r="H17" s="6">
        <f t="shared" si="0"/>
        <v>3924</v>
      </c>
    </row>
    <row r="18" spans="1:8" x14ac:dyDescent="0.15">
      <c r="A18" s="4" t="s">
        <v>19</v>
      </c>
      <c r="B18" s="5" t="s">
        <v>29</v>
      </c>
      <c r="C18" s="5" t="s">
        <v>36</v>
      </c>
      <c r="D18" s="5">
        <v>3967</v>
      </c>
      <c r="E18" s="5">
        <v>2059</v>
      </c>
      <c r="F18" s="5">
        <v>1006</v>
      </c>
      <c r="G18" s="5">
        <v>314</v>
      </c>
      <c r="H18" s="6">
        <f t="shared" si="0"/>
        <v>6718</v>
      </c>
    </row>
    <row r="19" spans="1:8" x14ac:dyDescent="0.15">
      <c r="A19" s="4" t="s">
        <v>6</v>
      </c>
      <c r="B19" s="5" t="s">
        <v>28</v>
      </c>
      <c r="C19" s="5" t="s">
        <v>36</v>
      </c>
      <c r="D19" s="5">
        <v>3466</v>
      </c>
      <c r="E19" s="5">
        <v>1572</v>
      </c>
      <c r="F19" s="5">
        <v>829</v>
      </c>
      <c r="G19" s="5">
        <v>251</v>
      </c>
      <c r="H19" s="6">
        <f t="shared" si="0"/>
        <v>5616</v>
      </c>
    </row>
    <row r="20" spans="1:8" x14ac:dyDescent="0.15">
      <c r="A20" s="4" t="s">
        <v>33</v>
      </c>
      <c r="B20" s="5" t="s">
        <v>27</v>
      </c>
      <c r="C20" s="5" t="s">
        <v>37</v>
      </c>
      <c r="D20" s="5">
        <v>4006</v>
      </c>
      <c r="E20" s="5">
        <v>2151</v>
      </c>
      <c r="F20" s="5">
        <v>716</v>
      </c>
      <c r="G20" s="5">
        <v>300</v>
      </c>
      <c r="H20" s="6">
        <f t="shared" si="0"/>
        <v>6573</v>
      </c>
    </row>
    <row r="21" spans="1:8" x14ac:dyDescent="0.15">
      <c r="A21" s="4" t="s">
        <v>34</v>
      </c>
      <c r="B21" s="5" t="s">
        <v>29</v>
      </c>
      <c r="C21" s="5" t="s">
        <v>38</v>
      </c>
      <c r="D21" s="5">
        <v>2300</v>
      </c>
      <c r="E21" s="5">
        <v>1124</v>
      </c>
      <c r="F21" s="5">
        <v>951</v>
      </c>
      <c r="G21" s="5">
        <v>277</v>
      </c>
      <c r="H21" s="6">
        <f t="shared" si="0"/>
        <v>4098</v>
      </c>
    </row>
    <row r="22" spans="1:8" x14ac:dyDescent="0.15">
      <c r="A22" s="4" t="s">
        <v>35</v>
      </c>
      <c r="B22" s="5" t="s">
        <v>27</v>
      </c>
      <c r="C22" s="5" t="s">
        <v>36</v>
      </c>
      <c r="D22" s="5">
        <v>4028</v>
      </c>
      <c r="E22" s="5">
        <v>1781</v>
      </c>
      <c r="F22" s="5">
        <v>825</v>
      </c>
      <c r="G22" s="5">
        <v>222</v>
      </c>
      <c r="H22" s="6">
        <f t="shared" si="0"/>
        <v>6412</v>
      </c>
    </row>
    <row r="23" spans="1:8" x14ac:dyDescent="0.15">
      <c r="A23" s="4" t="s">
        <v>32</v>
      </c>
      <c r="B23" s="5" t="s">
        <v>29</v>
      </c>
      <c r="C23" s="5" t="s">
        <v>36</v>
      </c>
      <c r="D23" s="5">
        <v>4021</v>
      </c>
      <c r="E23" s="5">
        <v>1814</v>
      </c>
      <c r="F23" s="5">
        <v>932</v>
      </c>
      <c r="G23" s="5">
        <v>318</v>
      </c>
      <c r="H23" s="6">
        <f t="shared" si="0"/>
        <v>6449</v>
      </c>
    </row>
    <row r="24" spans="1:8" x14ac:dyDescent="0.15">
      <c r="A24" s="4" t="s">
        <v>31</v>
      </c>
      <c r="B24" s="5" t="s">
        <v>29</v>
      </c>
      <c r="C24" s="5" t="s">
        <v>36</v>
      </c>
      <c r="D24" s="5">
        <v>3928</v>
      </c>
      <c r="E24" s="5">
        <v>1525</v>
      </c>
      <c r="F24" s="5">
        <v>990</v>
      </c>
      <c r="G24" s="5">
        <v>321</v>
      </c>
      <c r="H24" s="6">
        <f t="shared" si="0"/>
        <v>6122</v>
      </c>
    </row>
    <row r="25" spans="1:8" x14ac:dyDescent="0.15">
      <c r="A25" s="4" t="s">
        <v>21</v>
      </c>
      <c r="B25" s="5" t="s">
        <v>27</v>
      </c>
      <c r="C25" s="5" t="s">
        <v>37</v>
      </c>
      <c r="D25" s="5">
        <v>4014</v>
      </c>
      <c r="E25" s="5">
        <v>2157</v>
      </c>
      <c r="F25" s="5">
        <v>1008</v>
      </c>
      <c r="G25" s="5">
        <v>254</v>
      </c>
      <c r="H25" s="6">
        <f t="shared" si="0"/>
        <v>6925</v>
      </c>
    </row>
    <row r="26" spans="1:8" x14ac:dyDescent="0.15">
      <c r="A26" s="4" t="s">
        <v>7</v>
      </c>
      <c r="B26" s="5" t="s">
        <v>25</v>
      </c>
      <c r="C26" s="5" t="s">
        <v>38</v>
      </c>
      <c r="D26" s="5">
        <v>2300</v>
      </c>
      <c r="E26" s="5">
        <v>1063</v>
      </c>
      <c r="F26" s="5">
        <v>951</v>
      </c>
      <c r="G26" s="5">
        <v>320</v>
      </c>
      <c r="H26" s="6">
        <f t="shared" si="0"/>
        <v>3994</v>
      </c>
    </row>
    <row r="27" spans="1:8" x14ac:dyDescent="0.15">
      <c r="A27" s="4" t="s">
        <v>11</v>
      </c>
      <c r="B27" s="5" t="s">
        <v>29</v>
      </c>
      <c r="C27" s="5" t="s">
        <v>36</v>
      </c>
      <c r="D27" s="5">
        <v>3913</v>
      </c>
      <c r="E27" s="5">
        <v>1596</v>
      </c>
      <c r="F27" s="5">
        <v>891</v>
      </c>
      <c r="G27" s="5">
        <v>252</v>
      </c>
      <c r="H27" s="6">
        <f t="shared" si="0"/>
        <v>6148</v>
      </c>
    </row>
    <row r="28" spans="1:8" x14ac:dyDescent="0.15">
      <c r="A28" s="4" t="s">
        <v>22</v>
      </c>
      <c r="B28" s="5" t="s">
        <v>26</v>
      </c>
      <c r="C28" s="5" t="s">
        <v>37</v>
      </c>
      <c r="D28" s="5">
        <v>3917</v>
      </c>
      <c r="E28" s="5">
        <v>2009</v>
      </c>
      <c r="F28" s="5">
        <v>837</v>
      </c>
      <c r="G28" s="5">
        <v>317</v>
      </c>
      <c r="H28" s="6">
        <f t="shared" si="0"/>
        <v>6446</v>
      </c>
    </row>
    <row r="29" spans="1:8" x14ac:dyDescent="0.15">
      <c r="A29" s="4" t="s">
        <v>1</v>
      </c>
      <c r="B29" s="5" t="s">
        <v>27</v>
      </c>
      <c r="C29" s="5" t="s">
        <v>36</v>
      </c>
      <c r="D29" s="5">
        <v>4028</v>
      </c>
      <c r="E29" s="5">
        <v>1730</v>
      </c>
      <c r="F29" s="5">
        <v>364</v>
      </c>
      <c r="G29" s="5">
        <v>297</v>
      </c>
      <c r="H29" s="6">
        <f t="shared" si="0"/>
        <v>5825</v>
      </c>
    </row>
    <row r="30" spans="1:8" ht="15" thickBot="1" x14ac:dyDescent="0.2">
      <c r="A30" s="7" t="s">
        <v>30</v>
      </c>
      <c r="B30" s="8" t="s">
        <v>27</v>
      </c>
      <c r="C30" s="8" t="s">
        <v>38</v>
      </c>
      <c r="D30" s="8">
        <v>2300</v>
      </c>
      <c r="E30" s="8">
        <v>1031</v>
      </c>
      <c r="F30" s="8">
        <v>764</v>
      </c>
      <c r="G30" s="8">
        <v>285</v>
      </c>
      <c r="H30" s="9">
        <f t="shared" si="0"/>
        <v>3810</v>
      </c>
    </row>
    <row r="31" spans="1:8" ht="15" thickTop="1" x14ac:dyDescent="0.15"/>
    <row r="32" spans="1:8" x14ac:dyDescent="0.15">
      <c r="A32" t="s">
        <v>45</v>
      </c>
    </row>
    <row r="33" spans="1:2" x14ac:dyDescent="0.15">
      <c r="A33" t="s">
        <v>46</v>
      </c>
      <c r="B33">
        <f>COUNTIF(C3:C30,"在编")</f>
        <v>14</v>
      </c>
    </row>
    <row r="34" spans="1:2" x14ac:dyDescent="0.15">
      <c r="A34" t="s">
        <v>47</v>
      </c>
      <c r="B34">
        <f>SUMIF(C3:C30,"在编",H3:H30)</f>
        <v>87983</v>
      </c>
    </row>
    <row r="35" spans="1:2" x14ac:dyDescent="0.15">
      <c r="A35" t="s">
        <v>48</v>
      </c>
      <c r="B35">
        <f>B34/B33</f>
        <v>6284.5</v>
      </c>
    </row>
  </sheetData>
  <mergeCells count="1">
    <mergeCell ref="A1:H1"/>
  </mergeCells>
  <phoneticPr fontId="1" type="noConversion"/>
  <conditionalFormatting sqref="H3:H30">
    <cfRule type="cellIs" dxfId="1" priority="1" operator="lessThan">
      <formula>4000</formula>
    </cfRule>
  </conditionalFormatting>
  <printOptions vertic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&amp;R&amp;P</oddHeader>
    <oddFooter>&amp;R&amp;"隶书,加粗"&amp;11二零一三年三月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9" workbookViewId="0">
      <selection activeCell="E12" sqref="E12"/>
    </sheetView>
  </sheetViews>
  <sheetFormatPr defaultRowHeight="14.25" outlineLevelRow="2" x14ac:dyDescent="0.15"/>
  <sheetData>
    <row r="1" spans="1:8" ht="25.5" thickBot="1" x14ac:dyDescent="0.2">
      <c r="A1" s="13" t="s">
        <v>44</v>
      </c>
      <c r="B1" s="13"/>
      <c r="C1" s="13"/>
      <c r="D1" s="13"/>
      <c r="E1" s="13"/>
      <c r="F1" s="13"/>
      <c r="G1" s="13"/>
      <c r="H1" s="13"/>
    </row>
    <row r="2" spans="1:8" ht="15" thickTop="1" x14ac:dyDescent="0.15">
      <c r="A2" s="1" t="s">
        <v>0</v>
      </c>
      <c r="B2" s="2" t="s">
        <v>23</v>
      </c>
      <c r="C2" s="2" t="s">
        <v>24</v>
      </c>
      <c r="D2" s="2" t="s">
        <v>39</v>
      </c>
      <c r="E2" s="2" t="s">
        <v>40</v>
      </c>
      <c r="F2" s="2" t="s">
        <v>41</v>
      </c>
      <c r="G2" s="2" t="s">
        <v>42</v>
      </c>
      <c r="H2" s="3" t="s">
        <v>43</v>
      </c>
    </row>
    <row r="3" spans="1:8" outlineLevel="2" x14ac:dyDescent="0.15">
      <c r="A3" s="4" t="s">
        <v>13</v>
      </c>
      <c r="B3" s="5" t="s">
        <v>26</v>
      </c>
      <c r="C3" s="5" t="s">
        <v>36</v>
      </c>
      <c r="D3" s="5">
        <v>3982</v>
      </c>
      <c r="E3" s="5">
        <v>1824</v>
      </c>
      <c r="F3" s="5">
        <v>915</v>
      </c>
      <c r="G3" s="5">
        <v>211</v>
      </c>
      <c r="H3" s="6">
        <f>D3+E3+F3-G3</f>
        <v>6510</v>
      </c>
    </row>
    <row r="4" spans="1:8" outlineLevel="2" x14ac:dyDescent="0.15">
      <c r="A4" s="4" t="s">
        <v>4</v>
      </c>
      <c r="B4" s="5" t="s">
        <v>26</v>
      </c>
      <c r="C4" s="5" t="s">
        <v>36</v>
      </c>
      <c r="D4" s="5">
        <v>3952</v>
      </c>
      <c r="E4" s="5">
        <v>1846</v>
      </c>
      <c r="F4" s="5">
        <v>713</v>
      </c>
      <c r="G4" s="5">
        <v>211</v>
      </c>
      <c r="H4" s="6">
        <f>D4+E4+F4-G4</f>
        <v>6300</v>
      </c>
    </row>
    <row r="5" spans="1:8" outlineLevel="2" x14ac:dyDescent="0.15">
      <c r="A5" s="4" t="s">
        <v>18</v>
      </c>
      <c r="B5" s="5" t="s">
        <v>26</v>
      </c>
      <c r="C5" s="5" t="s">
        <v>37</v>
      </c>
      <c r="D5" s="5">
        <v>3984</v>
      </c>
      <c r="E5" s="5">
        <v>2525</v>
      </c>
      <c r="F5" s="5">
        <v>872</v>
      </c>
      <c r="G5" s="5">
        <v>247</v>
      </c>
      <c r="H5" s="6">
        <f>D5+E5+F5-G5</f>
        <v>7134</v>
      </c>
    </row>
    <row r="6" spans="1:8" outlineLevel="2" x14ac:dyDescent="0.15">
      <c r="A6" s="4" t="s">
        <v>22</v>
      </c>
      <c r="B6" s="5" t="s">
        <v>26</v>
      </c>
      <c r="C6" s="5" t="s">
        <v>37</v>
      </c>
      <c r="D6" s="5">
        <v>3917</v>
      </c>
      <c r="E6" s="5">
        <v>2009</v>
      </c>
      <c r="F6" s="5">
        <v>837</v>
      </c>
      <c r="G6" s="5">
        <v>317</v>
      </c>
      <c r="H6" s="6">
        <f>D6+E6+F6-G6</f>
        <v>6446</v>
      </c>
    </row>
    <row r="7" spans="1:8" outlineLevel="2" x14ac:dyDescent="0.15">
      <c r="A7" s="4" t="s">
        <v>20</v>
      </c>
      <c r="B7" s="5" t="s">
        <v>26</v>
      </c>
      <c r="C7" s="5" t="s">
        <v>38</v>
      </c>
      <c r="D7" s="5">
        <v>2300</v>
      </c>
      <c r="E7" s="5">
        <v>1121</v>
      </c>
      <c r="F7" s="5">
        <v>771</v>
      </c>
      <c r="G7" s="5">
        <v>268</v>
      </c>
      <c r="H7" s="6">
        <f>D7+E7+F7-G7</f>
        <v>3924</v>
      </c>
    </row>
    <row r="8" spans="1:8" outlineLevel="1" x14ac:dyDescent="0.15">
      <c r="A8" s="4"/>
      <c r="B8" s="10" t="s">
        <v>49</v>
      </c>
      <c r="C8" s="5"/>
      <c r="D8" s="5"/>
      <c r="E8" s="5"/>
      <c r="F8" s="5"/>
      <c r="G8" s="5"/>
      <c r="H8" s="6">
        <f>SUBTOTAL(1,H3:H7)</f>
        <v>6062.8</v>
      </c>
    </row>
    <row r="9" spans="1:8" outlineLevel="2" x14ac:dyDescent="0.15">
      <c r="A9" s="4" t="s">
        <v>17</v>
      </c>
      <c r="B9" s="5" t="s">
        <v>28</v>
      </c>
      <c r="C9" s="5" t="s">
        <v>36</v>
      </c>
      <c r="D9" s="5">
        <v>3927</v>
      </c>
      <c r="E9" s="5">
        <v>1771</v>
      </c>
      <c r="F9" s="5">
        <v>1026</v>
      </c>
      <c r="G9" s="5">
        <v>298</v>
      </c>
      <c r="H9" s="6">
        <f>D9+E9+F9-G9</f>
        <v>6426</v>
      </c>
    </row>
    <row r="10" spans="1:8" outlineLevel="2" x14ac:dyDescent="0.15">
      <c r="A10" s="4" t="s">
        <v>6</v>
      </c>
      <c r="B10" s="5" t="s">
        <v>28</v>
      </c>
      <c r="C10" s="5" t="s">
        <v>36</v>
      </c>
      <c r="D10" s="5">
        <v>3466</v>
      </c>
      <c r="E10" s="5">
        <v>1572</v>
      </c>
      <c r="F10" s="5">
        <v>829</v>
      </c>
      <c r="G10" s="5">
        <v>251</v>
      </c>
      <c r="H10" s="6">
        <f>D10+E10+F10-G10</f>
        <v>5616</v>
      </c>
    </row>
    <row r="11" spans="1:8" outlineLevel="2" x14ac:dyDescent="0.15">
      <c r="A11" s="4" t="s">
        <v>12</v>
      </c>
      <c r="B11" s="5" t="s">
        <v>28</v>
      </c>
      <c r="C11" s="5" t="s">
        <v>37</v>
      </c>
      <c r="D11" s="5">
        <v>4031</v>
      </c>
      <c r="E11" s="5">
        <v>2325</v>
      </c>
      <c r="F11" s="5">
        <v>1011</v>
      </c>
      <c r="G11" s="5">
        <v>310</v>
      </c>
      <c r="H11" s="6">
        <f>D11+E11+F11-G11</f>
        <v>7057</v>
      </c>
    </row>
    <row r="12" spans="1:8" outlineLevel="2" x14ac:dyDescent="0.15">
      <c r="A12" s="4" t="s">
        <v>16</v>
      </c>
      <c r="B12" s="5" t="s">
        <v>28</v>
      </c>
      <c r="C12" s="5" t="s">
        <v>38</v>
      </c>
      <c r="D12" s="5">
        <v>2300</v>
      </c>
      <c r="E12" s="5">
        <v>1085</v>
      </c>
      <c r="F12" s="5">
        <v>826</v>
      </c>
      <c r="G12" s="5">
        <v>304</v>
      </c>
      <c r="H12" s="6">
        <f>D12+E12+F12-G12</f>
        <v>3907</v>
      </c>
    </row>
    <row r="13" spans="1:8" outlineLevel="1" x14ac:dyDescent="0.15">
      <c r="A13" s="4"/>
      <c r="B13" s="10" t="s">
        <v>50</v>
      </c>
      <c r="C13" s="5"/>
      <c r="D13" s="5"/>
      <c r="E13" s="5"/>
      <c r="F13" s="5"/>
      <c r="G13" s="5"/>
      <c r="H13" s="6">
        <f>SUBTOTAL(1,H9:H12)</f>
        <v>5751.5</v>
      </c>
    </row>
    <row r="14" spans="1:8" outlineLevel="2" x14ac:dyDescent="0.15">
      <c r="A14" s="4" t="s">
        <v>10</v>
      </c>
      <c r="B14" s="5" t="s">
        <v>27</v>
      </c>
      <c r="C14" s="5" t="s">
        <v>36</v>
      </c>
      <c r="D14" s="5">
        <v>3918</v>
      </c>
      <c r="E14" s="5">
        <v>2079</v>
      </c>
      <c r="F14" s="5">
        <v>853</v>
      </c>
      <c r="G14" s="5">
        <v>252</v>
      </c>
      <c r="H14" s="6">
        <f t="shared" ref="H14:H19" si="0">D14+E14+F14-G14</f>
        <v>6598</v>
      </c>
    </row>
    <row r="15" spans="1:8" outlineLevel="2" x14ac:dyDescent="0.15">
      <c r="A15" s="4" t="s">
        <v>35</v>
      </c>
      <c r="B15" s="5" t="s">
        <v>27</v>
      </c>
      <c r="C15" s="5" t="s">
        <v>36</v>
      </c>
      <c r="D15" s="5">
        <v>4028</v>
      </c>
      <c r="E15" s="5">
        <v>1781</v>
      </c>
      <c r="F15" s="5">
        <v>825</v>
      </c>
      <c r="G15" s="5">
        <v>222</v>
      </c>
      <c r="H15" s="6">
        <f t="shared" si="0"/>
        <v>6412</v>
      </c>
    </row>
    <row r="16" spans="1:8" outlineLevel="2" x14ac:dyDescent="0.15">
      <c r="A16" s="4" t="s">
        <v>1</v>
      </c>
      <c r="B16" s="5" t="s">
        <v>27</v>
      </c>
      <c r="C16" s="5" t="s">
        <v>36</v>
      </c>
      <c r="D16" s="5">
        <v>4028</v>
      </c>
      <c r="E16" s="5">
        <v>1730</v>
      </c>
      <c r="F16" s="5">
        <v>364</v>
      </c>
      <c r="G16" s="5">
        <v>297</v>
      </c>
      <c r="H16" s="6">
        <f t="shared" si="0"/>
        <v>5825</v>
      </c>
    </row>
    <row r="17" spans="1:8" outlineLevel="2" x14ac:dyDescent="0.15">
      <c r="A17" s="4" t="s">
        <v>33</v>
      </c>
      <c r="B17" s="5" t="s">
        <v>27</v>
      </c>
      <c r="C17" s="5" t="s">
        <v>37</v>
      </c>
      <c r="D17" s="5">
        <v>4006</v>
      </c>
      <c r="E17" s="5">
        <v>2151</v>
      </c>
      <c r="F17" s="5">
        <v>716</v>
      </c>
      <c r="G17" s="5">
        <v>300</v>
      </c>
      <c r="H17" s="6">
        <f t="shared" si="0"/>
        <v>6573</v>
      </c>
    </row>
    <row r="18" spans="1:8" outlineLevel="2" x14ac:dyDescent="0.15">
      <c r="A18" s="4" t="s">
        <v>21</v>
      </c>
      <c r="B18" s="5" t="s">
        <v>27</v>
      </c>
      <c r="C18" s="5" t="s">
        <v>37</v>
      </c>
      <c r="D18" s="5">
        <v>4014</v>
      </c>
      <c r="E18" s="5">
        <v>2157</v>
      </c>
      <c r="F18" s="5">
        <v>1008</v>
      </c>
      <c r="G18" s="5">
        <v>254</v>
      </c>
      <c r="H18" s="6">
        <f t="shared" si="0"/>
        <v>6925</v>
      </c>
    </row>
    <row r="19" spans="1:8" outlineLevel="2" x14ac:dyDescent="0.15">
      <c r="A19" s="4" t="s">
        <v>30</v>
      </c>
      <c r="B19" s="5" t="s">
        <v>27</v>
      </c>
      <c r="C19" s="5" t="s">
        <v>38</v>
      </c>
      <c r="D19" s="5">
        <v>2300</v>
      </c>
      <c r="E19" s="5">
        <v>1031</v>
      </c>
      <c r="F19" s="5">
        <v>764</v>
      </c>
      <c r="G19" s="5">
        <v>285</v>
      </c>
      <c r="H19" s="6">
        <f t="shared" si="0"/>
        <v>3810</v>
      </c>
    </row>
    <row r="20" spans="1:8" outlineLevel="1" x14ac:dyDescent="0.15">
      <c r="A20" s="4"/>
      <c r="B20" s="10" t="s">
        <v>51</v>
      </c>
      <c r="C20" s="5"/>
      <c r="D20" s="5"/>
      <c r="E20" s="5"/>
      <c r="F20" s="5"/>
      <c r="G20" s="5"/>
      <c r="H20" s="6">
        <f>SUBTOTAL(1,H14:H19)</f>
        <v>6023.833333333333</v>
      </c>
    </row>
    <row r="21" spans="1:8" outlineLevel="2" x14ac:dyDescent="0.15">
      <c r="A21" s="4" t="s">
        <v>8</v>
      </c>
      <c r="B21" s="5" t="s">
        <v>29</v>
      </c>
      <c r="C21" s="5" t="s">
        <v>36</v>
      </c>
      <c r="D21" s="5">
        <v>3931</v>
      </c>
      <c r="E21" s="5">
        <v>1606</v>
      </c>
      <c r="F21" s="5">
        <v>874</v>
      </c>
      <c r="G21" s="5">
        <v>278</v>
      </c>
      <c r="H21" s="6">
        <f t="shared" ref="H21:H29" si="1">D21+E21+F21-G21</f>
        <v>6133</v>
      </c>
    </row>
    <row r="22" spans="1:8" outlineLevel="2" x14ac:dyDescent="0.15">
      <c r="A22" s="4" t="s">
        <v>19</v>
      </c>
      <c r="B22" s="5" t="s">
        <v>29</v>
      </c>
      <c r="C22" s="5" t="s">
        <v>36</v>
      </c>
      <c r="D22" s="5">
        <v>3967</v>
      </c>
      <c r="E22" s="5">
        <v>2059</v>
      </c>
      <c r="F22" s="5">
        <v>1006</v>
      </c>
      <c r="G22" s="5">
        <v>314</v>
      </c>
      <c r="H22" s="6">
        <f t="shared" si="1"/>
        <v>6718</v>
      </c>
    </row>
    <row r="23" spans="1:8" outlineLevel="2" x14ac:dyDescent="0.15">
      <c r="A23" s="4" t="s">
        <v>32</v>
      </c>
      <c r="B23" s="5" t="s">
        <v>29</v>
      </c>
      <c r="C23" s="5" t="s">
        <v>36</v>
      </c>
      <c r="D23" s="5">
        <v>4021</v>
      </c>
      <c r="E23" s="5">
        <v>1814</v>
      </c>
      <c r="F23" s="5">
        <v>932</v>
      </c>
      <c r="G23" s="5">
        <v>318</v>
      </c>
      <c r="H23" s="6">
        <f t="shared" si="1"/>
        <v>6449</v>
      </c>
    </row>
    <row r="24" spans="1:8" outlineLevel="2" x14ac:dyDescent="0.15">
      <c r="A24" s="4" t="s">
        <v>31</v>
      </c>
      <c r="B24" s="5" t="s">
        <v>29</v>
      </c>
      <c r="C24" s="5" t="s">
        <v>36</v>
      </c>
      <c r="D24" s="5">
        <v>3928</v>
      </c>
      <c r="E24" s="5">
        <v>1525</v>
      </c>
      <c r="F24" s="5">
        <v>990</v>
      </c>
      <c r="G24" s="5">
        <v>321</v>
      </c>
      <c r="H24" s="6">
        <f t="shared" si="1"/>
        <v>6122</v>
      </c>
    </row>
    <row r="25" spans="1:8" outlineLevel="2" x14ac:dyDescent="0.15">
      <c r="A25" s="4" t="s">
        <v>11</v>
      </c>
      <c r="B25" s="5" t="s">
        <v>29</v>
      </c>
      <c r="C25" s="5" t="s">
        <v>36</v>
      </c>
      <c r="D25" s="5">
        <v>3913</v>
      </c>
      <c r="E25" s="5">
        <v>1596</v>
      </c>
      <c r="F25" s="5">
        <v>891</v>
      </c>
      <c r="G25" s="5">
        <v>252</v>
      </c>
      <c r="H25" s="6">
        <f t="shared" si="1"/>
        <v>6148</v>
      </c>
    </row>
    <row r="26" spans="1:8" outlineLevel="2" x14ac:dyDescent="0.15">
      <c r="A26" s="4" t="s">
        <v>15</v>
      </c>
      <c r="B26" s="5" t="s">
        <v>29</v>
      </c>
      <c r="C26" s="5" t="s">
        <v>37</v>
      </c>
      <c r="D26" s="5">
        <v>3953</v>
      </c>
      <c r="E26" s="5">
        <v>2268</v>
      </c>
      <c r="F26" s="5">
        <v>702</v>
      </c>
      <c r="G26" s="5">
        <v>310</v>
      </c>
      <c r="H26" s="6">
        <f t="shared" si="1"/>
        <v>6613</v>
      </c>
    </row>
    <row r="27" spans="1:8" outlineLevel="2" x14ac:dyDescent="0.15">
      <c r="A27" s="4" t="s">
        <v>5</v>
      </c>
      <c r="B27" s="5" t="s">
        <v>29</v>
      </c>
      <c r="C27" s="5" t="s">
        <v>37</v>
      </c>
      <c r="D27" s="5">
        <v>4024</v>
      </c>
      <c r="E27" s="5">
        <v>2146</v>
      </c>
      <c r="F27" s="5">
        <v>766</v>
      </c>
      <c r="G27" s="5">
        <v>244</v>
      </c>
      <c r="H27" s="6">
        <f t="shared" si="1"/>
        <v>6692</v>
      </c>
    </row>
    <row r="28" spans="1:8" outlineLevel="2" x14ac:dyDescent="0.15">
      <c r="A28" s="4" t="s">
        <v>3</v>
      </c>
      <c r="B28" s="5" t="s">
        <v>29</v>
      </c>
      <c r="C28" s="5" t="s">
        <v>38</v>
      </c>
      <c r="D28" s="5">
        <v>2300</v>
      </c>
      <c r="E28" s="5">
        <v>1101</v>
      </c>
      <c r="F28" s="5">
        <v>1020</v>
      </c>
      <c r="G28" s="5">
        <v>277</v>
      </c>
      <c r="H28" s="6">
        <f t="shared" si="1"/>
        <v>4144</v>
      </c>
    </row>
    <row r="29" spans="1:8" outlineLevel="2" x14ac:dyDescent="0.15">
      <c r="A29" s="4" t="s">
        <v>34</v>
      </c>
      <c r="B29" s="5" t="s">
        <v>29</v>
      </c>
      <c r="C29" s="5" t="s">
        <v>38</v>
      </c>
      <c r="D29" s="5">
        <v>2300</v>
      </c>
      <c r="E29" s="5">
        <v>1124</v>
      </c>
      <c r="F29" s="5">
        <v>951</v>
      </c>
      <c r="G29" s="5">
        <v>277</v>
      </c>
      <c r="H29" s="6">
        <f t="shared" si="1"/>
        <v>4098</v>
      </c>
    </row>
    <row r="30" spans="1:8" outlineLevel="1" x14ac:dyDescent="0.15">
      <c r="A30" s="4"/>
      <c r="B30" s="10" t="s">
        <v>52</v>
      </c>
      <c r="C30" s="5"/>
      <c r="D30" s="5"/>
      <c r="E30" s="5"/>
      <c r="F30" s="5"/>
      <c r="G30" s="5"/>
      <c r="H30" s="6">
        <f>SUBTOTAL(1,H21:H29)</f>
        <v>5901.8888888888887</v>
      </c>
    </row>
    <row r="31" spans="1:8" outlineLevel="2" x14ac:dyDescent="0.15">
      <c r="A31" s="4" t="s">
        <v>9</v>
      </c>
      <c r="B31" s="5" t="s">
        <v>25</v>
      </c>
      <c r="C31" s="5" t="s">
        <v>36</v>
      </c>
      <c r="D31" s="5">
        <v>3480</v>
      </c>
      <c r="E31" s="5">
        <v>1999</v>
      </c>
      <c r="F31" s="5">
        <v>913</v>
      </c>
      <c r="G31" s="5">
        <v>322</v>
      </c>
      <c r="H31" s="6">
        <f>D31+E31+F31-G31</f>
        <v>6070</v>
      </c>
    </row>
    <row r="32" spans="1:8" outlineLevel="2" x14ac:dyDescent="0.15">
      <c r="A32" s="4" t="s">
        <v>2</v>
      </c>
      <c r="B32" s="5" t="s">
        <v>25</v>
      </c>
      <c r="C32" s="5" t="s">
        <v>36</v>
      </c>
      <c r="D32" s="5">
        <v>3905</v>
      </c>
      <c r="E32" s="5">
        <v>2136</v>
      </c>
      <c r="F32" s="5">
        <v>825</v>
      </c>
      <c r="G32" s="5">
        <v>210</v>
      </c>
      <c r="H32" s="6">
        <f>D32+E32+F32-G32</f>
        <v>6656</v>
      </c>
    </row>
    <row r="33" spans="1:8" outlineLevel="2" x14ac:dyDescent="0.15">
      <c r="A33" s="4" t="s">
        <v>14</v>
      </c>
      <c r="B33" s="5" t="s">
        <v>25</v>
      </c>
      <c r="C33" s="5" t="s">
        <v>37</v>
      </c>
      <c r="D33" s="5">
        <v>4039</v>
      </c>
      <c r="E33" s="5">
        <v>2250</v>
      </c>
      <c r="F33" s="5">
        <v>1039</v>
      </c>
      <c r="G33" s="5">
        <v>217</v>
      </c>
      <c r="H33" s="6">
        <f>D33+E33+F33-G33</f>
        <v>7111</v>
      </c>
    </row>
    <row r="34" spans="1:8" ht="15" outlineLevel="2" thickBot="1" x14ac:dyDescent="0.2">
      <c r="A34" s="7" t="s">
        <v>7</v>
      </c>
      <c r="B34" s="8" t="s">
        <v>25</v>
      </c>
      <c r="C34" s="8" t="s">
        <v>38</v>
      </c>
      <c r="D34" s="8">
        <v>2300</v>
      </c>
      <c r="E34" s="8">
        <v>1063</v>
      </c>
      <c r="F34" s="8">
        <v>951</v>
      </c>
      <c r="G34" s="8">
        <v>320</v>
      </c>
      <c r="H34" s="9">
        <f>D34+E34+F34-G34</f>
        <v>3994</v>
      </c>
    </row>
    <row r="35" spans="1:8" ht="15" outlineLevel="1" thickTop="1" x14ac:dyDescent="0.15">
      <c r="A35" s="11"/>
      <c r="B35" s="12" t="s">
        <v>53</v>
      </c>
      <c r="C35" s="11"/>
      <c r="D35" s="11"/>
      <c r="E35" s="11"/>
      <c r="F35" s="11"/>
      <c r="G35" s="11"/>
      <c r="H35" s="11">
        <f>SUBTOTAL(1,H31:H34)</f>
        <v>5957.75</v>
      </c>
    </row>
    <row r="36" spans="1:8" x14ac:dyDescent="0.15">
      <c r="A36" s="11"/>
      <c r="B36" s="12" t="s">
        <v>54</v>
      </c>
      <c r="C36" s="11"/>
      <c r="D36" s="11"/>
      <c r="E36" s="11"/>
      <c r="F36" s="11"/>
      <c r="G36" s="11"/>
      <c r="H36" s="11">
        <f>SUBTOTAL(1,H3:H34)</f>
        <v>5943.25</v>
      </c>
    </row>
  </sheetData>
  <sortState ref="A3:H30">
    <sortCondition ref="B3:B30" customList="行政科,销售科,研发科,生产科,财务科"/>
    <sortCondition descending="1" ref="C3:C30"/>
  </sortState>
  <mergeCells count="1">
    <mergeCell ref="A1:H1"/>
  </mergeCells>
  <phoneticPr fontId="1" type="noConversion"/>
  <conditionalFormatting sqref="H3:H36">
    <cfRule type="cellIs" dxfId="0" priority="1" operator="lessThan">
      <formula>4000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F18" sqref="F18"/>
    </sheetView>
  </sheetViews>
  <sheetFormatPr defaultRowHeight="14.25" x14ac:dyDescent="0.15"/>
  <sheetData>
    <row r="1" spans="1:8" x14ac:dyDescent="0.15">
      <c r="A1" s="11" t="s">
        <v>55</v>
      </c>
      <c r="B1" s="11" t="s">
        <v>56</v>
      </c>
    </row>
    <row r="2" spans="1:8" x14ac:dyDescent="0.15">
      <c r="A2" s="11" t="s">
        <v>57</v>
      </c>
      <c r="B2" s="11" t="s">
        <v>58</v>
      </c>
    </row>
    <row r="5" spans="1:8" ht="15" thickBot="1" x14ac:dyDescent="0.2"/>
    <row r="6" spans="1:8" ht="15" thickTop="1" x14ac:dyDescent="0.15">
      <c r="A6" s="1" t="s">
        <v>0</v>
      </c>
      <c r="B6" s="2" t="s">
        <v>23</v>
      </c>
      <c r="C6" s="2" t="s">
        <v>24</v>
      </c>
      <c r="D6" s="2" t="s">
        <v>39</v>
      </c>
      <c r="E6" s="2" t="s">
        <v>40</v>
      </c>
      <c r="F6" s="2" t="s">
        <v>41</v>
      </c>
      <c r="G6" s="2" t="s">
        <v>42</v>
      </c>
      <c r="H6" s="3" t="s">
        <v>43</v>
      </c>
    </row>
    <row r="7" spans="1:8" x14ac:dyDescent="0.15">
      <c r="A7" s="4" t="s">
        <v>12</v>
      </c>
      <c r="B7" s="5" t="s">
        <v>28</v>
      </c>
      <c r="C7" s="5" t="s">
        <v>37</v>
      </c>
      <c r="D7" s="5">
        <v>4031</v>
      </c>
      <c r="E7" s="5">
        <v>2325</v>
      </c>
      <c r="F7" s="5">
        <v>1011</v>
      </c>
      <c r="G7" s="5">
        <v>310</v>
      </c>
      <c r="H7" s="6">
        <v>7057</v>
      </c>
    </row>
    <row r="8" spans="1:8" x14ac:dyDescent="0.15">
      <c r="A8" s="4" t="s">
        <v>14</v>
      </c>
      <c r="B8" s="5" t="s">
        <v>25</v>
      </c>
      <c r="C8" s="5" t="s">
        <v>37</v>
      </c>
      <c r="D8" s="5">
        <v>4039</v>
      </c>
      <c r="E8" s="5">
        <v>2250</v>
      </c>
      <c r="F8" s="5">
        <v>1039</v>
      </c>
      <c r="G8" s="5">
        <v>217</v>
      </c>
      <c r="H8" s="6">
        <v>7111</v>
      </c>
    </row>
    <row r="9" spans="1:8" x14ac:dyDescent="0.15">
      <c r="A9" s="4" t="s">
        <v>18</v>
      </c>
      <c r="B9" s="5" t="s">
        <v>26</v>
      </c>
      <c r="C9" s="5" t="s">
        <v>37</v>
      </c>
      <c r="D9" s="5">
        <v>3984</v>
      </c>
      <c r="E9" s="5">
        <v>2525</v>
      </c>
      <c r="F9" s="5">
        <v>872</v>
      </c>
      <c r="G9" s="5">
        <v>247</v>
      </c>
      <c r="H9" s="6">
        <v>7134</v>
      </c>
    </row>
    <row r="10" spans="1:8" x14ac:dyDescent="0.15">
      <c r="A10" s="4" t="s">
        <v>21</v>
      </c>
      <c r="B10" s="5" t="s">
        <v>27</v>
      </c>
      <c r="C10" s="5" t="s">
        <v>37</v>
      </c>
      <c r="D10" s="5">
        <v>4014</v>
      </c>
      <c r="E10" s="5">
        <v>2157</v>
      </c>
      <c r="F10" s="5">
        <v>1008</v>
      </c>
      <c r="G10" s="5">
        <v>254</v>
      </c>
      <c r="H10" s="6">
        <v>6925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4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3月份工资统计表</vt:lpstr>
      <vt:lpstr>Sheet2</vt:lpstr>
      <vt:lpstr>分类汇总</vt:lpstr>
      <vt:lpstr>筛选</vt:lpstr>
      <vt:lpstr>图表</vt:lpstr>
      <vt:lpstr>筛选!Criteria</vt:lpstr>
      <vt:lpstr>筛选!提取</vt:lpstr>
    </vt:vector>
  </TitlesOfParts>
  <Company>jsj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jsj</dc:creator>
  <cp:lastModifiedBy>SD</cp:lastModifiedBy>
  <dcterms:created xsi:type="dcterms:W3CDTF">2017-02-25T15:11:14Z</dcterms:created>
  <dcterms:modified xsi:type="dcterms:W3CDTF">2018-09-12T06:53:16Z</dcterms:modified>
</cp:coreProperties>
</file>