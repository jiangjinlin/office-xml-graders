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codeName="ThisWorkbook" defaultThemeVersion="124226"/>
  <bookViews>
    <workbookView xWindow="480" yWindow="120" windowWidth="8505" windowHeight="4530"/>
  </bookViews>
  <sheets>
    <sheet name="工资统计表" sheetId="1" r:id="rId1"/>
    <sheet name="Sheet2" sheetId="2" r:id="rId2"/>
    <sheet name="筛选" sheetId="3" r:id="rId3"/>
    <sheet name="分类汇总" sheetId="4" r:id="rId4"/>
    <sheet name="图表" sheetId="5" r:id="rId5"/>
  </sheets>
  <definedNames>
    <definedName name="_xlnm.Criteria" localSheetId="2">筛选!$A$1:$B$2</definedName>
    <definedName name="_xlnm.Extract" localSheetId="2">筛选!$A$5:$I$5</definedName>
  </definedNames>
  <calcPr calcId="144525"/>
</workbook>
</file>

<file path=xl/calcChain.xml><?xml version="1.0" encoding="utf-8"?>
<calcChain xmlns="http://schemas.openxmlformats.org/spreadsheetml/2006/main">
  <c r="G44" i="4" l="1"/>
  <c r="G40" i="4"/>
  <c r="G17" i="4"/>
  <c r="G5" i="4"/>
  <c r="I16" i="4"/>
  <c r="I34" i="4"/>
  <c r="I38" i="4"/>
  <c r="I14" i="4"/>
  <c r="I22" i="4"/>
  <c r="I32" i="4"/>
  <c r="I8" i="4"/>
  <c r="I25" i="4"/>
  <c r="I23" i="4"/>
  <c r="I41" i="4"/>
  <c r="I7" i="4"/>
  <c r="I26" i="4"/>
  <c r="I39" i="4"/>
  <c r="I11" i="4"/>
  <c r="I31" i="4"/>
  <c r="I4" i="4"/>
  <c r="I13" i="4"/>
  <c r="I21" i="4"/>
  <c r="I42" i="4"/>
  <c r="I33" i="4"/>
  <c r="I10" i="4"/>
  <c r="I27" i="4"/>
  <c r="I18" i="4"/>
  <c r="I36" i="4"/>
  <c r="I28" i="4"/>
  <c r="I12" i="4"/>
  <c r="I30" i="4"/>
  <c r="I37" i="4"/>
  <c r="I6" i="4"/>
  <c r="I29" i="4"/>
  <c r="I19" i="4"/>
  <c r="I9" i="4"/>
  <c r="I43" i="4"/>
  <c r="I3" i="4"/>
  <c r="I35" i="4"/>
  <c r="I20" i="4"/>
  <c r="I24" i="4"/>
  <c r="I15" i="4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3" i="1"/>
  <c r="I44" i="4" l="1"/>
  <c r="I17" i="4"/>
  <c r="G45" i="4"/>
  <c r="I40" i="4"/>
  <c r="I5" i="4"/>
  <c r="I45" i="4" l="1"/>
</calcChain>
</file>

<file path=xl/sharedStrings.xml><?xml version="1.0" encoding="utf-8"?>
<sst xmlns="http://schemas.openxmlformats.org/spreadsheetml/2006/main" count="402" uniqueCount="102">
  <si>
    <t>姓名</t>
  </si>
  <si>
    <t>编制</t>
  </si>
  <si>
    <t>职称</t>
  </si>
  <si>
    <t>合同工</t>
  </si>
  <si>
    <t>工程师</t>
  </si>
  <si>
    <t>正式工</t>
  </si>
  <si>
    <t>工人</t>
  </si>
  <si>
    <t>临时工</t>
  </si>
  <si>
    <t>干部</t>
  </si>
  <si>
    <t>高工</t>
  </si>
  <si>
    <t>助工</t>
  </si>
  <si>
    <t xml:space="preserve">合同工 </t>
    <phoneticPr fontId="1" type="noConversion"/>
  </si>
  <si>
    <t>张小云</t>
  </si>
  <si>
    <t>张雷</t>
  </si>
  <si>
    <t>陈良</t>
  </si>
  <si>
    <t>金波</t>
  </si>
  <si>
    <t>李志刚</t>
  </si>
  <si>
    <t>合同工</t>
    <phoneticPr fontId="1" type="noConversion"/>
  </si>
  <si>
    <t>王文娟</t>
  </si>
  <si>
    <t>马雪明</t>
  </si>
  <si>
    <t>刀立霞</t>
  </si>
  <si>
    <t>李大发</t>
    <phoneticPr fontId="1" type="noConversion"/>
  </si>
  <si>
    <t>陶霞芳</t>
    <phoneticPr fontId="1" type="noConversion"/>
  </si>
  <si>
    <t>工资1</t>
    <phoneticPr fontId="1" type="noConversion"/>
  </si>
  <si>
    <t>工资2</t>
  </si>
  <si>
    <t>工资3</t>
  </si>
  <si>
    <t>扣款</t>
    <phoneticPr fontId="1" type="noConversion"/>
  </si>
  <si>
    <t>徐小明</t>
    <phoneticPr fontId="1" type="noConversion"/>
  </si>
  <si>
    <t>钱大明</t>
    <phoneticPr fontId="1" type="noConversion"/>
  </si>
  <si>
    <t>王刚</t>
    <phoneticPr fontId="1" type="noConversion"/>
  </si>
  <si>
    <t>李芝红</t>
    <phoneticPr fontId="1" type="noConversion"/>
  </si>
  <si>
    <t>高志</t>
    <phoneticPr fontId="1" type="noConversion"/>
  </si>
  <si>
    <t>姚小明</t>
    <phoneticPr fontId="1" type="noConversion"/>
  </si>
  <si>
    <t>王春滨</t>
    <phoneticPr fontId="1" type="noConversion"/>
  </si>
  <si>
    <t>刘明德</t>
    <phoneticPr fontId="1" type="noConversion"/>
  </si>
  <si>
    <t>杜海鸣</t>
    <phoneticPr fontId="1" type="noConversion"/>
  </si>
  <si>
    <t>方芳</t>
    <phoneticPr fontId="1" type="noConversion"/>
  </si>
  <si>
    <t>万明琪</t>
    <phoneticPr fontId="1" type="noConversion"/>
  </si>
  <si>
    <t>陈语同</t>
    <phoneticPr fontId="1" type="noConversion"/>
  </si>
  <si>
    <t>王军</t>
    <phoneticPr fontId="1" type="noConversion"/>
  </si>
  <si>
    <t>米西雪</t>
    <phoneticPr fontId="1" type="noConversion"/>
  </si>
  <si>
    <t>毛大明</t>
    <phoneticPr fontId="1" type="noConversion"/>
  </si>
  <si>
    <t>郭高峰</t>
    <phoneticPr fontId="1" type="noConversion"/>
  </si>
  <si>
    <t>沈静秀</t>
    <phoneticPr fontId="1" type="noConversion"/>
  </si>
  <si>
    <t>韦国宝</t>
    <phoneticPr fontId="1" type="noConversion"/>
  </si>
  <si>
    <t>康文竹</t>
    <phoneticPr fontId="1" type="noConversion"/>
  </si>
  <si>
    <t>周早发</t>
    <phoneticPr fontId="1" type="noConversion"/>
  </si>
  <si>
    <t>刘雪云</t>
    <phoneticPr fontId="1" type="noConversion"/>
  </si>
  <si>
    <t>刁英英</t>
    <phoneticPr fontId="1" type="noConversion"/>
  </si>
  <si>
    <t>吴海洋</t>
    <phoneticPr fontId="1" type="noConversion"/>
  </si>
  <si>
    <t>蒋正明</t>
    <phoneticPr fontId="1" type="noConversion"/>
  </si>
  <si>
    <t>周洁明</t>
    <phoneticPr fontId="1" type="noConversion"/>
  </si>
  <si>
    <t>许远</t>
    <phoneticPr fontId="1" type="noConversion"/>
  </si>
  <si>
    <t>夏可利</t>
    <phoneticPr fontId="1" type="noConversion"/>
  </si>
  <si>
    <t>段志超</t>
    <phoneticPr fontId="1" type="noConversion"/>
  </si>
  <si>
    <t>奖金</t>
    <phoneticPr fontId="1" type="noConversion"/>
  </si>
  <si>
    <t>实发工资</t>
    <phoneticPr fontId="1" type="noConversion"/>
  </si>
  <si>
    <t>部门人员工资统计表</t>
  </si>
  <si>
    <t>工资1</t>
  </si>
  <si>
    <t>奖金</t>
  </si>
  <si>
    <t>扣款</t>
  </si>
  <si>
    <t>实发工资</t>
  </si>
  <si>
    <t>王刚</t>
  </si>
  <si>
    <t>李芝红</t>
  </si>
  <si>
    <t>高志</t>
  </si>
  <si>
    <t>姚小明</t>
  </si>
  <si>
    <t>王春滨</t>
  </si>
  <si>
    <t>刘明德</t>
  </si>
  <si>
    <t>杜海鸣</t>
  </si>
  <si>
    <t xml:space="preserve">合同工 </t>
  </si>
  <si>
    <t>方芳</t>
  </si>
  <si>
    <t>万明琪</t>
  </si>
  <si>
    <t>陈语同</t>
  </si>
  <si>
    <t>王军</t>
  </si>
  <si>
    <t>钱大明</t>
  </si>
  <si>
    <t>米西雪</t>
  </si>
  <si>
    <t>毛大明</t>
  </si>
  <si>
    <t>徐小明</t>
  </si>
  <si>
    <t>郭高峰</t>
  </si>
  <si>
    <t>沈静秀</t>
  </si>
  <si>
    <t>韦国宝</t>
  </si>
  <si>
    <t>康文竹</t>
  </si>
  <si>
    <t>周早发</t>
  </si>
  <si>
    <t>段志超</t>
  </si>
  <si>
    <t>李大发</t>
  </si>
  <si>
    <t>刘雪云</t>
  </si>
  <si>
    <t>刁英英</t>
  </si>
  <si>
    <t>吴海洋</t>
  </si>
  <si>
    <t>蒋正明</t>
  </si>
  <si>
    <t>陶霞芳</t>
  </si>
  <si>
    <t>周洁明</t>
  </si>
  <si>
    <t>许远</t>
  </si>
  <si>
    <t>夏可利</t>
  </si>
  <si>
    <t>编制</t>
    <phoneticPr fontId="1" type="noConversion"/>
  </si>
  <si>
    <t>职称</t>
    <phoneticPr fontId="1" type="noConversion"/>
  </si>
  <si>
    <t>正式工</t>
    <phoneticPr fontId="1" type="noConversion"/>
  </si>
  <si>
    <t>工人</t>
    <phoneticPr fontId="1" type="noConversion"/>
  </si>
  <si>
    <t>高工 最大值</t>
  </si>
  <si>
    <t>工程师 最大值</t>
  </si>
  <si>
    <t>工人 最大值</t>
  </si>
  <si>
    <t>助工 最大值</t>
  </si>
  <si>
    <t>总计最大值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</si>
</sst>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_ "/>
  </numFmts>
  <fonts count="6" x14ac:knownFonts="1">
    <font>
      <sz val="12"/>
      <name val="宋体"/>
      <charset val="134"/>
    </font>
    <font>
      <sz val="9"/>
      <name val="宋体"/>
      <charset val="134"/>
    </font>
    <font>
      <b/>
      <sz val="14"/>
      <color rgb="FF0070C0"/>
      <name val="华文行楷"/>
      <family val="3"/>
      <charset val="134"/>
    </font>
    <font>
      <sz val="10"/>
      <name val="黑体"/>
      <family val="3"/>
      <charset val="134"/>
    </font>
    <font>
      <b/>
      <sz val="10"/>
      <name val="黑体"/>
      <family val="3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ck">
        <color rgb="FFFF0000"/>
      </left>
      <right/>
      <top style="thick">
        <color rgb="FFFF0000"/>
      </top>
      <bottom/>
      <diagonal/>
    </border>
    <border>
      <left/>
      <right/>
      <top style="thick">
        <color rgb="FFFF0000"/>
      </top>
      <bottom/>
      <diagonal/>
    </border>
    <border>
      <left/>
      <right style="thick">
        <color rgb="FFFF0000"/>
      </right>
      <top style="thick">
        <color rgb="FFFF0000"/>
      </top>
      <bottom/>
      <diagonal/>
    </border>
    <border>
      <left style="thick">
        <color rgb="FFFF0000"/>
      </left>
      <right/>
      <top/>
      <bottom/>
      <diagonal/>
    </border>
    <border>
      <left/>
      <right style="thick">
        <color rgb="FFFF0000"/>
      </right>
      <top/>
      <bottom/>
      <diagonal/>
    </border>
    <border>
      <left style="thick">
        <color rgb="FFFF0000"/>
      </left>
      <right/>
      <top/>
      <bottom style="thick">
        <color rgb="FFFF0000"/>
      </bottom>
      <diagonal/>
    </border>
    <border>
      <left/>
      <right/>
      <top/>
      <bottom style="thick">
        <color rgb="FFFF0000"/>
      </bottom>
      <diagonal/>
    </border>
    <border>
      <left/>
      <right style="thick">
        <color rgb="FFFF0000"/>
      </right>
      <top/>
      <bottom style="thick">
        <color rgb="FFFF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/>
    </xf>
    <xf numFmtId="0" fontId="3" fillId="0" borderId="2" xfId="0" applyNumberFormat="1" applyFont="1" applyFill="1" applyBorder="1" applyAlignment="1">
      <alignment horizontal="center" vertical="center"/>
    </xf>
    <xf numFmtId="0" fontId="3" fillId="0" borderId="3" xfId="0" applyNumberFormat="1" applyFont="1" applyFill="1" applyBorder="1" applyAlignment="1">
      <alignment horizontal="center" vertical="center"/>
    </xf>
    <xf numFmtId="0" fontId="3" fillId="0" borderId="4" xfId="0" applyNumberFormat="1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176" fontId="3" fillId="0" borderId="5" xfId="0" applyNumberFormat="1" applyFont="1" applyBorder="1" applyAlignment="1">
      <alignment horizontal="center" vertical="center"/>
    </xf>
    <xf numFmtId="0" fontId="3" fillId="0" borderId="6" xfId="0" applyNumberFormat="1" applyFont="1" applyFill="1" applyBorder="1" applyAlignment="1">
      <alignment horizontal="center" vertical="center"/>
    </xf>
    <xf numFmtId="0" fontId="3" fillId="0" borderId="7" xfId="0" applyNumberFormat="1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176" fontId="3" fillId="0" borderId="8" xfId="0" applyNumberFormat="1" applyFont="1" applyBorder="1" applyAlignment="1">
      <alignment horizontal="center" vertical="center"/>
    </xf>
    <xf numFmtId="0" fontId="4" fillId="0" borderId="0" xfId="0" applyNumberFormat="1" applyFont="1" applyFill="1" applyBorder="1" applyAlignment="1">
      <alignment horizontal="center" vertical="center"/>
    </xf>
  </cellXfs>
  <cellStyles count="1">
    <cellStyle name="常规" xfId="0" builtinId="0"/>
  </cellStyles>
  <dxfs count="3">
    <dxf>
      <font>
        <color rgb="FF9C0006"/>
      </font>
    </dxf>
    <dxf>
      <font>
        <color rgb="FF9C0006"/>
      </font>
    </dxf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zh-CN" altLang="en-US"/>
              <a:t>职称最高工资统计图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分类汇总!$I$2</c:f>
              <c:strCache>
                <c:ptCount val="1"/>
                <c:pt idx="0">
                  <c:v>实发工资</c:v>
                </c:pt>
              </c:strCache>
            </c:strRef>
          </c:tx>
          <c:invertIfNegative val="0"/>
          <c:cat>
            <c:strRef>
              <c:f>分类汇总!$C$3:$C$44</c:f>
              <c:strCache>
                <c:ptCount val="4"/>
                <c:pt idx="0">
                  <c:v>高工 最大值</c:v>
                </c:pt>
                <c:pt idx="1">
                  <c:v>工程师 最大值</c:v>
                </c:pt>
                <c:pt idx="2">
                  <c:v>工人 最大值</c:v>
                </c:pt>
                <c:pt idx="3">
                  <c:v>助工 最大值</c:v>
                </c:pt>
              </c:strCache>
            </c:strRef>
          </c:cat>
          <c:val>
            <c:numRef>
              <c:f>分类汇总!$I$3:$I$44</c:f>
              <c:numCache>
                <c:formatCode>0.00_ </c:formatCode>
                <c:ptCount val="4"/>
                <c:pt idx="0">
                  <c:v>2908.5</c:v>
                </c:pt>
                <c:pt idx="1">
                  <c:v>2445.12</c:v>
                </c:pt>
                <c:pt idx="2">
                  <c:v>2827.19</c:v>
                </c:pt>
                <c:pt idx="3">
                  <c:v>2452.19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7639552"/>
        <c:axId val="202549120"/>
      </c:barChart>
      <c:catAx>
        <c:axId val="197639552"/>
        <c:scaling>
          <c:orientation val="minMax"/>
        </c:scaling>
        <c:delete val="0"/>
        <c:axPos val="b"/>
        <c:majorTickMark val="out"/>
        <c:minorTickMark val="none"/>
        <c:tickLblPos val="nextTo"/>
        <c:crossAx val="202549120"/>
        <c:crosses val="autoZero"/>
        <c:auto val="1"/>
        <c:lblAlgn val="ctr"/>
        <c:lblOffset val="100"/>
        <c:noMultiLvlLbl val="0"/>
      </c:catAx>
      <c:valAx>
        <c:axId val="202549120"/>
        <c:scaling>
          <c:orientation val="minMax"/>
        </c:scaling>
        <c:delete val="0"/>
        <c:axPos val="l"/>
        <c:majorGridlines/>
        <c:numFmt formatCode="0.00_ " sourceLinked="1"/>
        <c:majorTickMark val="out"/>
        <c:minorTickMark val="none"/>
        <c:tickLblPos val="nextTo"/>
        <c:crossAx val="197639552"/>
        <c:crosses val="autoZero"/>
        <c:crossBetween val="between"/>
      </c:valAx>
    </c:plotArea>
    <c:legend>
      <c:legendPos val="t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161925</xdr:colOff>
      <xdr:row>2</xdr:row>
      <xdr:rowOff>57150</xdr:rowOff>
    </xdr:from>
    <xdr:to>
      <xdr:col>7</xdr:col>
      <xdr:colOff>619125</xdr:colOff>
      <xdr:row>17</xdr:row>
      <xdr:rowOff>85725</xdr:rowOff>
    </xdr:to>
    <xdr:graphicFrame macro="">
      <xdr:nvGraphicFramePr>
        <xdr:cNvPr id="2" name="图表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I40"/>
  <sheetViews>
    <sheetView tabSelected="1" workbookViewId="0">
      <selection activeCell="M15" sqref="M15"/>
    </sheetView>
  </sheetViews>
  <sheetFormatPr defaultRowHeight="14.25" x14ac:dyDescent="0.15"/>
  <sheetData>
    <row r="1" spans="1:9" ht="18.75" x14ac:dyDescent="0.3">
      <c r="A1" s="1" t="s">
        <v>57</v>
      </c>
      <c r="B1" s="1"/>
      <c r="C1" s="1"/>
      <c r="D1" s="1"/>
      <c r="E1" s="1"/>
      <c r="F1" s="1"/>
      <c r="G1" s="1"/>
      <c r="H1" s="1"/>
      <c r="I1" s="1"/>
    </row>
    <row r="2" spans="1:9" x14ac:dyDescent="0.15">
      <c r="A2" s="2" t="s">
        <v>0</v>
      </c>
      <c r="B2" s="2" t="s">
        <v>1</v>
      </c>
      <c r="C2" s="2" t="s">
        <v>2</v>
      </c>
      <c r="D2" s="2" t="s">
        <v>23</v>
      </c>
      <c r="E2" s="2" t="s">
        <v>24</v>
      </c>
      <c r="F2" s="2" t="s">
        <v>25</v>
      </c>
      <c r="G2" s="2" t="s">
        <v>55</v>
      </c>
      <c r="H2" s="2" t="s">
        <v>26</v>
      </c>
      <c r="I2" s="2" t="s">
        <v>56</v>
      </c>
    </row>
    <row r="3" spans="1:9" x14ac:dyDescent="0.15">
      <c r="A3" s="2" t="s">
        <v>29</v>
      </c>
      <c r="B3" s="2" t="s">
        <v>3</v>
      </c>
      <c r="C3" s="2" t="s">
        <v>4</v>
      </c>
      <c r="D3" s="3">
        <v>808</v>
      </c>
      <c r="E3" s="2">
        <v>561.17999999999995</v>
      </c>
      <c r="F3" s="3">
        <v>375</v>
      </c>
      <c r="G3" s="3">
        <v>825</v>
      </c>
      <c r="H3" s="3">
        <v>150</v>
      </c>
      <c r="I3" s="4">
        <f>D3+E3+F3+G3-H3</f>
        <v>2419.1799999999998</v>
      </c>
    </row>
    <row r="4" spans="1:9" x14ac:dyDescent="0.15">
      <c r="A4" s="2" t="s">
        <v>30</v>
      </c>
      <c r="B4" s="2" t="s">
        <v>5</v>
      </c>
      <c r="C4" s="2" t="s">
        <v>6</v>
      </c>
      <c r="D4" s="3">
        <v>670</v>
      </c>
      <c r="E4" s="2">
        <v>405.51</v>
      </c>
      <c r="F4" s="3">
        <v>435</v>
      </c>
      <c r="G4" s="3">
        <v>765</v>
      </c>
      <c r="H4" s="3">
        <v>110</v>
      </c>
      <c r="I4" s="4">
        <f t="shared" ref="I4:I40" si="0">D4+E4+F4+G4-H4</f>
        <v>2165.5100000000002</v>
      </c>
    </row>
    <row r="5" spans="1:9" x14ac:dyDescent="0.15">
      <c r="A5" s="2" t="s">
        <v>31</v>
      </c>
      <c r="B5" s="2" t="s">
        <v>7</v>
      </c>
      <c r="C5" s="2" t="s">
        <v>6</v>
      </c>
      <c r="D5" s="3">
        <v>600</v>
      </c>
      <c r="E5" s="2">
        <v>285.94</v>
      </c>
      <c r="F5" s="3">
        <v>345</v>
      </c>
      <c r="G5" s="3">
        <v>855</v>
      </c>
      <c r="H5" s="3">
        <v>170</v>
      </c>
      <c r="I5" s="4">
        <f t="shared" si="0"/>
        <v>1915.94</v>
      </c>
    </row>
    <row r="6" spans="1:9" x14ac:dyDescent="0.15">
      <c r="A6" s="2" t="s">
        <v>32</v>
      </c>
      <c r="B6" s="2" t="s">
        <v>3</v>
      </c>
      <c r="C6" s="2" t="s">
        <v>6</v>
      </c>
      <c r="D6" s="3">
        <v>929</v>
      </c>
      <c r="E6" s="2">
        <v>475.61</v>
      </c>
      <c r="F6" s="3">
        <v>315</v>
      </c>
      <c r="G6" s="3">
        <v>885</v>
      </c>
      <c r="H6" s="3">
        <v>190</v>
      </c>
      <c r="I6" s="4">
        <f t="shared" si="0"/>
        <v>2414.61</v>
      </c>
    </row>
    <row r="7" spans="1:9" x14ac:dyDescent="0.15">
      <c r="A7" s="2" t="s">
        <v>33</v>
      </c>
      <c r="B7" s="2" t="s">
        <v>8</v>
      </c>
      <c r="C7" s="2" t="s">
        <v>9</v>
      </c>
      <c r="D7" s="3">
        <v>640</v>
      </c>
      <c r="E7" s="2">
        <v>675.84</v>
      </c>
      <c r="F7" s="3">
        <v>360</v>
      </c>
      <c r="G7" s="3">
        <v>840</v>
      </c>
      <c r="H7" s="3">
        <v>160</v>
      </c>
      <c r="I7" s="4">
        <f t="shared" si="0"/>
        <v>2355.84</v>
      </c>
    </row>
    <row r="8" spans="1:9" x14ac:dyDescent="0.15">
      <c r="A8" s="2" t="s">
        <v>34</v>
      </c>
      <c r="B8" s="2" t="s">
        <v>5</v>
      </c>
      <c r="C8" s="2" t="s">
        <v>10</v>
      </c>
      <c r="D8" s="3">
        <v>650</v>
      </c>
      <c r="E8" s="2">
        <v>661.15</v>
      </c>
      <c r="F8" s="3">
        <v>330</v>
      </c>
      <c r="G8" s="3">
        <v>870</v>
      </c>
      <c r="H8" s="3">
        <v>180</v>
      </c>
      <c r="I8" s="4">
        <f t="shared" si="0"/>
        <v>2331.15</v>
      </c>
    </row>
    <row r="9" spans="1:9" x14ac:dyDescent="0.15">
      <c r="A9" s="2" t="s">
        <v>35</v>
      </c>
      <c r="B9" s="2" t="s">
        <v>11</v>
      </c>
      <c r="C9" s="2" t="s">
        <v>4</v>
      </c>
      <c r="D9" s="3">
        <v>620</v>
      </c>
      <c r="E9" s="2">
        <v>754.43</v>
      </c>
      <c r="F9" s="3">
        <v>300</v>
      </c>
      <c r="G9" s="3">
        <v>900</v>
      </c>
      <c r="H9" s="3">
        <v>200</v>
      </c>
      <c r="I9" s="4">
        <f t="shared" si="0"/>
        <v>2374.4299999999998</v>
      </c>
    </row>
    <row r="10" spans="1:9" x14ac:dyDescent="0.15">
      <c r="A10" s="2" t="s">
        <v>36</v>
      </c>
      <c r="B10" s="2" t="s">
        <v>5</v>
      </c>
      <c r="C10" s="2" t="s">
        <v>6</v>
      </c>
      <c r="D10" s="3">
        <v>630</v>
      </c>
      <c r="E10" s="2">
        <v>393.87</v>
      </c>
      <c r="F10" s="3">
        <v>390</v>
      </c>
      <c r="G10" s="3">
        <v>810</v>
      </c>
      <c r="H10" s="3">
        <v>140</v>
      </c>
      <c r="I10" s="4">
        <f t="shared" si="0"/>
        <v>2083.87</v>
      </c>
    </row>
    <row r="11" spans="1:9" x14ac:dyDescent="0.15">
      <c r="A11" s="2" t="s">
        <v>37</v>
      </c>
      <c r="B11" s="2" t="s">
        <v>7</v>
      </c>
      <c r="C11" s="2" t="s">
        <v>6</v>
      </c>
      <c r="D11" s="3">
        <v>815</v>
      </c>
      <c r="E11" s="2">
        <v>463.33</v>
      </c>
      <c r="F11" s="3">
        <v>495</v>
      </c>
      <c r="G11" s="3">
        <v>705</v>
      </c>
      <c r="H11" s="3">
        <v>70</v>
      </c>
      <c r="I11" s="4">
        <f t="shared" si="0"/>
        <v>2408.33</v>
      </c>
    </row>
    <row r="12" spans="1:9" x14ac:dyDescent="0.15">
      <c r="A12" s="2" t="s">
        <v>38</v>
      </c>
      <c r="B12" s="2" t="s">
        <v>8</v>
      </c>
      <c r="C12" s="2" t="s">
        <v>4</v>
      </c>
      <c r="D12" s="3">
        <v>837</v>
      </c>
      <c r="E12" s="2">
        <v>518.12</v>
      </c>
      <c r="F12" s="3">
        <v>435</v>
      </c>
      <c r="G12" s="3">
        <v>765</v>
      </c>
      <c r="H12" s="3">
        <v>110</v>
      </c>
      <c r="I12" s="4">
        <f t="shared" si="0"/>
        <v>2445.12</v>
      </c>
    </row>
    <row r="13" spans="1:9" x14ac:dyDescent="0.15">
      <c r="A13" s="2" t="s">
        <v>12</v>
      </c>
      <c r="B13" s="2" t="s">
        <v>5</v>
      </c>
      <c r="C13" s="2" t="s">
        <v>6</v>
      </c>
      <c r="D13" s="3">
        <v>450</v>
      </c>
      <c r="E13" s="2">
        <v>318.95</v>
      </c>
      <c r="F13" s="3">
        <v>405</v>
      </c>
      <c r="G13" s="3">
        <v>795</v>
      </c>
      <c r="H13" s="3">
        <v>130</v>
      </c>
      <c r="I13" s="4">
        <f t="shared" si="0"/>
        <v>1838.95</v>
      </c>
    </row>
    <row r="14" spans="1:9" x14ac:dyDescent="0.15">
      <c r="A14" s="2" t="s">
        <v>39</v>
      </c>
      <c r="B14" s="2" t="s">
        <v>7</v>
      </c>
      <c r="C14" s="2" t="s">
        <v>6</v>
      </c>
      <c r="D14" s="3">
        <v>580</v>
      </c>
      <c r="E14" s="2">
        <v>218.72</v>
      </c>
      <c r="F14" s="3">
        <v>420</v>
      </c>
      <c r="G14" s="3">
        <v>780</v>
      </c>
      <c r="H14" s="3">
        <v>120</v>
      </c>
      <c r="I14" s="4">
        <f t="shared" si="0"/>
        <v>1878.72</v>
      </c>
    </row>
    <row r="15" spans="1:9" x14ac:dyDescent="0.15">
      <c r="A15" s="2" t="s">
        <v>28</v>
      </c>
      <c r="B15" s="2" t="s">
        <v>8</v>
      </c>
      <c r="C15" s="2" t="s">
        <v>4</v>
      </c>
      <c r="D15" s="3">
        <v>550</v>
      </c>
      <c r="E15" s="2">
        <v>413.65</v>
      </c>
      <c r="F15" s="3">
        <v>375</v>
      </c>
      <c r="G15" s="3">
        <v>825</v>
      </c>
      <c r="H15" s="3">
        <v>150</v>
      </c>
      <c r="I15" s="4">
        <f t="shared" si="0"/>
        <v>2013.65</v>
      </c>
    </row>
    <row r="16" spans="1:9" x14ac:dyDescent="0.15">
      <c r="A16" s="2" t="s">
        <v>40</v>
      </c>
      <c r="B16" s="2" t="s">
        <v>3</v>
      </c>
      <c r="C16" s="2" t="s">
        <v>6</v>
      </c>
      <c r="D16" s="3">
        <v>550</v>
      </c>
      <c r="E16" s="2">
        <v>250.49</v>
      </c>
      <c r="F16" s="3">
        <v>415</v>
      </c>
      <c r="G16" s="3">
        <v>915</v>
      </c>
      <c r="H16" s="3">
        <v>210</v>
      </c>
      <c r="I16" s="4">
        <f t="shared" si="0"/>
        <v>1920.4899999999998</v>
      </c>
    </row>
    <row r="17" spans="1:9" x14ac:dyDescent="0.15">
      <c r="A17" s="2" t="s">
        <v>13</v>
      </c>
      <c r="B17" s="2" t="s">
        <v>7</v>
      </c>
      <c r="C17" s="2" t="s">
        <v>6</v>
      </c>
      <c r="D17" s="3">
        <v>639</v>
      </c>
      <c r="E17" s="2">
        <v>330.51</v>
      </c>
      <c r="F17" s="3">
        <v>360</v>
      </c>
      <c r="G17" s="3">
        <v>840</v>
      </c>
      <c r="H17" s="3">
        <v>160</v>
      </c>
      <c r="I17" s="4">
        <f t="shared" si="0"/>
        <v>2009.5100000000002</v>
      </c>
    </row>
    <row r="18" spans="1:9" x14ac:dyDescent="0.15">
      <c r="A18" s="2" t="s">
        <v>14</v>
      </c>
      <c r="B18" s="2" t="s">
        <v>3</v>
      </c>
      <c r="C18" s="2" t="s">
        <v>6</v>
      </c>
      <c r="D18" s="3">
        <v>754</v>
      </c>
      <c r="E18" s="2">
        <v>413.97</v>
      </c>
      <c r="F18" s="3">
        <v>300</v>
      </c>
      <c r="G18" s="3">
        <v>900</v>
      </c>
      <c r="H18" s="3">
        <v>200</v>
      </c>
      <c r="I18" s="4">
        <f t="shared" si="0"/>
        <v>2167.9700000000003</v>
      </c>
    </row>
    <row r="19" spans="1:9" x14ac:dyDescent="0.15">
      <c r="A19" s="2" t="s">
        <v>41</v>
      </c>
      <c r="B19" s="2" t="s">
        <v>7</v>
      </c>
      <c r="C19" s="2" t="s">
        <v>6</v>
      </c>
      <c r="D19" s="3">
        <v>930</v>
      </c>
      <c r="E19" s="2">
        <v>626.88</v>
      </c>
      <c r="F19" s="3">
        <v>405</v>
      </c>
      <c r="G19" s="3">
        <v>795</v>
      </c>
      <c r="H19" s="3">
        <v>130</v>
      </c>
      <c r="I19" s="4">
        <f t="shared" si="0"/>
        <v>2626.88</v>
      </c>
    </row>
    <row r="20" spans="1:9" x14ac:dyDescent="0.15">
      <c r="A20" s="2" t="s">
        <v>15</v>
      </c>
      <c r="B20" s="2" t="s">
        <v>8</v>
      </c>
      <c r="C20" s="2" t="s">
        <v>4</v>
      </c>
      <c r="D20" s="3">
        <v>910</v>
      </c>
      <c r="E20" s="2">
        <v>397.57</v>
      </c>
      <c r="F20" s="3">
        <v>420</v>
      </c>
      <c r="G20" s="3">
        <v>780</v>
      </c>
      <c r="H20" s="3">
        <v>120</v>
      </c>
      <c r="I20" s="4">
        <f t="shared" si="0"/>
        <v>2387.5699999999997</v>
      </c>
    </row>
    <row r="21" spans="1:9" x14ac:dyDescent="0.15">
      <c r="A21" s="2" t="s">
        <v>27</v>
      </c>
      <c r="B21" s="2" t="s">
        <v>5</v>
      </c>
      <c r="C21" s="2" t="s">
        <v>6</v>
      </c>
      <c r="D21" s="3">
        <v>910</v>
      </c>
      <c r="E21" s="2">
        <v>807.19</v>
      </c>
      <c r="F21" s="3">
        <v>465</v>
      </c>
      <c r="G21" s="3">
        <v>735</v>
      </c>
      <c r="H21" s="3">
        <v>90</v>
      </c>
      <c r="I21" s="4">
        <f t="shared" si="0"/>
        <v>2827.19</v>
      </c>
    </row>
    <row r="22" spans="1:9" x14ac:dyDescent="0.15">
      <c r="A22" s="2" t="s">
        <v>16</v>
      </c>
      <c r="B22" s="2" t="s">
        <v>5</v>
      </c>
      <c r="C22" s="2" t="s">
        <v>10</v>
      </c>
      <c r="D22" s="3">
        <v>945</v>
      </c>
      <c r="E22" s="2">
        <v>267.19</v>
      </c>
      <c r="F22" s="3">
        <v>505</v>
      </c>
      <c r="G22" s="3">
        <v>1005</v>
      </c>
      <c r="H22" s="3">
        <v>270</v>
      </c>
      <c r="I22" s="4">
        <f t="shared" si="0"/>
        <v>2452.19</v>
      </c>
    </row>
    <row r="23" spans="1:9" x14ac:dyDescent="0.15">
      <c r="A23" s="2" t="s">
        <v>42</v>
      </c>
      <c r="B23" s="2" t="s">
        <v>7</v>
      </c>
      <c r="C23" s="2" t="s">
        <v>6</v>
      </c>
      <c r="D23" s="3">
        <v>936</v>
      </c>
      <c r="E23" s="2">
        <v>225.5</v>
      </c>
      <c r="F23" s="3">
        <v>345</v>
      </c>
      <c r="G23" s="3">
        <v>855</v>
      </c>
      <c r="H23" s="3">
        <v>170</v>
      </c>
      <c r="I23" s="4">
        <f t="shared" si="0"/>
        <v>2191.5</v>
      </c>
    </row>
    <row r="24" spans="1:9" x14ac:dyDescent="0.15">
      <c r="A24" s="2" t="s">
        <v>43</v>
      </c>
      <c r="B24" s="2" t="s">
        <v>17</v>
      </c>
      <c r="C24" s="2" t="s">
        <v>4</v>
      </c>
      <c r="D24" s="3">
        <v>914</v>
      </c>
      <c r="E24" s="2">
        <v>419.88</v>
      </c>
      <c r="F24" s="3">
        <v>375</v>
      </c>
      <c r="G24" s="3">
        <v>825</v>
      </c>
      <c r="H24" s="3">
        <v>150</v>
      </c>
      <c r="I24" s="4">
        <f t="shared" si="0"/>
        <v>2383.88</v>
      </c>
    </row>
    <row r="25" spans="1:9" x14ac:dyDescent="0.15">
      <c r="A25" s="2" t="s">
        <v>18</v>
      </c>
      <c r="B25" s="2" t="s">
        <v>8</v>
      </c>
      <c r="C25" s="2" t="s">
        <v>9</v>
      </c>
      <c r="D25" s="3">
        <v>930</v>
      </c>
      <c r="E25" s="2">
        <v>818.5</v>
      </c>
      <c r="F25" s="3">
        <v>445</v>
      </c>
      <c r="G25" s="3">
        <v>945</v>
      </c>
      <c r="H25" s="3">
        <v>230</v>
      </c>
      <c r="I25" s="4">
        <f t="shared" si="0"/>
        <v>2908.5</v>
      </c>
    </row>
    <row r="26" spans="1:9" x14ac:dyDescent="0.15">
      <c r="A26" s="2" t="s">
        <v>44</v>
      </c>
      <c r="B26" s="2" t="s">
        <v>3</v>
      </c>
      <c r="C26" s="2" t="s">
        <v>6</v>
      </c>
      <c r="D26" s="3">
        <v>949</v>
      </c>
      <c r="E26" s="2">
        <v>390.19</v>
      </c>
      <c r="F26" s="3">
        <v>540</v>
      </c>
      <c r="G26" s="3">
        <v>660</v>
      </c>
      <c r="H26" s="3">
        <v>40</v>
      </c>
      <c r="I26" s="4">
        <f t="shared" si="0"/>
        <v>2499.19</v>
      </c>
    </row>
    <row r="27" spans="1:9" x14ac:dyDescent="0.15">
      <c r="A27" s="2" t="s">
        <v>45</v>
      </c>
      <c r="B27" s="2" t="s">
        <v>8</v>
      </c>
      <c r="C27" s="2" t="s">
        <v>4</v>
      </c>
      <c r="D27" s="3">
        <v>380</v>
      </c>
      <c r="E27" s="2">
        <v>405.73</v>
      </c>
      <c r="F27" s="3">
        <v>600</v>
      </c>
      <c r="G27" s="3">
        <v>600</v>
      </c>
      <c r="H27" s="3">
        <v>0</v>
      </c>
      <c r="I27" s="4">
        <f t="shared" si="0"/>
        <v>1985.73</v>
      </c>
    </row>
    <row r="28" spans="1:9" x14ac:dyDescent="0.15">
      <c r="A28" s="2" t="s">
        <v>46</v>
      </c>
      <c r="B28" s="2" t="s">
        <v>3</v>
      </c>
      <c r="C28" s="2" t="s">
        <v>6</v>
      </c>
      <c r="D28" s="3">
        <v>430</v>
      </c>
      <c r="E28" s="2">
        <v>269.58999999999997</v>
      </c>
      <c r="F28" s="3">
        <v>465</v>
      </c>
      <c r="G28" s="3">
        <v>735</v>
      </c>
      <c r="H28" s="3">
        <v>90</v>
      </c>
      <c r="I28" s="4">
        <f t="shared" si="0"/>
        <v>1809.59</v>
      </c>
    </row>
    <row r="29" spans="1:9" x14ac:dyDescent="0.15">
      <c r="A29" s="2" t="s">
        <v>19</v>
      </c>
      <c r="B29" s="2" t="s">
        <v>7</v>
      </c>
      <c r="C29" s="2" t="s">
        <v>6</v>
      </c>
      <c r="D29" s="3">
        <v>520</v>
      </c>
      <c r="E29" s="2">
        <v>207.99</v>
      </c>
      <c r="F29" s="3">
        <v>510</v>
      </c>
      <c r="G29" s="3">
        <v>690</v>
      </c>
      <c r="H29" s="3">
        <v>60</v>
      </c>
      <c r="I29" s="4">
        <f t="shared" si="0"/>
        <v>1867.99</v>
      </c>
    </row>
    <row r="30" spans="1:9" x14ac:dyDescent="0.15">
      <c r="A30" s="2" t="s">
        <v>20</v>
      </c>
      <c r="B30" s="2" t="s">
        <v>3</v>
      </c>
      <c r="C30" s="2" t="s">
        <v>4</v>
      </c>
      <c r="D30" s="3">
        <v>490</v>
      </c>
      <c r="E30" s="2">
        <v>317.88</v>
      </c>
      <c r="F30" s="3">
        <v>600</v>
      </c>
      <c r="G30" s="3">
        <v>600</v>
      </c>
      <c r="H30" s="3">
        <v>0</v>
      </c>
      <c r="I30" s="4">
        <f t="shared" si="0"/>
        <v>2007.88</v>
      </c>
    </row>
    <row r="31" spans="1:9" x14ac:dyDescent="0.15">
      <c r="A31" s="2" t="s">
        <v>54</v>
      </c>
      <c r="B31" s="2" t="s">
        <v>5</v>
      </c>
      <c r="C31" s="2" t="s">
        <v>10</v>
      </c>
      <c r="D31" s="3">
        <v>480</v>
      </c>
      <c r="E31" s="2">
        <v>336.5</v>
      </c>
      <c r="F31" s="3">
        <v>345</v>
      </c>
      <c r="G31" s="3">
        <v>855</v>
      </c>
      <c r="H31" s="3">
        <v>170</v>
      </c>
      <c r="I31" s="4">
        <f t="shared" si="0"/>
        <v>1846.5</v>
      </c>
    </row>
    <row r="32" spans="1:9" x14ac:dyDescent="0.15">
      <c r="A32" s="2" t="s">
        <v>21</v>
      </c>
      <c r="B32" s="2" t="s">
        <v>3</v>
      </c>
      <c r="C32" s="2" t="s">
        <v>6</v>
      </c>
      <c r="D32" s="3">
        <v>567</v>
      </c>
      <c r="E32" s="2">
        <v>269.58999999999997</v>
      </c>
      <c r="F32" s="3">
        <v>300</v>
      </c>
      <c r="G32" s="3">
        <v>600</v>
      </c>
      <c r="H32" s="3">
        <v>0</v>
      </c>
      <c r="I32" s="4">
        <f t="shared" si="0"/>
        <v>1736.59</v>
      </c>
    </row>
    <row r="33" spans="1:9" x14ac:dyDescent="0.15">
      <c r="A33" s="2" t="s">
        <v>47</v>
      </c>
      <c r="B33" s="2" t="s">
        <v>7</v>
      </c>
      <c r="C33" s="2" t="s">
        <v>6</v>
      </c>
      <c r="D33" s="3">
        <v>936</v>
      </c>
      <c r="E33" s="2">
        <v>207.99</v>
      </c>
      <c r="F33" s="3">
        <v>300</v>
      </c>
      <c r="G33" s="3">
        <v>900</v>
      </c>
      <c r="H33" s="3">
        <v>120</v>
      </c>
      <c r="I33" s="4">
        <f t="shared" si="0"/>
        <v>2223.9899999999998</v>
      </c>
    </row>
    <row r="34" spans="1:9" x14ac:dyDescent="0.15">
      <c r="A34" s="2" t="s">
        <v>48</v>
      </c>
      <c r="B34" s="2" t="s">
        <v>3</v>
      </c>
      <c r="C34" s="2" t="s">
        <v>4</v>
      </c>
      <c r="D34" s="3">
        <v>914</v>
      </c>
      <c r="E34" s="2">
        <v>317.88</v>
      </c>
      <c r="F34" s="3">
        <v>390</v>
      </c>
      <c r="G34" s="3">
        <v>810</v>
      </c>
      <c r="H34" s="3">
        <v>90</v>
      </c>
      <c r="I34" s="4">
        <f t="shared" si="0"/>
        <v>2341.88</v>
      </c>
    </row>
    <row r="35" spans="1:9" x14ac:dyDescent="0.15">
      <c r="A35" s="2" t="s">
        <v>49</v>
      </c>
      <c r="B35" s="2" t="s">
        <v>3</v>
      </c>
      <c r="C35" s="2" t="s">
        <v>6</v>
      </c>
      <c r="D35" s="3">
        <v>930</v>
      </c>
      <c r="E35" s="2">
        <v>269.58999999999997</v>
      </c>
      <c r="F35" s="3">
        <v>420</v>
      </c>
      <c r="G35" s="3">
        <v>780</v>
      </c>
      <c r="H35" s="3">
        <v>270</v>
      </c>
      <c r="I35" s="4">
        <f t="shared" si="0"/>
        <v>2129.59</v>
      </c>
    </row>
    <row r="36" spans="1:9" x14ac:dyDescent="0.15">
      <c r="A36" s="2" t="s">
        <v>50</v>
      </c>
      <c r="B36" s="2" t="s">
        <v>7</v>
      </c>
      <c r="C36" s="2" t="s">
        <v>6</v>
      </c>
      <c r="D36" s="3">
        <v>450</v>
      </c>
      <c r="E36" s="2">
        <v>207.99</v>
      </c>
      <c r="F36" s="3">
        <v>375</v>
      </c>
      <c r="G36" s="3">
        <v>825</v>
      </c>
      <c r="H36" s="3">
        <v>170</v>
      </c>
      <c r="I36" s="4">
        <f t="shared" si="0"/>
        <v>1687.99</v>
      </c>
    </row>
    <row r="37" spans="1:9" x14ac:dyDescent="0.15">
      <c r="A37" s="2" t="s">
        <v>22</v>
      </c>
      <c r="B37" s="2" t="s">
        <v>3</v>
      </c>
      <c r="C37" s="2" t="s">
        <v>4</v>
      </c>
      <c r="D37" s="3">
        <v>580</v>
      </c>
      <c r="E37" s="2">
        <v>317.88</v>
      </c>
      <c r="F37" s="3">
        <v>415</v>
      </c>
      <c r="G37" s="3">
        <v>915</v>
      </c>
      <c r="H37" s="3">
        <v>150</v>
      </c>
      <c r="I37" s="4">
        <f t="shared" si="0"/>
        <v>2077.88</v>
      </c>
    </row>
    <row r="38" spans="1:9" x14ac:dyDescent="0.15">
      <c r="A38" s="2" t="s">
        <v>51</v>
      </c>
      <c r="B38" s="2" t="s">
        <v>3</v>
      </c>
      <c r="C38" s="2" t="s">
        <v>6</v>
      </c>
      <c r="D38" s="3">
        <v>550</v>
      </c>
      <c r="E38" s="2">
        <v>269.58999999999997</v>
      </c>
      <c r="F38" s="3">
        <v>465</v>
      </c>
      <c r="G38" s="3">
        <v>735</v>
      </c>
      <c r="H38" s="3">
        <v>230</v>
      </c>
      <c r="I38" s="4">
        <f t="shared" si="0"/>
        <v>1789.59</v>
      </c>
    </row>
    <row r="39" spans="1:9" x14ac:dyDescent="0.15">
      <c r="A39" s="2" t="s">
        <v>52</v>
      </c>
      <c r="B39" s="2" t="s">
        <v>7</v>
      </c>
      <c r="C39" s="2" t="s">
        <v>6</v>
      </c>
      <c r="D39" s="3">
        <v>550</v>
      </c>
      <c r="E39" s="2">
        <v>207.99</v>
      </c>
      <c r="F39" s="3">
        <v>505</v>
      </c>
      <c r="G39" s="3">
        <v>1005</v>
      </c>
      <c r="H39" s="3">
        <v>40</v>
      </c>
      <c r="I39" s="4">
        <f t="shared" si="0"/>
        <v>2227.9899999999998</v>
      </c>
    </row>
    <row r="40" spans="1:9" x14ac:dyDescent="0.15">
      <c r="A40" s="2" t="s">
        <v>53</v>
      </c>
      <c r="B40" s="2" t="s">
        <v>3</v>
      </c>
      <c r="C40" s="2" t="s">
        <v>4</v>
      </c>
      <c r="D40" s="3">
        <v>639</v>
      </c>
      <c r="E40" s="2">
        <v>317.88</v>
      </c>
      <c r="F40" s="3">
        <v>345</v>
      </c>
      <c r="G40" s="3">
        <v>855</v>
      </c>
      <c r="H40" s="3">
        <v>10</v>
      </c>
      <c r="I40" s="4">
        <f t="shared" si="0"/>
        <v>2146.88</v>
      </c>
    </row>
  </sheetData>
  <mergeCells count="1">
    <mergeCell ref="A1:I1"/>
  </mergeCells>
  <phoneticPr fontId="1" type="noConversion"/>
  <conditionalFormatting sqref="I3:I40">
    <cfRule type="cellIs" dxfId="2" priority="1" operator="greaterThan">
      <formula>2000</formula>
    </cfRule>
  </conditionalFormatting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I40"/>
  <sheetViews>
    <sheetView workbookViewId="0">
      <selection activeCell="K16" sqref="K16"/>
    </sheetView>
  </sheetViews>
  <sheetFormatPr defaultRowHeight="14.25" x14ac:dyDescent="0.15"/>
  <sheetData>
    <row r="1" spans="1:9" x14ac:dyDescent="0.15">
      <c r="A1" t="s">
        <v>57</v>
      </c>
    </row>
    <row r="2" spans="1:9" x14ac:dyDescent="0.15">
      <c r="A2" t="s">
        <v>0</v>
      </c>
      <c r="B2" t="s">
        <v>1</v>
      </c>
      <c r="C2" t="s">
        <v>2</v>
      </c>
      <c r="D2" t="s">
        <v>58</v>
      </c>
      <c r="E2" t="s">
        <v>24</v>
      </c>
      <c r="F2" t="s">
        <v>25</v>
      </c>
      <c r="G2" t="s">
        <v>59</v>
      </c>
      <c r="H2" t="s">
        <v>60</v>
      </c>
      <c r="I2" t="s">
        <v>61</v>
      </c>
    </row>
    <row r="3" spans="1:9" x14ac:dyDescent="0.15">
      <c r="A3" t="s">
        <v>62</v>
      </c>
      <c r="B3" t="s">
        <v>3</v>
      </c>
      <c r="C3" t="s">
        <v>4</v>
      </c>
      <c r="D3">
        <v>808</v>
      </c>
      <c r="E3">
        <v>561.17999999999995</v>
      </c>
      <c r="F3">
        <v>375</v>
      </c>
      <c r="G3">
        <v>825</v>
      </c>
      <c r="H3">
        <v>150</v>
      </c>
      <c r="I3">
        <v>2419.1799999999998</v>
      </c>
    </row>
    <row r="4" spans="1:9" x14ac:dyDescent="0.15">
      <c r="A4" t="s">
        <v>63</v>
      </c>
      <c r="B4" t="s">
        <v>5</v>
      </c>
      <c r="C4" t="s">
        <v>6</v>
      </c>
      <c r="D4">
        <v>670</v>
      </c>
      <c r="E4">
        <v>405.51</v>
      </c>
      <c r="F4">
        <v>435</v>
      </c>
      <c r="G4">
        <v>765</v>
      </c>
      <c r="H4">
        <v>110</v>
      </c>
      <c r="I4">
        <v>2165.5100000000002</v>
      </c>
    </row>
    <row r="5" spans="1:9" x14ac:dyDescent="0.15">
      <c r="A5" t="s">
        <v>64</v>
      </c>
      <c r="B5" t="s">
        <v>7</v>
      </c>
      <c r="C5" t="s">
        <v>6</v>
      </c>
      <c r="D5">
        <v>600</v>
      </c>
      <c r="E5">
        <v>285.94</v>
      </c>
      <c r="F5">
        <v>345</v>
      </c>
      <c r="G5">
        <v>855</v>
      </c>
      <c r="H5">
        <v>170</v>
      </c>
      <c r="I5">
        <v>1915.94</v>
      </c>
    </row>
    <row r="6" spans="1:9" x14ac:dyDescent="0.15">
      <c r="A6" t="s">
        <v>65</v>
      </c>
      <c r="B6" t="s">
        <v>3</v>
      </c>
      <c r="C6" t="s">
        <v>6</v>
      </c>
      <c r="D6">
        <v>929</v>
      </c>
      <c r="E6">
        <v>475.61</v>
      </c>
      <c r="F6">
        <v>315</v>
      </c>
      <c r="G6">
        <v>885</v>
      </c>
      <c r="H6">
        <v>190</v>
      </c>
      <c r="I6">
        <v>2414.61</v>
      </c>
    </row>
    <row r="7" spans="1:9" x14ac:dyDescent="0.15">
      <c r="A7" t="s">
        <v>66</v>
      </c>
      <c r="B7" t="s">
        <v>8</v>
      </c>
      <c r="C7" t="s">
        <v>9</v>
      </c>
      <c r="D7">
        <v>640</v>
      </c>
      <c r="E7">
        <v>675.84</v>
      </c>
      <c r="F7">
        <v>360</v>
      </c>
      <c r="G7">
        <v>840</v>
      </c>
      <c r="H7">
        <v>160</v>
      </c>
      <c r="I7">
        <v>2355.84</v>
      </c>
    </row>
    <row r="8" spans="1:9" x14ac:dyDescent="0.15">
      <c r="A8" t="s">
        <v>67</v>
      </c>
      <c r="B8" t="s">
        <v>5</v>
      </c>
      <c r="C8" t="s">
        <v>10</v>
      </c>
      <c r="D8">
        <v>650</v>
      </c>
      <c r="E8">
        <v>661.15</v>
      </c>
      <c r="F8">
        <v>330</v>
      </c>
      <c r="G8">
        <v>870</v>
      </c>
      <c r="H8">
        <v>180</v>
      </c>
      <c r="I8">
        <v>2331.15</v>
      </c>
    </row>
    <row r="9" spans="1:9" x14ac:dyDescent="0.15">
      <c r="A9" t="s">
        <v>68</v>
      </c>
      <c r="B9" t="s">
        <v>69</v>
      </c>
      <c r="C9" t="s">
        <v>4</v>
      </c>
      <c r="D9">
        <v>620</v>
      </c>
      <c r="E9">
        <v>754.43</v>
      </c>
      <c r="F9">
        <v>300</v>
      </c>
      <c r="G9">
        <v>900</v>
      </c>
      <c r="H9">
        <v>200</v>
      </c>
      <c r="I9">
        <v>2374.4299999999998</v>
      </c>
    </row>
    <row r="10" spans="1:9" x14ac:dyDescent="0.15">
      <c r="A10" t="s">
        <v>70</v>
      </c>
      <c r="B10" t="s">
        <v>5</v>
      </c>
      <c r="C10" t="s">
        <v>6</v>
      </c>
      <c r="D10">
        <v>630</v>
      </c>
      <c r="E10">
        <v>393.87</v>
      </c>
      <c r="F10">
        <v>390</v>
      </c>
      <c r="G10">
        <v>810</v>
      </c>
      <c r="H10">
        <v>140</v>
      </c>
      <c r="I10">
        <v>2083.87</v>
      </c>
    </row>
    <row r="11" spans="1:9" x14ac:dyDescent="0.15">
      <c r="A11" t="s">
        <v>71</v>
      </c>
      <c r="B11" t="s">
        <v>7</v>
      </c>
      <c r="C11" t="s">
        <v>6</v>
      </c>
      <c r="D11">
        <v>815</v>
      </c>
      <c r="E11">
        <v>463.33</v>
      </c>
      <c r="F11">
        <v>495</v>
      </c>
      <c r="G11">
        <v>705</v>
      </c>
      <c r="H11">
        <v>70</v>
      </c>
      <c r="I11">
        <v>2408.33</v>
      </c>
    </row>
    <row r="12" spans="1:9" x14ac:dyDescent="0.15">
      <c r="A12" t="s">
        <v>72</v>
      </c>
      <c r="B12" t="s">
        <v>8</v>
      </c>
      <c r="C12" t="s">
        <v>4</v>
      </c>
      <c r="D12">
        <v>837</v>
      </c>
      <c r="E12">
        <v>518.12</v>
      </c>
      <c r="F12">
        <v>435</v>
      </c>
      <c r="G12">
        <v>765</v>
      </c>
      <c r="H12">
        <v>110</v>
      </c>
      <c r="I12">
        <v>2445.12</v>
      </c>
    </row>
    <row r="13" spans="1:9" x14ac:dyDescent="0.15">
      <c r="A13" t="s">
        <v>12</v>
      </c>
      <c r="B13" t="s">
        <v>5</v>
      </c>
      <c r="C13" t="s">
        <v>6</v>
      </c>
      <c r="D13">
        <v>450</v>
      </c>
      <c r="E13">
        <v>318.95</v>
      </c>
      <c r="F13">
        <v>405</v>
      </c>
      <c r="G13">
        <v>795</v>
      </c>
      <c r="H13">
        <v>130</v>
      </c>
      <c r="I13">
        <v>1838.95</v>
      </c>
    </row>
    <row r="14" spans="1:9" x14ac:dyDescent="0.15">
      <c r="A14" t="s">
        <v>73</v>
      </c>
      <c r="B14" t="s">
        <v>7</v>
      </c>
      <c r="C14" t="s">
        <v>6</v>
      </c>
      <c r="D14">
        <v>580</v>
      </c>
      <c r="E14">
        <v>218.72</v>
      </c>
      <c r="F14">
        <v>420</v>
      </c>
      <c r="G14">
        <v>780</v>
      </c>
      <c r="H14">
        <v>120</v>
      </c>
      <c r="I14">
        <v>1878.72</v>
      </c>
    </row>
    <row r="15" spans="1:9" x14ac:dyDescent="0.15">
      <c r="A15" t="s">
        <v>74</v>
      </c>
      <c r="B15" t="s">
        <v>8</v>
      </c>
      <c r="C15" t="s">
        <v>4</v>
      </c>
      <c r="D15">
        <v>550</v>
      </c>
      <c r="E15">
        <v>413.65</v>
      </c>
      <c r="F15">
        <v>375</v>
      </c>
      <c r="G15">
        <v>825</v>
      </c>
      <c r="H15">
        <v>150</v>
      </c>
      <c r="I15">
        <v>2013.65</v>
      </c>
    </row>
    <row r="16" spans="1:9" x14ac:dyDescent="0.15">
      <c r="A16" t="s">
        <v>75</v>
      </c>
      <c r="B16" t="s">
        <v>3</v>
      </c>
      <c r="C16" t="s">
        <v>6</v>
      </c>
      <c r="D16">
        <v>550</v>
      </c>
      <c r="E16">
        <v>250.49</v>
      </c>
      <c r="F16">
        <v>415</v>
      </c>
      <c r="G16">
        <v>915</v>
      </c>
      <c r="H16">
        <v>210</v>
      </c>
      <c r="I16">
        <v>1920.4899999999998</v>
      </c>
    </row>
    <row r="17" spans="1:9" x14ac:dyDescent="0.15">
      <c r="A17" t="s">
        <v>13</v>
      </c>
      <c r="B17" t="s">
        <v>7</v>
      </c>
      <c r="C17" t="s">
        <v>6</v>
      </c>
      <c r="D17">
        <v>639</v>
      </c>
      <c r="E17">
        <v>330.51</v>
      </c>
      <c r="F17">
        <v>360</v>
      </c>
      <c r="G17">
        <v>840</v>
      </c>
      <c r="H17">
        <v>160</v>
      </c>
      <c r="I17">
        <v>2009.5100000000002</v>
      </c>
    </row>
    <row r="18" spans="1:9" x14ac:dyDescent="0.15">
      <c r="A18" t="s">
        <v>14</v>
      </c>
      <c r="B18" t="s">
        <v>3</v>
      </c>
      <c r="C18" t="s">
        <v>6</v>
      </c>
      <c r="D18">
        <v>754</v>
      </c>
      <c r="E18">
        <v>413.97</v>
      </c>
      <c r="F18">
        <v>300</v>
      </c>
      <c r="G18">
        <v>900</v>
      </c>
      <c r="H18">
        <v>200</v>
      </c>
      <c r="I18">
        <v>2167.9700000000003</v>
      </c>
    </row>
    <row r="19" spans="1:9" x14ac:dyDescent="0.15">
      <c r="A19" t="s">
        <v>76</v>
      </c>
      <c r="B19" t="s">
        <v>7</v>
      </c>
      <c r="C19" t="s">
        <v>6</v>
      </c>
      <c r="D19">
        <v>930</v>
      </c>
      <c r="E19">
        <v>626.88</v>
      </c>
      <c r="F19">
        <v>405</v>
      </c>
      <c r="G19">
        <v>795</v>
      </c>
      <c r="H19">
        <v>130</v>
      </c>
      <c r="I19">
        <v>2626.88</v>
      </c>
    </row>
    <row r="20" spans="1:9" x14ac:dyDescent="0.15">
      <c r="A20" t="s">
        <v>15</v>
      </c>
      <c r="B20" t="s">
        <v>8</v>
      </c>
      <c r="C20" t="s">
        <v>4</v>
      </c>
      <c r="D20">
        <v>910</v>
      </c>
      <c r="E20">
        <v>397.57</v>
      </c>
      <c r="F20">
        <v>420</v>
      </c>
      <c r="G20">
        <v>780</v>
      </c>
      <c r="H20">
        <v>120</v>
      </c>
      <c r="I20">
        <v>2387.5699999999997</v>
      </c>
    </row>
    <row r="21" spans="1:9" x14ac:dyDescent="0.15">
      <c r="A21" t="s">
        <v>77</v>
      </c>
      <c r="B21" t="s">
        <v>5</v>
      </c>
      <c r="C21" t="s">
        <v>6</v>
      </c>
      <c r="D21">
        <v>910</v>
      </c>
      <c r="E21">
        <v>807.19</v>
      </c>
      <c r="F21">
        <v>465</v>
      </c>
      <c r="G21">
        <v>735</v>
      </c>
      <c r="H21">
        <v>90</v>
      </c>
      <c r="I21">
        <v>2827.19</v>
      </c>
    </row>
    <row r="22" spans="1:9" x14ac:dyDescent="0.15">
      <c r="A22" t="s">
        <v>16</v>
      </c>
      <c r="B22" t="s">
        <v>5</v>
      </c>
      <c r="C22" t="s">
        <v>10</v>
      </c>
      <c r="D22">
        <v>945</v>
      </c>
      <c r="E22">
        <v>267.19</v>
      </c>
      <c r="F22">
        <v>505</v>
      </c>
      <c r="G22">
        <v>1005</v>
      </c>
      <c r="H22">
        <v>270</v>
      </c>
      <c r="I22">
        <v>2452.19</v>
      </c>
    </row>
    <row r="23" spans="1:9" x14ac:dyDescent="0.15">
      <c r="A23" t="s">
        <v>78</v>
      </c>
      <c r="B23" t="s">
        <v>7</v>
      </c>
      <c r="C23" t="s">
        <v>6</v>
      </c>
      <c r="D23">
        <v>936</v>
      </c>
      <c r="E23">
        <v>225.5</v>
      </c>
      <c r="F23">
        <v>345</v>
      </c>
      <c r="G23">
        <v>855</v>
      </c>
      <c r="H23">
        <v>170</v>
      </c>
      <c r="I23">
        <v>2191.5</v>
      </c>
    </row>
    <row r="24" spans="1:9" x14ac:dyDescent="0.15">
      <c r="A24" t="s">
        <v>79</v>
      </c>
      <c r="B24" t="s">
        <v>3</v>
      </c>
      <c r="C24" t="s">
        <v>4</v>
      </c>
      <c r="D24">
        <v>914</v>
      </c>
      <c r="E24">
        <v>419.88</v>
      </c>
      <c r="F24">
        <v>375</v>
      </c>
      <c r="G24">
        <v>825</v>
      </c>
      <c r="H24">
        <v>150</v>
      </c>
      <c r="I24">
        <v>2383.88</v>
      </c>
    </row>
    <row r="25" spans="1:9" x14ac:dyDescent="0.15">
      <c r="A25" t="s">
        <v>18</v>
      </c>
      <c r="B25" t="s">
        <v>8</v>
      </c>
      <c r="C25" t="s">
        <v>9</v>
      </c>
      <c r="D25">
        <v>930</v>
      </c>
      <c r="E25">
        <v>818.5</v>
      </c>
      <c r="F25">
        <v>445</v>
      </c>
      <c r="G25">
        <v>945</v>
      </c>
      <c r="H25">
        <v>230</v>
      </c>
      <c r="I25">
        <v>2908.5</v>
      </c>
    </row>
    <row r="26" spans="1:9" x14ac:dyDescent="0.15">
      <c r="A26" t="s">
        <v>80</v>
      </c>
      <c r="B26" t="s">
        <v>3</v>
      </c>
      <c r="C26" t="s">
        <v>6</v>
      </c>
      <c r="D26">
        <v>949</v>
      </c>
      <c r="E26">
        <v>390.19</v>
      </c>
      <c r="F26">
        <v>540</v>
      </c>
      <c r="G26">
        <v>660</v>
      </c>
      <c r="H26">
        <v>40</v>
      </c>
      <c r="I26">
        <v>2499.19</v>
      </c>
    </row>
    <row r="27" spans="1:9" x14ac:dyDescent="0.15">
      <c r="A27" t="s">
        <v>81</v>
      </c>
      <c r="B27" t="s">
        <v>8</v>
      </c>
      <c r="C27" t="s">
        <v>4</v>
      </c>
      <c r="D27">
        <v>380</v>
      </c>
      <c r="E27">
        <v>405.73</v>
      </c>
      <c r="F27">
        <v>600</v>
      </c>
      <c r="G27">
        <v>600</v>
      </c>
      <c r="H27">
        <v>0</v>
      </c>
      <c r="I27">
        <v>1985.73</v>
      </c>
    </row>
    <row r="28" spans="1:9" x14ac:dyDescent="0.15">
      <c r="A28" t="s">
        <v>82</v>
      </c>
      <c r="B28" t="s">
        <v>3</v>
      </c>
      <c r="C28" t="s">
        <v>6</v>
      </c>
      <c r="D28">
        <v>430</v>
      </c>
      <c r="E28">
        <v>269.58999999999997</v>
      </c>
      <c r="F28">
        <v>465</v>
      </c>
      <c r="G28">
        <v>735</v>
      </c>
      <c r="H28">
        <v>90</v>
      </c>
      <c r="I28">
        <v>1809.59</v>
      </c>
    </row>
    <row r="29" spans="1:9" x14ac:dyDescent="0.15">
      <c r="A29" t="s">
        <v>19</v>
      </c>
      <c r="B29" t="s">
        <v>7</v>
      </c>
      <c r="C29" t="s">
        <v>6</v>
      </c>
      <c r="D29">
        <v>520</v>
      </c>
      <c r="E29">
        <v>207.99</v>
      </c>
      <c r="F29">
        <v>510</v>
      </c>
      <c r="G29">
        <v>690</v>
      </c>
      <c r="H29">
        <v>60</v>
      </c>
      <c r="I29">
        <v>1867.99</v>
      </c>
    </row>
    <row r="30" spans="1:9" x14ac:dyDescent="0.15">
      <c r="A30" t="s">
        <v>20</v>
      </c>
      <c r="B30" t="s">
        <v>3</v>
      </c>
      <c r="C30" t="s">
        <v>4</v>
      </c>
      <c r="D30">
        <v>490</v>
      </c>
      <c r="E30">
        <v>317.88</v>
      </c>
      <c r="F30">
        <v>600</v>
      </c>
      <c r="G30">
        <v>600</v>
      </c>
      <c r="H30">
        <v>0</v>
      </c>
      <c r="I30">
        <v>2007.88</v>
      </c>
    </row>
    <row r="31" spans="1:9" x14ac:dyDescent="0.15">
      <c r="A31" t="s">
        <v>83</v>
      </c>
      <c r="B31" t="s">
        <v>5</v>
      </c>
      <c r="C31" t="s">
        <v>10</v>
      </c>
      <c r="D31">
        <v>480</v>
      </c>
      <c r="E31">
        <v>336.5</v>
      </c>
      <c r="F31">
        <v>345</v>
      </c>
      <c r="G31">
        <v>855</v>
      </c>
      <c r="H31">
        <v>170</v>
      </c>
      <c r="I31">
        <v>1846.5</v>
      </c>
    </row>
    <row r="32" spans="1:9" x14ac:dyDescent="0.15">
      <c r="A32" t="s">
        <v>84</v>
      </c>
      <c r="B32" t="s">
        <v>3</v>
      </c>
      <c r="C32" t="s">
        <v>6</v>
      </c>
      <c r="D32">
        <v>567</v>
      </c>
      <c r="E32">
        <v>269.58999999999997</v>
      </c>
      <c r="F32">
        <v>300</v>
      </c>
      <c r="G32">
        <v>600</v>
      </c>
      <c r="H32">
        <v>0</v>
      </c>
      <c r="I32">
        <v>1736.59</v>
      </c>
    </row>
    <row r="33" spans="1:9" x14ac:dyDescent="0.15">
      <c r="A33" t="s">
        <v>85</v>
      </c>
      <c r="B33" t="s">
        <v>7</v>
      </c>
      <c r="C33" t="s">
        <v>6</v>
      </c>
      <c r="D33">
        <v>936</v>
      </c>
      <c r="E33">
        <v>207.99</v>
      </c>
      <c r="F33">
        <v>300</v>
      </c>
      <c r="G33">
        <v>900</v>
      </c>
      <c r="H33">
        <v>120</v>
      </c>
      <c r="I33">
        <v>2223.9899999999998</v>
      </c>
    </row>
    <row r="34" spans="1:9" x14ac:dyDescent="0.15">
      <c r="A34" t="s">
        <v>86</v>
      </c>
      <c r="B34" t="s">
        <v>3</v>
      </c>
      <c r="C34" t="s">
        <v>4</v>
      </c>
      <c r="D34">
        <v>914</v>
      </c>
      <c r="E34">
        <v>317.88</v>
      </c>
      <c r="F34">
        <v>390</v>
      </c>
      <c r="G34">
        <v>810</v>
      </c>
      <c r="H34">
        <v>90</v>
      </c>
      <c r="I34">
        <v>2341.88</v>
      </c>
    </row>
    <row r="35" spans="1:9" x14ac:dyDescent="0.15">
      <c r="A35" t="s">
        <v>87</v>
      </c>
      <c r="B35" t="s">
        <v>3</v>
      </c>
      <c r="C35" t="s">
        <v>6</v>
      </c>
      <c r="D35">
        <v>930</v>
      </c>
      <c r="E35">
        <v>269.58999999999997</v>
      </c>
      <c r="F35">
        <v>420</v>
      </c>
      <c r="G35">
        <v>780</v>
      </c>
      <c r="H35">
        <v>270</v>
      </c>
      <c r="I35">
        <v>2129.59</v>
      </c>
    </row>
    <row r="36" spans="1:9" x14ac:dyDescent="0.15">
      <c r="A36" t="s">
        <v>88</v>
      </c>
      <c r="B36" t="s">
        <v>7</v>
      </c>
      <c r="C36" t="s">
        <v>6</v>
      </c>
      <c r="D36">
        <v>450</v>
      </c>
      <c r="E36">
        <v>207.99</v>
      </c>
      <c r="F36">
        <v>375</v>
      </c>
      <c r="G36">
        <v>825</v>
      </c>
      <c r="H36">
        <v>170</v>
      </c>
      <c r="I36">
        <v>1687.99</v>
      </c>
    </row>
    <row r="37" spans="1:9" x14ac:dyDescent="0.15">
      <c r="A37" t="s">
        <v>89</v>
      </c>
      <c r="B37" t="s">
        <v>3</v>
      </c>
      <c r="C37" t="s">
        <v>4</v>
      </c>
      <c r="D37">
        <v>580</v>
      </c>
      <c r="E37">
        <v>317.88</v>
      </c>
      <c r="F37">
        <v>415</v>
      </c>
      <c r="G37">
        <v>915</v>
      </c>
      <c r="H37">
        <v>150</v>
      </c>
      <c r="I37">
        <v>2077.88</v>
      </c>
    </row>
    <row r="38" spans="1:9" x14ac:dyDescent="0.15">
      <c r="A38" t="s">
        <v>90</v>
      </c>
      <c r="B38" t="s">
        <v>3</v>
      </c>
      <c r="C38" t="s">
        <v>6</v>
      </c>
      <c r="D38">
        <v>550</v>
      </c>
      <c r="E38">
        <v>269.58999999999997</v>
      </c>
      <c r="F38">
        <v>465</v>
      </c>
      <c r="G38">
        <v>735</v>
      </c>
      <c r="H38">
        <v>230</v>
      </c>
      <c r="I38">
        <v>1789.59</v>
      </c>
    </row>
    <row r="39" spans="1:9" x14ac:dyDescent="0.15">
      <c r="A39" t="s">
        <v>91</v>
      </c>
      <c r="B39" t="s">
        <v>7</v>
      </c>
      <c r="C39" t="s">
        <v>6</v>
      </c>
      <c r="D39">
        <v>550</v>
      </c>
      <c r="E39">
        <v>207.99</v>
      </c>
      <c r="F39">
        <v>505</v>
      </c>
      <c r="G39">
        <v>1005</v>
      </c>
      <c r="H39">
        <v>40</v>
      </c>
      <c r="I39">
        <v>2227.9899999999998</v>
      </c>
    </row>
    <row r="40" spans="1:9" x14ac:dyDescent="0.15">
      <c r="A40" t="s">
        <v>92</v>
      </c>
      <c r="B40" t="s">
        <v>3</v>
      </c>
      <c r="C40" t="s">
        <v>4</v>
      </c>
      <c r="D40">
        <v>639</v>
      </c>
      <c r="E40">
        <v>317.88</v>
      </c>
      <c r="F40">
        <v>345</v>
      </c>
      <c r="G40">
        <v>855</v>
      </c>
      <c r="H40">
        <v>10</v>
      </c>
      <c r="I40">
        <v>2146.88</v>
      </c>
    </row>
  </sheetData>
  <phoneticPr fontId="1" type="noConversion"/>
  <printOptions horizontalCentered="1"/>
  <pageMargins left="0.74803149606299213" right="0.74803149606299213" top="0.98425196850393704" bottom="0.98425196850393704" header="0.51181102362204722" footer="0.51181102362204722"/>
  <pageSetup paperSize="9" firstPageNumber="3" orientation="portrait" useFirstPageNumber="1" r:id="rId1"/>
  <headerFooter alignWithMargins="0">
    <oddFooter>&amp;R&amp;14&amp;P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I10"/>
  <sheetViews>
    <sheetView workbookViewId="0">
      <selection activeCell="I21" sqref="I21"/>
    </sheetView>
  </sheetViews>
  <sheetFormatPr defaultRowHeight="14.25" x14ac:dyDescent="0.15"/>
  <sheetData>
    <row r="1" spans="1:9" x14ac:dyDescent="0.15">
      <c r="A1" t="s">
        <v>93</v>
      </c>
      <c r="B1" t="s">
        <v>94</v>
      </c>
    </row>
    <row r="2" spans="1:9" x14ac:dyDescent="0.15">
      <c r="A2" t="s">
        <v>95</v>
      </c>
      <c r="B2" t="s">
        <v>96</v>
      </c>
    </row>
    <row r="4" spans="1:9" ht="15" thickBot="1" x14ac:dyDescent="0.2"/>
    <row r="5" spans="1:9" ht="15" thickTop="1" x14ac:dyDescent="0.15">
      <c r="A5" s="5" t="s">
        <v>0</v>
      </c>
      <c r="B5" s="6" t="s">
        <v>1</v>
      </c>
      <c r="C5" s="6" t="s">
        <v>2</v>
      </c>
      <c r="D5" s="6" t="s">
        <v>23</v>
      </c>
      <c r="E5" s="6" t="s">
        <v>24</v>
      </c>
      <c r="F5" s="6" t="s">
        <v>25</v>
      </c>
      <c r="G5" s="6" t="s">
        <v>55</v>
      </c>
      <c r="H5" s="6" t="s">
        <v>26</v>
      </c>
      <c r="I5" s="7" t="s">
        <v>56</v>
      </c>
    </row>
    <row r="6" spans="1:9" x14ac:dyDescent="0.15">
      <c r="A6" s="8" t="s">
        <v>30</v>
      </c>
      <c r="B6" s="2" t="s">
        <v>5</v>
      </c>
      <c r="C6" s="2" t="s">
        <v>6</v>
      </c>
      <c r="D6" s="9">
        <v>670</v>
      </c>
      <c r="E6" s="2">
        <v>405.51</v>
      </c>
      <c r="F6" s="9">
        <v>435</v>
      </c>
      <c r="G6" s="9">
        <v>765</v>
      </c>
      <c r="H6" s="9">
        <v>110</v>
      </c>
      <c r="I6" s="10">
        <v>2165.5100000000002</v>
      </c>
    </row>
    <row r="7" spans="1:9" x14ac:dyDescent="0.15">
      <c r="A7" s="8" t="s">
        <v>36</v>
      </c>
      <c r="B7" s="2" t="s">
        <v>5</v>
      </c>
      <c r="C7" s="2" t="s">
        <v>6</v>
      </c>
      <c r="D7" s="9">
        <v>630</v>
      </c>
      <c r="E7" s="2">
        <v>393.87</v>
      </c>
      <c r="F7" s="9">
        <v>390</v>
      </c>
      <c r="G7" s="9">
        <v>810</v>
      </c>
      <c r="H7" s="9">
        <v>140</v>
      </c>
      <c r="I7" s="10">
        <v>2083.87</v>
      </c>
    </row>
    <row r="8" spans="1:9" x14ac:dyDescent="0.15">
      <c r="A8" s="8" t="s">
        <v>12</v>
      </c>
      <c r="B8" s="2" t="s">
        <v>5</v>
      </c>
      <c r="C8" s="2" t="s">
        <v>6</v>
      </c>
      <c r="D8" s="9">
        <v>450</v>
      </c>
      <c r="E8" s="2">
        <v>318.95</v>
      </c>
      <c r="F8" s="9">
        <v>405</v>
      </c>
      <c r="G8" s="9">
        <v>795</v>
      </c>
      <c r="H8" s="9">
        <v>130</v>
      </c>
      <c r="I8" s="10">
        <v>1838.95</v>
      </c>
    </row>
    <row r="9" spans="1:9" ht="15" thickBot="1" x14ac:dyDescent="0.2">
      <c r="A9" s="11" t="s">
        <v>27</v>
      </c>
      <c r="B9" s="12" t="s">
        <v>5</v>
      </c>
      <c r="C9" s="12" t="s">
        <v>6</v>
      </c>
      <c r="D9" s="13">
        <v>910</v>
      </c>
      <c r="E9" s="12">
        <v>807.19</v>
      </c>
      <c r="F9" s="13">
        <v>465</v>
      </c>
      <c r="G9" s="13">
        <v>735</v>
      </c>
      <c r="H9" s="13">
        <v>90</v>
      </c>
      <c r="I9" s="14">
        <v>2827.19</v>
      </c>
    </row>
    <row r="10" spans="1:9" ht="15" thickTop="1" x14ac:dyDescent="0.15"/>
  </sheetData>
  <phoneticPr fontId="1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5"/>
  <sheetViews>
    <sheetView workbookViewId="0">
      <selection activeCell="I2" activeCellId="1" sqref="C2:C44 I2:I44"/>
    </sheetView>
  </sheetViews>
  <sheetFormatPr defaultRowHeight="14.25" outlineLevelRow="2" x14ac:dyDescent="0.15"/>
  <sheetData>
    <row r="1" spans="1:9" ht="18.75" x14ac:dyDescent="0.3">
      <c r="A1" s="1" t="s">
        <v>57</v>
      </c>
      <c r="B1" s="1"/>
      <c r="C1" s="1"/>
      <c r="D1" s="1"/>
      <c r="E1" s="1"/>
      <c r="F1" s="1"/>
      <c r="G1" s="1"/>
      <c r="H1" s="1"/>
      <c r="I1" s="1"/>
    </row>
    <row r="2" spans="1:9" x14ac:dyDescent="0.15">
      <c r="A2" s="2" t="s">
        <v>0</v>
      </c>
      <c r="B2" s="2" t="s">
        <v>1</v>
      </c>
      <c r="C2" s="2" t="s">
        <v>2</v>
      </c>
      <c r="D2" s="2" t="s">
        <v>23</v>
      </c>
      <c r="E2" s="2" t="s">
        <v>24</v>
      </c>
      <c r="F2" s="2" t="s">
        <v>25</v>
      </c>
      <c r="G2" s="2" t="s">
        <v>55</v>
      </c>
      <c r="H2" s="2" t="s">
        <v>26</v>
      </c>
      <c r="I2" s="2" t="s">
        <v>56</v>
      </c>
    </row>
    <row r="3" spans="1:9" hidden="1" outlineLevel="2" x14ac:dyDescent="0.15">
      <c r="A3" s="2" t="s">
        <v>33</v>
      </c>
      <c r="B3" s="2" t="s">
        <v>8</v>
      </c>
      <c r="C3" s="2" t="s">
        <v>9</v>
      </c>
      <c r="D3" s="3">
        <v>640</v>
      </c>
      <c r="E3" s="2">
        <v>675.84</v>
      </c>
      <c r="F3" s="3">
        <v>360</v>
      </c>
      <c r="G3" s="3">
        <v>840</v>
      </c>
      <c r="H3" s="3">
        <v>160</v>
      </c>
      <c r="I3" s="4">
        <f>D3+E3+F3+G3-H3</f>
        <v>2355.84</v>
      </c>
    </row>
    <row r="4" spans="1:9" hidden="1" outlineLevel="2" x14ac:dyDescent="0.15">
      <c r="A4" s="2" t="s">
        <v>18</v>
      </c>
      <c r="B4" s="2" t="s">
        <v>8</v>
      </c>
      <c r="C4" s="2" t="s">
        <v>9</v>
      </c>
      <c r="D4" s="3">
        <v>930</v>
      </c>
      <c r="E4" s="2">
        <v>818.5</v>
      </c>
      <c r="F4" s="3">
        <v>445</v>
      </c>
      <c r="G4" s="3">
        <v>945</v>
      </c>
      <c r="H4" s="3">
        <v>230</v>
      </c>
      <c r="I4" s="4">
        <f>D4+E4+F4+G4-H4</f>
        <v>2908.5</v>
      </c>
    </row>
    <row r="5" spans="1:9" outlineLevel="1" collapsed="1" x14ac:dyDescent="0.15">
      <c r="A5" s="2"/>
      <c r="B5" s="2"/>
      <c r="C5" s="15" t="s">
        <v>97</v>
      </c>
      <c r="D5" s="3"/>
      <c r="E5" s="2"/>
      <c r="F5" s="3"/>
      <c r="G5" s="3">
        <f>SUBTOTAL(4,G3:G4)</f>
        <v>945</v>
      </c>
      <c r="H5" s="3"/>
      <c r="I5" s="4">
        <f>SUBTOTAL(4,I3:I4)</f>
        <v>2908.5</v>
      </c>
    </row>
    <row r="6" spans="1:9" hidden="1" outlineLevel="2" x14ac:dyDescent="0.15">
      <c r="A6" s="2" t="s">
        <v>38</v>
      </c>
      <c r="B6" s="2" t="s">
        <v>8</v>
      </c>
      <c r="C6" s="2" t="s">
        <v>4</v>
      </c>
      <c r="D6" s="3">
        <v>837</v>
      </c>
      <c r="E6" s="2">
        <v>518.12</v>
      </c>
      <c r="F6" s="3">
        <v>435</v>
      </c>
      <c r="G6" s="3">
        <v>765</v>
      </c>
      <c r="H6" s="3">
        <v>110</v>
      </c>
      <c r="I6" s="4">
        <f>D6+E6+F6+G6-H6</f>
        <v>2445.12</v>
      </c>
    </row>
    <row r="7" spans="1:9" hidden="1" outlineLevel="2" x14ac:dyDescent="0.15">
      <c r="A7" s="2" t="s">
        <v>20</v>
      </c>
      <c r="B7" s="2" t="s">
        <v>3</v>
      </c>
      <c r="C7" s="2" t="s">
        <v>4</v>
      </c>
      <c r="D7" s="3">
        <v>490</v>
      </c>
      <c r="E7" s="2">
        <v>317.88</v>
      </c>
      <c r="F7" s="3">
        <v>600</v>
      </c>
      <c r="G7" s="3">
        <v>600</v>
      </c>
      <c r="H7" s="3">
        <v>0</v>
      </c>
      <c r="I7" s="4">
        <f>D7+E7+F7+G7-H7</f>
        <v>2007.88</v>
      </c>
    </row>
    <row r="8" spans="1:9" hidden="1" outlineLevel="2" x14ac:dyDescent="0.15">
      <c r="A8" s="2" t="s">
        <v>48</v>
      </c>
      <c r="B8" s="2" t="s">
        <v>3</v>
      </c>
      <c r="C8" s="2" t="s">
        <v>4</v>
      </c>
      <c r="D8" s="3">
        <v>914</v>
      </c>
      <c r="E8" s="2">
        <v>317.88</v>
      </c>
      <c r="F8" s="3">
        <v>390</v>
      </c>
      <c r="G8" s="3">
        <v>810</v>
      </c>
      <c r="H8" s="3">
        <v>90</v>
      </c>
      <c r="I8" s="4">
        <f>D8+E8+F8+G8-H8</f>
        <v>2341.88</v>
      </c>
    </row>
    <row r="9" spans="1:9" hidden="1" outlineLevel="2" x14ac:dyDescent="0.15">
      <c r="A9" s="2" t="s">
        <v>35</v>
      </c>
      <c r="B9" s="2" t="s">
        <v>11</v>
      </c>
      <c r="C9" s="2" t="s">
        <v>4</v>
      </c>
      <c r="D9" s="3">
        <v>620</v>
      </c>
      <c r="E9" s="2">
        <v>754.43</v>
      </c>
      <c r="F9" s="3">
        <v>300</v>
      </c>
      <c r="G9" s="3">
        <v>900</v>
      </c>
      <c r="H9" s="3">
        <v>200</v>
      </c>
      <c r="I9" s="4">
        <f>D9+E9+F9+G9-H9</f>
        <v>2374.4299999999998</v>
      </c>
    </row>
    <row r="10" spans="1:9" hidden="1" outlineLevel="2" x14ac:dyDescent="0.15">
      <c r="A10" s="2" t="s">
        <v>15</v>
      </c>
      <c r="B10" s="2" t="s">
        <v>8</v>
      </c>
      <c r="C10" s="2" t="s">
        <v>4</v>
      </c>
      <c r="D10" s="3">
        <v>910</v>
      </c>
      <c r="E10" s="2">
        <v>397.57</v>
      </c>
      <c r="F10" s="3">
        <v>420</v>
      </c>
      <c r="G10" s="3">
        <v>780</v>
      </c>
      <c r="H10" s="3">
        <v>120</v>
      </c>
      <c r="I10" s="4">
        <f>D10+E10+F10+G10-H10</f>
        <v>2387.5699999999997</v>
      </c>
    </row>
    <row r="11" spans="1:9" hidden="1" outlineLevel="2" x14ac:dyDescent="0.15">
      <c r="A11" s="2" t="s">
        <v>45</v>
      </c>
      <c r="B11" s="2" t="s">
        <v>8</v>
      </c>
      <c r="C11" s="2" t="s">
        <v>4</v>
      </c>
      <c r="D11" s="3">
        <v>380</v>
      </c>
      <c r="E11" s="2">
        <v>405.73</v>
      </c>
      <c r="F11" s="3">
        <v>600</v>
      </c>
      <c r="G11" s="3">
        <v>600</v>
      </c>
      <c r="H11" s="3">
        <v>0</v>
      </c>
      <c r="I11" s="4">
        <f>D11+E11+F11+G11-H11</f>
        <v>1985.73</v>
      </c>
    </row>
    <row r="12" spans="1:9" hidden="1" outlineLevel="2" x14ac:dyDescent="0.15">
      <c r="A12" s="2" t="s">
        <v>28</v>
      </c>
      <c r="B12" s="2" t="s">
        <v>8</v>
      </c>
      <c r="C12" s="2" t="s">
        <v>4</v>
      </c>
      <c r="D12" s="3">
        <v>550</v>
      </c>
      <c r="E12" s="2">
        <v>413.65</v>
      </c>
      <c r="F12" s="3">
        <v>375</v>
      </c>
      <c r="G12" s="3">
        <v>825</v>
      </c>
      <c r="H12" s="3">
        <v>150</v>
      </c>
      <c r="I12" s="4">
        <f>D12+E12+F12+G12-H12</f>
        <v>2013.65</v>
      </c>
    </row>
    <row r="13" spans="1:9" hidden="1" outlineLevel="2" x14ac:dyDescent="0.15">
      <c r="A13" s="2" t="s">
        <v>43</v>
      </c>
      <c r="B13" s="2" t="s">
        <v>17</v>
      </c>
      <c r="C13" s="2" t="s">
        <v>4</v>
      </c>
      <c r="D13" s="3">
        <v>914</v>
      </c>
      <c r="E13" s="2">
        <v>419.88</v>
      </c>
      <c r="F13" s="3">
        <v>375</v>
      </c>
      <c r="G13" s="3">
        <v>825</v>
      </c>
      <c r="H13" s="3">
        <v>150</v>
      </c>
      <c r="I13" s="4">
        <f>D13+E13+F13+G13-H13</f>
        <v>2383.88</v>
      </c>
    </row>
    <row r="14" spans="1:9" hidden="1" outlineLevel="2" x14ac:dyDescent="0.15">
      <c r="A14" s="2" t="s">
        <v>22</v>
      </c>
      <c r="B14" s="2" t="s">
        <v>3</v>
      </c>
      <c r="C14" s="2" t="s">
        <v>4</v>
      </c>
      <c r="D14" s="3">
        <v>580</v>
      </c>
      <c r="E14" s="2">
        <v>317.88</v>
      </c>
      <c r="F14" s="3">
        <v>415</v>
      </c>
      <c r="G14" s="3">
        <v>915</v>
      </c>
      <c r="H14" s="3">
        <v>150</v>
      </c>
      <c r="I14" s="4">
        <f>D14+E14+F14+G14-H14</f>
        <v>2077.88</v>
      </c>
    </row>
    <row r="15" spans="1:9" hidden="1" outlineLevel="2" x14ac:dyDescent="0.15">
      <c r="A15" s="2" t="s">
        <v>29</v>
      </c>
      <c r="B15" s="2" t="s">
        <v>3</v>
      </c>
      <c r="C15" s="2" t="s">
        <v>4</v>
      </c>
      <c r="D15" s="3">
        <v>808</v>
      </c>
      <c r="E15" s="2">
        <v>561.17999999999995</v>
      </c>
      <c r="F15" s="3">
        <v>375</v>
      </c>
      <c r="G15" s="3">
        <v>825</v>
      </c>
      <c r="H15" s="3">
        <v>150</v>
      </c>
      <c r="I15" s="4">
        <f>D15+E15+F15+G15-H15</f>
        <v>2419.1799999999998</v>
      </c>
    </row>
    <row r="16" spans="1:9" hidden="1" outlineLevel="2" x14ac:dyDescent="0.15">
      <c r="A16" s="2" t="s">
        <v>53</v>
      </c>
      <c r="B16" s="2" t="s">
        <v>3</v>
      </c>
      <c r="C16" s="2" t="s">
        <v>4</v>
      </c>
      <c r="D16" s="3">
        <v>639</v>
      </c>
      <c r="E16" s="2">
        <v>317.88</v>
      </c>
      <c r="F16" s="3">
        <v>345</v>
      </c>
      <c r="G16" s="3">
        <v>855</v>
      </c>
      <c r="H16" s="3">
        <v>10</v>
      </c>
      <c r="I16" s="4">
        <f>D16+E16+F16+G16-H16</f>
        <v>2146.88</v>
      </c>
    </row>
    <row r="17" spans="1:9" outlineLevel="1" collapsed="1" x14ac:dyDescent="0.15">
      <c r="A17" s="2"/>
      <c r="B17" s="2"/>
      <c r="C17" s="15" t="s">
        <v>98</v>
      </c>
      <c r="D17" s="3"/>
      <c r="E17" s="2"/>
      <c r="F17" s="3"/>
      <c r="G17" s="3">
        <f>SUBTOTAL(4,G6:G16)</f>
        <v>915</v>
      </c>
      <c r="H17" s="3"/>
      <c r="I17" s="4">
        <f>SUBTOTAL(4,I6:I16)</f>
        <v>2445.12</v>
      </c>
    </row>
    <row r="18" spans="1:9" hidden="1" outlineLevel="2" x14ac:dyDescent="0.15">
      <c r="A18" s="2" t="s">
        <v>14</v>
      </c>
      <c r="B18" s="2" t="s">
        <v>3</v>
      </c>
      <c r="C18" s="2" t="s">
        <v>6</v>
      </c>
      <c r="D18" s="3">
        <v>754</v>
      </c>
      <c r="E18" s="2">
        <v>413.97</v>
      </c>
      <c r="F18" s="3">
        <v>300</v>
      </c>
      <c r="G18" s="3">
        <v>900</v>
      </c>
      <c r="H18" s="3">
        <v>200</v>
      </c>
      <c r="I18" s="4">
        <f>D18+E18+F18+G18-H18</f>
        <v>2167.9700000000003</v>
      </c>
    </row>
    <row r="19" spans="1:9" hidden="1" outlineLevel="2" x14ac:dyDescent="0.15">
      <c r="A19" s="2" t="s">
        <v>36</v>
      </c>
      <c r="B19" s="2" t="s">
        <v>5</v>
      </c>
      <c r="C19" s="2" t="s">
        <v>6</v>
      </c>
      <c r="D19" s="3">
        <v>630</v>
      </c>
      <c r="E19" s="2">
        <v>393.87</v>
      </c>
      <c r="F19" s="3">
        <v>390</v>
      </c>
      <c r="G19" s="3">
        <v>810</v>
      </c>
      <c r="H19" s="3">
        <v>140</v>
      </c>
      <c r="I19" s="4">
        <f>D19+E19+F19+G19-H19</f>
        <v>2083.87</v>
      </c>
    </row>
    <row r="20" spans="1:9" hidden="1" outlineLevel="2" x14ac:dyDescent="0.15">
      <c r="A20" s="2" t="s">
        <v>31</v>
      </c>
      <c r="B20" s="2" t="s">
        <v>7</v>
      </c>
      <c r="C20" s="2" t="s">
        <v>6</v>
      </c>
      <c r="D20" s="3">
        <v>600</v>
      </c>
      <c r="E20" s="2">
        <v>285.94</v>
      </c>
      <c r="F20" s="3">
        <v>345</v>
      </c>
      <c r="G20" s="3">
        <v>855</v>
      </c>
      <c r="H20" s="3">
        <v>170</v>
      </c>
      <c r="I20" s="4">
        <f>D20+E20+F20+G20-H20</f>
        <v>1915.94</v>
      </c>
    </row>
    <row r="21" spans="1:9" hidden="1" outlineLevel="2" x14ac:dyDescent="0.15">
      <c r="A21" s="2" t="s">
        <v>42</v>
      </c>
      <c r="B21" s="2" t="s">
        <v>7</v>
      </c>
      <c r="C21" s="2" t="s">
        <v>6</v>
      </c>
      <c r="D21" s="3">
        <v>936</v>
      </c>
      <c r="E21" s="2">
        <v>225.5</v>
      </c>
      <c r="F21" s="3">
        <v>345</v>
      </c>
      <c r="G21" s="3">
        <v>855</v>
      </c>
      <c r="H21" s="3">
        <v>170</v>
      </c>
      <c r="I21" s="4">
        <f>D21+E21+F21+G21-H21</f>
        <v>2191.5</v>
      </c>
    </row>
    <row r="22" spans="1:9" hidden="1" outlineLevel="2" x14ac:dyDescent="0.15">
      <c r="A22" s="2" t="s">
        <v>50</v>
      </c>
      <c r="B22" s="2" t="s">
        <v>7</v>
      </c>
      <c r="C22" s="2" t="s">
        <v>6</v>
      </c>
      <c r="D22" s="3">
        <v>450</v>
      </c>
      <c r="E22" s="2">
        <v>207.99</v>
      </c>
      <c r="F22" s="3">
        <v>375</v>
      </c>
      <c r="G22" s="3">
        <v>825</v>
      </c>
      <c r="H22" s="3">
        <v>170</v>
      </c>
      <c r="I22" s="4">
        <f>D22+E22+F22+G22-H22</f>
        <v>1687.99</v>
      </c>
    </row>
    <row r="23" spans="1:9" hidden="1" outlineLevel="2" x14ac:dyDescent="0.15">
      <c r="A23" s="2" t="s">
        <v>21</v>
      </c>
      <c r="B23" s="2" t="s">
        <v>3</v>
      </c>
      <c r="C23" s="2" t="s">
        <v>6</v>
      </c>
      <c r="D23" s="3">
        <v>567</v>
      </c>
      <c r="E23" s="2">
        <v>269.58999999999997</v>
      </c>
      <c r="F23" s="3">
        <v>300</v>
      </c>
      <c r="G23" s="3">
        <v>600</v>
      </c>
      <c r="H23" s="3">
        <v>0</v>
      </c>
      <c r="I23" s="4">
        <f>D23+E23+F23+G23-H23</f>
        <v>1736.59</v>
      </c>
    </row>
    <row r="24" spans="1:9" hidden="1" outlineLevel="2" x14ac:dyDescent="0.15">
      <c r="A24" s="2" t="s">
        <v>30</v>
      </c>
      <c r="B24" s="2" t="s">
        <v>5</v>
      </c>
      <c r="C24" s="2" t="s">
        <v>6</v>
      </c>
      <c r="D24" s="3">
        <v>670</v>
      </c>
      <c r="E24" s="2">
        <v>405.51</v>
      </c>
      <c r="F24" s="3">
        <v>435</v>
      </c>
      <c r="G24" s="3">
        <v>765</v>
      </c>
      <c r="H24" s="3">
        <v>110</v>
      </c>
      <c r="I24" s="4">
        <f>D24+E24+F24+G24-H24</f>
        <v>2165.5100000000002</v>
      </c>
    </row>
    <row r="25" spans="1:9" hidden="1" outlineLevel="2" x14ac:dyDescent="0.15">
      <c r="A25" s="2" t="s">
        <v>47</v>
      </c>
      <c r="B25" s="2" t="s">
        <v>7</v>
      </c>
      <c r="C25" s="2" t="s">
        <v>6</v>
      </c>
      <c r="D25" s="3">
        <v>936</v>
      </c>
      <c r="E25" s="2">
        <v>207.99</v>
      </c>
      <c r="F25" s="3">
        <v>300</v>
      </c>
      <c r="G25" s="3">
        <v>900</v>
      </c>
      <c r="H25" s="3">
        <v>120</v>
      </c>
      <c r="I25" s="4">
        <f>D25+E25+F25+G25-H25</f>
        <v>2223.9899999999998</v>
      </c>
    </row>
    <row r="26" spans="1:9" hidden="1" outlineLevel="2" x14ac:dyDescent="0.15">
      <c r="A26" s="2" t="s">
        <v>19</v>
      </c>
      <c r="B26" s="2" t="s">
        <v>7</v>
      </c>
      <c r="C26" s="2" t="s">
        <v>6</v>
      </c>
      <c r="D26" s="3">
        <v>520</v>
      </c>
      <c r="E26" s="2">
        <v>207.99</v>
      </c>
      <c r="F26" s="3">
        <v>510</v>
      </c>
      <c r="G26" s="3">
        <v>690</v>
      </c>
      <c r="H26" s="3">
        <v>60</v>
      </c>
      <c r="I26" s="4">
        <f>D26+E26+F26+G26-H26</f>
        <v>1867.99</v>
      </c>
    </row>
    <row r="27" spans="1:9" hidden="1" outlineLevel="2" x14ac:dyDescent="0.15">
      <c r="A27" s="2" t="s">
        <v>41</v>
      </c>
      <c r="B27" s="2" t="s">
        <v>7</v>
      </c>
      <c r="C27" s="2" t="s">
        <v>6</v>
      </c>
      <c r="D27" s="3">
        <v>930</v>
      </c>
      <c r="E27" s="2">
        <v>626.88</v>
      </c>
      <c r="F27" s="3">
        <v>405</v>
      </c>
      <c r="G27" s="3">
        <v>795</v>
      </c>
      <c r="H27" s="3">
        <v>130</v>
      </c>
      <c r="I27" s="4">
        <f>D27+E27+F27+G27-H27</f>
        <v>2626.88</v>
      </c>
    </row>
    <row r="28" spans="1:9" hidden="1" outlineLevel="2" x14ac:dyDescent="0.15">
      <c r="A28" s="2" t="s">
        <v>40</v>
      </c>
      <c r="B28" s="2" t="s">
        <v>3</v>
      </c>
      <c r="C28" s="2" t="s">
        <v>6</v>
      </c>
      <c r="D28" s="3">
        <v>550</v>
      </c>
      <c r="E28" s="2">
        <v>250.49</v>
      </c>
      <c r="F28" s="3">
        <v>415</v>
      </c>
      <c r="G28" s="3">
        <v>915</v>
      </c>
      <c r="H28" s="3">
        <v>210</v>
      </c>
      <c r="I28" s="4">
        <f>D28+E28+F28+G28-H28</f>
        <v>1920.4899999999998</v>
      </c>
    </row>
    <row r="29" spans="1:9" hidden="1" outlineLevel="2" x14ac:dyDescent="0.15">
      <c r="A29" s="2" t="s">
        <v>37</v>
      </c>
      <c r="B29" s="2" t="s">
        <v>7</v>
      </c>
      <c r="C29" s="2" t="s">
        <v>6</v>
      </c>
      <c r="D29" s="3">
        <v>815</v>
      </c>
      <c r="E29" s="2">
        <v>463.33</v>
      </c>
      <c r="F29" s="3">
        <v>495</v>
      </c>
      <c r="G29" s="3">
        <v>705</v>
      </c>
      <c r="H29" s="3">
        <v>70</v>
      </c>
      <c r="I29" s="4">
        <f>D29+E29+F29+G29-H29</f>
        <v>2408.33</v>
      </c>
    </row>
    <row r="30" spans="1:9" hidden="1" outlineLevel="2" x14ac:dyDescent="0.15">
      <c r="A30" s="2" t="s">
        <v>39</v>
      </c>
      <c r="B30" s="2" t="s">
        <v>7</v>
      </c>
      <c r="C30" s="2" t="s">
        <v>6</v>
      </c>
      <c r="D30" s="3">
        <v>580</v>
      </c>
      <c r="E30" s="2">
        <v>218.72</v>
      </c>
      <c r="F30" s="3">
        <v>420</v>
      </c>
      <c r="G30" s="3">
        <v>780</v>
      </c>
      <c r="H30" s="3">
        <v>120</v>
      </c>
      <c r="I30" s="4">
        <f>D30+E30+F30+G30-H30</f>
        <v>1878.72</v>
      </c>
    </row>
    <row r="31" spans="1:9" hidden="1" outlineLevel="2" x14ac:dyDescent="0.15">
      <c r="A31" s="2" t="s">
        <v>44</v>
      </c>
      <c r="B31" s="2" t="s">
        <v>3</v>
      </c>
      <c r="C31" s="2" t="s">
        <v>6</v>
      </c>
      <c r="D31" s="3">
        <v>949</v>
      </c>
      <c r="E31" s="2">
        <v>390.19</v>
      </c>
      <c r="F31" s="3">
        <v>540</v>
      </c>
      <c r="G31" s="3">
        <v>660</v>
      </c>
      <c r="H31" s="3">
        <v>40</v>
      </c>
      <c r="I31" s="4">
        <f>D31+E31+F31+G31-H31</f>
        <v>2499.19</v>
      </c>
    </row>
    <row r="32" spans="1:9" hidden="1" outlineLevel="2" x14ac:dyDescent="0.15">
      <c r="A32" s="2" t="s">
        <v>49</v>
      </c>
      <c r="B32" s="2" t="s">
        <v>3</v>
      </c>
      <c r="C32" s="2" t="s">
        <v>6</v>
      </c>
      <c r="D32" s="3">
        <v>930</v>
      </c>
      <c r="E32" s="2">
        <v>269.58999999999997</v>
      </c>
      <c r="F32" s="3">
        <v>420</v>
      </c>
      <c r="G32" s="3">
        <v>780</v>
      </c>
      <c r="H32" s="3">
        <v>270</v>
      </c>
      <c r="I32" s="4">
        <f>D32+E32+F32+G32-H32</f>
        <v>2129.59</v>
      </c>
    </row>
    <row r="33" spans="1:9" hidden="1" outlineLevel="2" x14ac:dyDescent="0.15">
      <c r="A33" s="2" t="s">
        <v>27</v>
      </c>
      <c r="B33" s="2" t="s">
        <v>5</v>
      </c>
      <c r="C33" s="2" t="s">
        <v>6</v>
      </c>
      <c r="D33" s="3">
        <v>910</v>
      </c>
      <c r="E33" s="2">
        <v>807.19</v>
      </c>
      <c r="F33" s="3">
        <v>465</v>
      </c>
      <c r="G33" s="3">
        <v>735</v>
      </c>
      <c r="H33" s="3">
        <v>90</v>
      </c>
      <c r="I33" s="4">
        <f>D33+E33+F33+G33-H33</f>
        <v>2827.19</v>
      </c>
    </row>
    <row r="34" spans="1:9" hidden="1" outlineLevel="2" x14ac:dyDescent="0.15">
      <c r="A34" s="2" t="s">
        <v>52</v>
      </c>
      <c r="B34" s="2" t="s">
        <v>7</v>
      </c>
      <c r="C34" s="2" t="s">
        <v>6</v>
      </c>
      <c r="D34" s="3">
        <v>550</v>
      </c>
      <c r="E34" s="2">
        <v>207.99</v>
      </c>
      <c r="F34" s="3">
        <v>505</v>
      </c>
      <c r="G34" s="3">
        <v>1005</v>
      </c>
      <c r="H34" s="3">
        <v>40</v>
      </c>
      <c r="I34" s="4">
        <f>D34+E34+F34+G34-H34</f>
        <v>2227.9899999999998</v>
      </c>
    </row>
    <row r="35" spans="1:9" hidden="1" outlineLevel="2" x14ac:dyDescent="0.15">
      <c r="A35" s="2" t="s">
        <v>32</v>
      </c>
      <c r="B35" s="2" t="s">
        <v>3</v>
      </c>
      <c r="C35" s="2" t="s">
        <v>6</v>
      </c>
      <c r="D35" s="3">
        <v>929</v>
      </c>
      <c r="E35" s="2">
        <v>475.61</v>
      </c>
      <c r="F35" s="3">
        <v>315</v>
      </c>
      <c r="G35" s="3">
        <v>885</v>
      </c>
      <c r="H35" s="3">
        <v>190</v>
      </c>
      <c r="I35" s="4">
        <f>D35+E35+F35+G35-H35</f>
        <v>2414.61</v>
      </c>
    </row>
    <row r="36" spans="1:9" hidden="1" outlineLevel="2" x14ac:dyDescent="0.15">
      <c r="A36" s="2" t="s">
        <v>13</v>
      </c>
      <c r="B36" s="2" t="s">
        <v>7</v>
      </c>
      <c r="C36" s="2" t="s">
        <v>6</v>
      </c>
      <c r="D36" s="3">
        <v>639</v>
      </c>
      <c r="E36" s="2">
        <v>330.51</v>
      </c>
      <c r="F36" s="3">
        <v>360</v>
      </c>
      <c r="G36" s="3">
        <v>840</v>
      </c>
      <c r="H36" s="3">
        <v>160</v>
      </c>
      <c r="I36" s="4">
        <f>D36+E36+F36+G36-H36</f>
        <v>2009.5100000000002</v>
      </c>
    </row>
    <row r="37" spans="1:9" hidden="1" outlineLevel="2" x14ac:dyDescent="0.15">
      <c r="A37" s="2" t="s">
        <v>12</v>
      </c>
      <c r="B37" s="2" t="s">
        <v>5</v>
      </c>
      <c r="C37" s="2" t="s">
        <v>6</v>
      </c>
      <c r="D37" s="3">
        <v>450</v>
      </c>
      <c r="E37" s="2">
        <v>318.95</v>
      </c>
      <c r="F37" s="3">
        <v>405</v>
      </c>
      <c r="G37" s="3">
        <v>795</v>
      </c>
      <c r="H37" s="3">
        <v>130</v>
      </c>
      <c r="I37" s="4">
        <f>D37+E37+F37+G37-H37</f>
        <v>1838.95</v>
      </c>
    </row>
    <row r="38" spans="1:9" hidden="1" outlineLevel="2" x14ac:dyDescent="0.15">
      <c r="A38" s="2" t="s">
        <v>51</v>
      </c>
      <c r="B38" s="2" t="s">
        <v>3</v>
      </c>
      <c r="C38" s="2" t="s">
        <v>6</v>
      </c>
      <c r="D38" s="3">
        <v>550</v>
      </c>
      <c r="E38" s="2">
        <v>269.58999999999997</v>
      </c>
      <c r="F38" s="3">
        <v>465</v>
      </c>
      <c r="G38" s="3">
        <v>735</v>
      </c>
      <c r="H38" s="3">
        <v>230</v>
      </c>
      <c r="I38" s="4">
        <f>D38+E38+F38+G38-H38</f>
        <v>1789.59</v>
      </c>
    </row>
    <row r="39" spans="1:9" hidden="1" outlineLevel="2" x14ac:dyDescent="0.15">
      <c r="A39" s="2" t="s">
        <v>46</v>
      </c>
      <c r="B39" s="2" t="s">
        <v>3</v>
      </c>
      <c r="C39" s="2" t="s">
        <v>6</v>
      </c>
      <c r="D39" s="3">
        <v>430</v>
      </c>
      <c r="E39" s="2">
        <v>269.58999999999997</v>
      </c>
      <c r="F39" s="3">
        <v>465</v>
      </c>
      <c r="G39" s="3">
        <v>735</v>
      </c>
      <c r="H39" s="3">
        <v>90</v>
      </c>
      <c r="I39" s="4">
        <f>D39+E39+F39+G39-H39</f>
        <v>1809.59</v>
      </c>
    </row>
    <row r="40" spans="1:9" outlineLevel="1" collapsed="1" x14ac:dyDescent="0.15">
      <c r="A40" s="2"/>
      <c r="B40" s="2"/>
      <c r="C40" s="15" t="s">
        <v>99</v>
      </c>
      <c r="D40" s="3"/>
      <c r="E40" s="2"/>
      <c r="F40" s="3"/>
      <c r="G40" s="3">
        <f>SUBTOTAL(4,G18:G39)</f>
        <v>1005</v>
      </c>
      <c r="H40" s="3"/>
      <c r="I40" s="4">
        <f>SUBTOTAL(4,I18:I39)</f>
        <v>2827.19</v>
      </c>
    </row>
    <row r="41" spans="1:9" hidden="1" outlineLevel="2" x14ac:dyDescent="0.15">
      <c r="A41" s="2" t="s">
        <v>54</v>
      </c>
      <c r="B41" s="2" t="s">
        <v>5</v>
      </c>
      <c r="C41" s="2" t="s">
        <v>10</v>
      </c>
      <c r="D41" s="3">
        <v>480</v>
      </c>
      <c r="E41" s="2">
        <v>336.5</v>
      </c>
      <c r="F41" s="3">
        <v>345</v>
      </c>
      <c r="G41" s="3">
        <v>855</v>
      </c>
      <c r="H41" s="3">
        <v>170</v>
      </c>
      <c r="I41" s="4">
        <f>D41+E41+F41+G41-H41</f>
        <v>1846.5</v>
      </c>
    </row>
    <row r="42" spans="1:9" hidden="1" outlineLevel="2" x14ac:dyDescent="0.15">
      <c r="A42" s="2" t="s">
        <v>16</v>
      </c>
      <c r="B42" s="2" t="s">
        <v>5</v>
      </c>
      <c r="C42" s="2" t="s">
        <v>10</v>
      </c>
      <c r="D42" s="3">
        <v>945</v>
      </c>
      <c r="E42" s="2">
        <v>267.19</v>
      </c>
      <c r="F42" s="3">
        <v>505</v>
      </c>
      <c r="G42" s="3">
        <v>1005</v>
      </c>
      <c r="H42" s="3">
        <v>270</v>
      </c>
      <c r="I42" s="4">
        <f>D42+E42+F42+G42-H42</f>
        <v>2452.19</v>
      </c>
    </row>
    <row r="43" spans="1:9" hidden="1" outlineLevel="2" x14ac:dyDescent="0.15">
      <c r="A43" s="2" t="s">
        <v>34</v>
      </c>
      <c r="B43" s="2" t="s">
        <v>5</v>
      </c>
      <c r="C43" s="2" t="s">
        <v>10</v>
      </c>
      <c r="D43" s="3">
        <v>650</v>
      </c>
      <c r="E43" s="2">
        <v>661.15</v>
      </c>
      <c r="F43" s="3">
        <v>330</v>
      </c>
      <c r="G43" s="3">
        <v>870</v>
      </c>
      <c r="H43" s="3">
        <v>180</v>
      </c>
      <c r="I43" s="4">
        <f>D43+E43+F43+G43-H43</f>
        <v>2331.15</v>
      </c>
    </row>
    <row r="44" spans="1:9" outlineLevel="1" collapsed="1" x14ac:dyDescent="0.15">
      <c r="A44" s="2"/>
      <c r="B44" s="2"/>
      <c r="C44" s="15" t="s">
        <v>100</v>
      </c>
      <c r="D44" s="3"/>
      <c r="E44" s="2"/>
      <c r="F44" s="3"/>
      <c r="G44" s="3">
        <f>SUBTOTAL(4,G41:G43)</f>
        <v>1005</v>
      </c>
      <c r="H44" s="3"/>
      <c r="I44" s="4">
        <f>SUBTOTAL(4,I41:I43)</f>
        <v>2452.19</v>
      </c>
    </row>
    <row r="45" spans="1:9" x14ac:dyDescent="0.15">
      <c r="A45" s="2"/>
      <c r="B45" s="2"/>
      <c r="C45" s="15" t="s">
        <v>101</v>
      </c>
      <c r="D45" s="3"/>
      <c r="E45" s="2"/>
      <c r="F45" s="3"/>
      <c r="G45" s="3">
        <f>SUBTOTAL(4,G3:G43)</f>
        <v>1005</v>
      </c>
      <c r="H45" s="3"/>
      <c r="I45" s="4">
        <f>SUBTOTAL(4,I3:I43)</f>
        <v>2908.5</v>
      </c>
    </row>
  </sheetData>
  <sortState ref="A3:I40">
    <sortCondition ref="C3:C40"/>
    <sortCondition ref="A3:A40"/>
  </sortState>
  <mergeCells count="1">
    <mergeCell ref="A1:I1"/>
  </mergeCells>
  <phoneticPr fontId="5" type="noConversion"/>
  <conditionalFormatting sqref="I3:I45">
    <cfRule type="cellIs" dxfId="0" priority="1" operator="greaterThan">
      <formula>2000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K7" sqref="K7"/>
    </sheetView>
  </sheetViews>
  <sheetFormatPr defaultRowHeight="14.25" x14ac:dyDescent="0.15"/>
  <sheetData/>
  <phoneticPr fontId="5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工资统计表</vt:lpstr>
      <vt:lpstr>Sheet2</vt:lpstr>
      <vt:lpstr>筛选</vt:lpstr>
      <vt:lpstr>分类汇总</vt:lpstr>
      <vt:lpstr>图表</vt:lpstr>
      <vt:lpstr>筛选!Criteria</vt:lpstr>
      <vt:lpstr>筛选!提取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1996-12-17T01:32:42Z</dcterms:created>
  <dcterms:modified xsi:type="dcterms:W3CDTF">2018-09-04T08:19:12Z</dcterms:modified>
</cp:coreProperties>
</file>