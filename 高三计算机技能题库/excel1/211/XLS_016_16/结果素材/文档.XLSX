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checkCompatibility="1" defaultThemeVersion="124226"/>
  <bookViews>
    <workbookView xWindow="480" yWindow="120" windowWidth="8505" windowHeight="4530" activeTab="3"/>
  </bookViews>
  <sheets>
    <sheet name="劳动局人员月工资表" sheetId="1" r:id="rId1"/>
    <sheet name="不同职务人员基本工资比较表" sheetId="2" r:id="rId2"/>
    <sheet name="筛选" sheetId="3" r:id="rId3"/>
    <sheet name="图表" sheetId="4" r:id="rId4"/>
  </sheets>
  <definedNames>
    <definedName name="_xlnm.Criteria" localSheetId="2">筛选!$A$1:$B$2</definedName>
    <definedName name="_xlnm.Extract" localSheetId="2">筛选!$A$7:$J$7</definedName>
  </definedNames>
  <calcPr calcId="144525"/>
</workbook>
</file>

<file path=xl/calcChain.xml><?xml version="1.0" encoding="utf-8"?>
<calcChain xmlns="http://schemas.openxmlformats.org/spreadsheetml/2006/main">
  <c r="C5" i="2" l="1"/>
  <c r="C4" i="2"/>
  <c r="C3" i="2"/>
  <c r="B5" i="2"/>
  <c r="B4" i="2"/>
  <c r="B3" i="2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3" i="1"/>
  <c r="J9" i="1"/>
  <c r="J17" i="1"/>
  <c r="J11" i="1"/>
  <c r="J7" i="1"/>
  <c r="J12" i="1"/>
  <c r="J18" i="1"/>
  <c r="J16" i="1"/>
  <c r="J14" i="1"/>
  <c r="J8" i="1"/>
  <c r="J19" i="1"/>
  <c r="J10" i="1"/>
  <c r="J21" i="1"/>
  <c r="J6" i="1"/>
  <c r="J13" i="1"/>
  <c r="J20" i="1"/>
  <c r="J5" i="1"/>
  <c r="J15" i="1"/>
  <c r="J4" i="1"/>
</calcChain>
</file>

<file path=xl/sharedStrings.xml><?xml version="1.0" encoding="utf-8"?>
<sst xmlns="http://schemas.openxmlformats.org/spreadsheetml/2006/main" count="243" uniqueCount="86">
  <si>
    <t>工号</t>
  </si>
  <si>
    <t>姓名</t>
  </si>
  <si>
    <t>性别</t>
  </si>
  <si>
    <t>出生日期</t>
  </si>
  <si>
    <t>职务</t>
  </si>
  <si>
    <t>基本工资</t>
  </si>
  <si>
    <t>职务工资</t>
  </si>
  <si>
    <t>加班工资</t>
  </si>
  <si>
    <t>扣除</t>
  </si>
  <si>
    <t>实发工资</t>
  </si>
  <si>
    <t>GH4002</t>
  </si>
  <si>
    <t>沈小鹏</t>
  </si>
  <si>
    <t>男</t>
  </si>
  <si>
    <t>1954.9.10</t>
  </si>
  <si>
    <t>科长</t>
  </si>
  <si>
    <t>GH4003</t>
  </si>
  <si>
    <t>张东生</t>
  </si>
  <si>
    <t>1953.4.25</t>
  </si>
  <si>
    <t>GH4004</t>
  </si>
  <si>
    <t>周吉</t>
  </si>
  <si>
    <t>女</t>
  </si>
  <si>
    <t>1954.12.24</t>
  </si>
  <si>
    <t>副科长</t>
  </si>
  <si>
    <t>GH4005</t>
  </si>
  <si>
    <t>李前奏</t>
  </si>
  <si>
    <t>1972.8.20</t>
  </si>
  <si>
    <t>科员</t>
  </si>
  <si>
    <t>GH4006</t>
  </si>
  <si>
    <t>姚万华</t>
  </si>
  <si>
    <t>1970.10.24</t>
  </si>
  <si>
    <t>GH4007</t>
  </si>
  <si>
    <t>钟丽华</t>
  </si>
  <si>
    <t>1970.8.12</t>
  </si>
  <si>
    <t>GH4008</t>
  </si>
  <si>
    <t>GH4009</t>
  </si>
  <si>
    <t>GH4010</t>
  </si>
  <si>
    <t>GH4011</t>
  </si>
  <si>
    <t>GH4012</t>
  </si>
  <si>
    <t>GH4013</t>
  </si>
  <si>
    <t>GH4014</t>
  </si>
  <si>
    <t>GH4015</t>
  </si>
  <si>
    <t>GH4016</t>
  </si>
  <si>
    <t>GH4017</t>
  </si>
  <si>
    <t>GH4018</t>
  </si>
  <si>
    <t>GH4019</t>
  </si>
  <si>
    <t>GH4020</t>
  </si>
  <si>
    <t>女</t>
    <phoneticPr fontId="1" type="noConversion"/>
  </si>
  <si>
    <t>陆正飞</t>
    <phoneticPr fontId="1" type="noConversion"/>
  </si>
  <si>
    <t>施燕</t>
    <phoneticPr fontId="1" type="noConversion"/>
  </si>
  <si>
    <t>男</t>
    <phoneticPr fontId="1" type="noConversion"/>
  </si>
  <si>
    <t>1976.10.5</t>
    <phoneticPr fontId="1" type="noConversion"/>
  </si>
  <si>
    <t>1977.1.3</t>
    <phoneticPr fontId="1" type="noConversion"/>
  </si>
  <si>
    <t>1965.3.2</t>
    <phoneticPr fontId="1" type="noConversion"/>
  </si>
  <si>
    <t>1977.4.5</t>
    <phoneticPr fontId="1" type="noConversion"/>
  </si>
  <si>
    <t>1966.2.8</t>
    <phoneticPr fontId="1" type="noConversion"/>
  </si>
  <si>
    <t>1987.4.14</t>
    <phoneticPr fontId="1" type="noConversion"/>
  </si>
  <si>
    <t>1965.11.5</t>
    <phoneticPr fontId="1" type="noConversion"/>
  </si>
  <si>
    <t>1979.5.15</t>
    <phoneticPr fontId="1" type="noConversion"/>
  </si>
  <si>
    <t>1980.3.6</t>
    <phoneticPr fontId="1" type="noConversion"/>
  </si>
  <si>
    <t>1960.7.21</t>
    <phoneticPr fontId="1" type="noConversion"/>
  </si>
  <si>
    <t>1964.5.6</t>
    <phoneticPr fontId="1" type="noConversion"/>
  </si>
  <si>
    <t>1970.8.20</t>
    <phoneticPr fontId="1" type="noConversion"/>
  </si>
  <si>
    <t>科长</t>
    <phoneticPr fontId="1" type="noConversion"/>
  </si>
  <si>
    <t>姜小波</t>
    <phoneticPr fontId="1" type="noConversion"/>
  </si>
  <si>
    <t>1988.11.25</t>
    <phoneticPr fontId="1" type="noConversion"/>
  </si>
  <si>
    <t>副科长</t>
    <phoneticPr fontId="1" type="noConversion"/>
  </si>
  <si>
    <t>朱飞鹰</t>
    <phoneticPr fontId="1" type="noConversion"/>
  </si>
  <si>
    <t>叶庆</t>
    <phoneticPr fontId="1" type="noConversion"/>
  </si>
  <si>
    <t>朱小红</t>
    <phoneticPr fontId="1" type="noConversion"/>
  </si>
  <si>
    <t>康邵一</t>
    <phoneticPr fontId="1" type="noConversion"/>
  </si>
  <si>
    <t>仇欣欣</t>
    <phoneticPr fontId="1" type="noConversion"/>
  </si>
  <si>
    <t>科员</t>
    <phoneticPr fontId="1" type="noConversion"/>
  </si>
  <si>
    <t>施佳美</t>
    <phoneticPr fontId="1" type="noConversion"/>
  </si>
  <si>
    <t>高美霞</t>
    <phoneticPr fontId="1" type="noConversion"/>
  </si>
  <si>
    <t>张旭</t>
    <phoneticPr fontId="1" type="noConversion"/>
  </si>
  <si>
    <t>李琳</t>
    <phoneticPr fontId="1" type="noConversion"/>
  </si>
  <si>
    <t>杨铁</t>
    <phoneticPr fontId="1" type="noConversion"/>
  </si>
  <si>
    <t>职务</t>
    <phoneticPr fontId="1" type="noConversion"/>
  </si>
  <si>
    <t>最低值</t>
    <phoneticPr fontId="1" type="noConversion"/>
  </si>
  <si>
    <t>平均值</t>
    <phoneticPr fontId="1" type="noConversion"/>
  </si>
  <si>
    <t>科长</t>
    <phoneticPr fontId="1" type="noConversion"/>
  </si>
  <si>
    <t>副科长</t>
    <phoneticPr fontId="1" type="noConversion"/>
  </si>
  <si>
    <t>职员</t>
    <phoneticPr fontId="1" type="noConversion"/>
  </si>
  <si>
    <t>不同职务人员基本工资的最低值与平均值比较表</t>
    <phoneticPr fontId="1" type="noConversion"/>
  </si>
  <si>
    <t>劳动局全体人员七月份工资汇总表</t>
  </si>
  <si>
    <r>
      <t>&gt;</t>
    </r>
    <r>
      <rPr>
        <sz val="12"/>
        <rFont val="宋体"/>
        <family val="3"/>
        <charset val="134"/>
      </rPr>
      <t>3450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</si>
</sst>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91" formatCode="0.0_ "/>
  </numFmts>
  <fonts count="8" x14ac:knownFonts="1">
    <font>
      <sz val="12"/>
      <name val="宋体"/>
      <charset val="134"/>
    </font>
    <font>
      <sz val="9"/>
      <name val="宋体"/>
      <charset val="134"/>
    </font>
    <font>
      <b/>
      <sz val="12"/>
      <color indexed="10"/>
      <name val="宋体"/>
      <charset val="134"/>
    </font>
    <font>
      <b/>
      <sz val="12"/>
      <name val="宋体"/>
      <charset val="134"/>
    </font>
    <font>
      <sz val="10"/>
      <name val="隶书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22"/>
      <color rgb="FFFF0000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rgb="FFFF0000"/>
      </left>
      <right style="thin">
        <color rgb="FF0070C0"/>
      </right>
      <top style="double">
        <color rgb="FFFF000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FF0000"/>
      </top>
      <bottom style="thin">
        <color rgb="FF0070C0"/>
      </bottom>
      <diagonal/>
    </border>
    <border>
      <left style="thin">
        <color rgb="FF0070C0"/>
      </left>
      <right style="double">
        <color rgb="FFFF0000"/>
      </right>
      <top style="double">
        <color rgb="FFFF0000"/>
      </top>
      <bottom style="thin">
        <color rgb="FF0070C0"/>
      </bottom>
      <diagonal/>
    </border>
    <border>
      <left style="double">
        <color rgb="FFFF000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FF0000"/>
      </right>
      <top style="thin">
        <color rgb="FF0070C0"/>
      </top>
      <bottom style="thin">
        <color rgb="FF0070C0"/>
      </bottom>
      <diagonal/>
    </border>
    <border>
      <left style="double">
        <color rgb="FFFF0000"/>
      </left>
      <right style="thin">
        <color rgb="FF0070C0"/>
      </right>
      <top style="thin">
        <color rgb="FF0070C0"/>
      </top>
      <bottom style="double">
        <color rgb="FFFF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FF0000"/>
      </bottom>
      <diagonal/>
    </border>
    <border>
      <left style="thin">
        <color rgb="FF0070C0"/>
      </left>
      <right style="double">
        <color rgb="FFFF0000"/>
      </right>
      <top style="thin">
        <color rgb="FF0070C0"/>
      </top>
      <bottom style="double">
        <color rgb="FFFF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justify" vertical="top" wrapText="1"/>
    </xf>
    <xf numFmtId="0" fontId="4" fillId="0" borderId="4" xfId="0" applyFont="1" applyBorder="1" applyAlignment="1">
      <alignment horizontal="justify" vertical="top" wrapText="1"/>
    </xf>
    <xf numFmtId="0" fontId="4" fillId="0" borderId="5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justify" vertical="top" wrapText="1"/>
    </xf>
    <xf numFmtId="0" fontId="4" fillId="0" borderId="7" xfId="0" applyFont="1" applyBorder="1" applyAlignment="1">
      <alignment horizontal="justify" vertical="top" wrapText="1"/>
    </xf>
    <xf numFmtId="0" fontId="4" fillId="0" borderId="8" xfId="0" applyFont="1" applyBorder="1" applyAlignment="1">
      <alignment horizontal="justify" vertical="top" wrapText="1"/>
    </xf>
    <xf numFmtId="0" fontId="4" fillId="0" borderId="7" xfId="0" applyFont="1" applyFill="1" applyBorder="1" applyAlignment="1">
      <alignment horizontal="justify" vertical="top" wrapText="1"/>
    </xf>
    <xf numFmtId="0" fontId="4" fillId="0" borderId="7" xfId="0" applyFont="1" applyBorder="1"/>
    <xf numFmtId="0" fontId="4" fillId="0" borderId="7" xfId="0" applyFont="1" applyBorder="1" applyAlignment="1">
      <alignment horizontal="left"/>
    </xf>
    <xf numFmtId="0" fontId="4" fillId="0" borderId="9" xfId="0" applyFont="1" applyBorder="1" applyAlignment="1">
      <alignment horizontal="justify" vertical="top" wrapText="1"/>
    </xf>
    <xf numFmtId="0" fontId="4" fillId="0" borderId="10" xfId="0" applyFont="1" applyBorder="1"/>
    <xf numFmtId="0" fontId="4" fillId="0" borderId="10" xfId="0" applyFont="1" applyFill="1" applyBorder="1" applyAlignment="1">
      <alignment horizontal="justify" vertical="top" wrapText="1"/>
    </xf>
    <xf numFmtId="0" fontId="4" fillId="0" borderId="10" xfId="0" applyFont="1" applyBorder="1" applyAlignment="1">
      <alignment horizontal="justify" vertical="top" wrapText="1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justify" vertical="top" wrapText="1"/>
    </xf>
    <xf numFmtId="0" fontId="7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5" fillId="0" borderId="0" xfId="0" applyFont="1"/>
    <xf numFmtId="191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实发工资比较图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图表!$J$2</c:f>
              <c:strCache>
                <c:ptCount val="1"/>
                <c:pt idx="0">
                  <c:v>实发工资</c:v>
                </c:pt>
              </c:strCache>
            </c:strRef>
          </c:tx>
          <c:invertIfNegative val="0"/>
          <c:cat>
            <c:strRef>
              <c:f>图表!$B$3:$B$7</c:f>
              <c:strCache>
                <c:ptCount val="5"/>
                <c:pt idx="0">
                  <c:v>沈小鹏</c:v>
                </c:pt>
                <c:pt idx="1">
                  <c:v>张东生</c:v>
                </c:pt>
                <c:pt idx="2">
                  <c:v>周吉</c:v>
                </c:pt>
                <c:pt idx="3">
                  <c:v>李前奏</c:v>
                </c:pt>
                <c:pt idx="4">
                  <c:v>姚万华</c:v>
                </c:pt>
              </c:strCache>
            </c:strRef>
          </c:cat>
          <c:val>
            <c:numRef>
              <c:f>图表!$J$3:$J$7</c:f>
              <c:numCache>
                <c:formatCode>General</c:formatCode>
                <c:ptCount val="5"/>
                <c:pt idx="0">
                  <c:v>4500</c:v>
                </c:pt>
                <c:pt idx="1">
                  <c:v>4068.8</c:v>
                </c:pt>
                <c:pt idx="2">
                  <c:v>2877</c:v>
                </c:pt>
                <c:pt idx="3">
                  <c:v>2255</c:v>
                </c:pt>
                <c:pt idx="4">
                  <c:v>2918.7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0540800"/>
        <c:axId val="60542336"/>
        <c:axId val="0"/>
      </c:bar3DChart>
      <c:catAx>
        <c:axId val="60540800"/>
        <c:scaling>
          <c:orientation val="minMax"/>
        </c:scaling>
        <c:delete val="0"/>
        <c:axPos val="b"/>
        <c:majorTickMark val="out"/>
        <c:minorTickMark val="none"/>
        <c:tickLblPos val="nextTo"/>
        <c:crossAx val="60542336"/>
        <c:crosses val="autoZero"/>
        <c:auto val="1"/>
        <c:lblAlgn val="ctr"/>
        <c:lblOffset val="100"/>
        <c:noMultiLvlLbl val="0"/>
      </c:catAx>
      <c:valAx>
        <c:axId val="6054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0540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55561</xdr:colOff>
      <xdr:row>0</xdr:row>
      <xdr:rowOff>128588</xdr:rowOff>
    </xdr:from>
    <xdr:to>
      <xdr:col>18</xdr:col>
      <xdr:colOff>650874</xdr:colOff>
      <xdr:row>10</xdr:row>
      <xdr:rowOff>134938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2"/>
  <sheetViews>
    <sheetView zoomScale="120" zoomScaleNormal="120" zoomScalePageLayoutView="110" workbookViewId="0">
      <selection activeCell="E3" sqref="E3:F4"/>
    </sheetView>
  </sheetViews>
  <sheetFormatPr defaultRowHeight="14.25" x14ac:dyDescent="0.15"/>
  <cols>
    <col min="3" max="3" width="6.5" customWidth="1"/>
    <col min="4" max="4" width="10.5" customWidth="1"/>
    <col min="8" max="8" width="8.625" bestFit="1" customWidth="1"/>
  </cols>
  <sheetData>
    <row r="1" spans="1:10" ht="32.25" thickBot="1" x14ac:dyDescent="0.6">
      <c r="A1" s="19" t="s">
        <v>84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" thickTop="1" x14ac:dyDescent="0.1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6" t="s">
        <v>9</v>
      </c>
    </row>
    <row r="3" spans="1:10" x14ac:dyDescent="0.15">
      <c r="A3" s="7" t="s">
        <v>15</v>
      </c>
      <c r="B3" s="8" t="s">
        <v>16</v>
      </c>
      <c r="C3" s="8" t="s">
        <v>12</v>
      </c>
      <c r="D3" s="8" t="s">
        <v>17</v>
      </c>
      <c r="E3" s="8" t="s">
        <v>14</v>
      </c>
      <c r="F3" s="8">
        <v>3450</v>
      </c>
      <c r="G3" s="8">
        <v>570</v>
      </c>
      <c r="H3" s="8">
        <v>79</v>
      </c>
      <c r="I3" s="8">
        <v>30.2</v>
      </c>
      <c r="J3" s="9">
        <f>F3+G3+H3-I3</f>
        <v>4068.8</v>
      </c>
    </row>
    <row r="4" spans="1:10" x14ac:dyDescent="0.15">
      <c r="A4" s="7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8">
        <v>3450</v>
      </c>
      <c r="G4" s="8">
        <v>570</v>
      </c>
      <c r="H4" s="8">
        <v>500.5</v>
      </c>
      <c r="I4" s="8">
        <v>20.5</v>
      </c>
      <c r="J4" s="9">
        <f>F4+G4+H4-I4</f>
        <v>4500</v>
      </c>
    </row>
    <row r="5" spans="1:10" x14ac:dyDescent="0.15">
      <c r="A5" s="7" t="s">
        <v>44</v>
      </c>
      <c r="B5" s="11" t="s">
        <v>48</v>
      </c>
      <c r="C5" s="10" t="s">
        <v>46</v>
      </c>
      <c r="D5" s="8" t="s">
        <v>59</v>
      </c>
      <c r="E5" s="11" t="s">
        <v>62</v>
      </c>
      <c r="F5" s="12">
        <v>3460</v>
      </c>
      <c r="G5" s="12">
        <v>550</v>
      </c>
      <c r="H5" s="12">
        <v>155</v>
      </c>
      <c r="I5" s="12">
        <v>42</v>
      </c>
      <c r="J5" s="9">
        <f>F5+G5+H5-I5</f>
        <v>4123</v>
      </c>
    </row>
    <row r="6" spans="1:10" x14ac:dyDescent="0.15">
      <c r="A6" s="7" t="s">
        <v>41</v>
      </c>
      <c r="B6" s="10" t="s">
        <v>47</v>
      </c>
      <c r="C6" s="10" t="s">
        <v>49</v>
      </c>
      <c r="D6" s="8" t="s">
        <v>56</v>
      </c>
      <c r="E6" s="11" t="s">
        <v>62</v>
      </c>
      <c r="F6" s="12">
        <v>3480</v>
      </c>
      <c r="G6" s="12">
        <v>546</v>
      </c>
      <c r="H6" s="12">
        <v>180</v>
      </c>
      <c r="I6" s="12">
        <v>15</v>
      </c>
      <c r="J6" s="9">
        <f>F6+G6+H6-I6</f>
        <v>4191</v>
      </c>
    </row>
    <row r="7" spans="1:10" x14ac:dyDescent="0.15">
      <c r="A7" s="7" t="s">
        <v>30</v>
      </c>
      <c r="B7" s="8" t="s">
        <v>31</v>
      </c>
      <c r="C7" s="8" t="s">
        <v>20</v>
      </c>
      <c r="D7" s="8" t="s">
        <v>32</v>
      </c>
      <c r="E7" s="8" t="s">
        <v>14</v>
      </c>
      <c r="F7" s="8">
        <v>3420</v>
      </c>
      <c r="G7" s="8">
        <v>500</v>
      </c>
      <c r="H7" s="8">
        <v>127</v>
      </c>
      <c r="I7" s="8">
        <v>78</v>
      </c>
      <c r="J7" s="9">
        <f>F7+G7+H7-I7</f>
        <v>3969</v>
      </c>
    </row>
    <row r="8" spans="1:10" x14ac:dyDescent="0.15">
      <c r="A8" s="7" t="s">
        <v>37</v>
      </c>
      <c r="B8" s="10" t="s">
        <v>66</v>
      </c>
      <c r="C8" s="10" t="s">
        <v>49</v>
      </c>
      <c r="D8" s="8" t="s">
        <v>61</v>
      </c>
      <c r="E8" s="11" t="s">
        <v>62</v>
      </c>
      <c r="F8" s="12">
        <v>2500</v>
      </c>
      <c r="G8" s="12">
        <v>550</v>
      </c>
      <c r="H8" s="12">
        <v>200</v>
      </c>
      <c r="I8" s="12">
        <v>22</v>
      </c>
      <c r="J8" s="9">
        <f>F8+G8+H8-I8</f>
        <v>3228</v>
      </c>
    </row>
    <row r="9" spans="1:10" x14ac:dyDescent="0.15">
      <c r="A9" s="7" t="s">
        <v>18</v>
      </c>
      <c r="B9" s="8" t="s">
        <v>19</v>
      </c>
      <c r="C9" s="8" t="s">
        <v>20</v>
      </c>
      <c r="D9" s="8" t="s">
        <v>21</v>
      </c>
      <c r="E9" s="8" t="s">
        <v>22</v>
      </c>
      <c r="F9" s="8">
        <v>2300</v>
      </c>
      <c r="G9" s="8">
        <v>456</v>
      </c>
      <c r="H9" s="8">
        <v>157.5</v>
      </c>
      <c r="I9" s="8">
        <v>36.5</v>
      </c>
      <c r="J9" s="9">
        <f>F9+G9+H9-I9</f>
        <v>2877</v>
      </c>
    </row>
    <row r="10" spans="1:10" x14ac:dyDescent="0.15">
      <c r="A10" s="7" t="s">
        <v>39</v>
      </c>
      <c r="B10" s="10" t="s">
        <v>69</v>
      </c>
      <c r="C10" s="10" t="s">
        <v>46</v>
      </c>
      <c r="D10" s="8" t="s">
        <v>54</v>
      </c>
      <c r="E10" s="11" t="s">
        <v>65</v>
      </c>
      <c r="F10" s="12">
        <v>2350</v>
      </c>
      <c r="G10" s="12">
        <v>455</v>
      </c>
      <c r="H10" s="12">
        <v>272</v>
      </c>
      <c r="I10" s="12">
        <v>78</v>
      </c>
      <c r="J10" s="9">
        <f>F10+G10+H10-I10</f>
        <v>2999</v>
      </c>
    </row>
    <row r="11" spans="1:10" x14ac:dyDescent="0.15">
      <c r="A11" s="7" t="s">
        <v>27</v>
      </c>
      <c r="B11" s="8" t="s">
        <v>28</v>
      </c>
      <c r="C11" s="8" t="s">
        <v>20</v>
      </c>
      <c r="D11" s="8" t="s">
        <v>29</v>
      </c>
      <c r="E11" s="8" t="s">
        <v>22</v>
      </c>
      <c r="F11" s="8">
        <v>2438</v>
      </c>
      <c r="G11" s="8">
        <v>452</v>
      </c>
      <c r="H11" s="8">
        <v>35.5</v>
      </c>
      <c r="I11" s="8">
        <v>6.8</v>
      </c>
      <c r="J11" s="9">
        <f>F11+G11+H11-I11</f>
        <v>2918.7</v>
      </c>
    </row>
    <row r="12" spans="1:10" x14ac:dyDescent="0.15">
      <c r="A12" s="7" t="s">
        <v>33</v>
      </c>
      <c r="B12" s="10" t="s">
        <v>68</v>
      </c>
      <c r="C12" s="10" t="s">
        <v>46</v>
      </c>
      <c r="D12" s="8" t="s">
        <v>50</v>
      </c>
      <c r="E12" s="11" t="s">
        <v>65</v>
      </c>
      <c r="F12" s="12">
        <v>2258</v>
      </c>
      <c r="G12" s="12">
        <v>450</v>
      </c>
      <c r="H12" s="12">
        <v>230</v>
      </c>
      <c r="I12" s="12">
        <v>52</v>
      </c>
      <c r="J12" s="9">
        <f>F12+G12+H12-I12</f>
        <v>2886</v>
      </c>
    </row>
    <row r="13" spans="1:10" x14ac:dyDescent="0.15">
      <c r="A13" s="7" t="s">
        <v>42</v>
      </c>
      <c r="B13" s="11" t="s">
        <v>67</v>
      </c>
      <c r="C13" s="10" t="s">
        <v>46</v>
      </c>
      <c r="D13" s="8" t="s">
        <v>57</v>
      </c>
      <c r="E13" s="11" t="s">
        <v>65</v>
      </c>
      <c r="F13" s="12">
        <v>2380</v>
      </c>
      <c r="G13" s="12">
        <v>460</v>
      </c>
      <c r="H13" s="12">
        <v>200</v>
      </c>
      <c r="I13" s="12">
        <v>40</v>
      </c>
      <c r="J13" s="9">
        <f>F13+G13+H13-I13</f>
        <v>3000</v>
      </c>
    </row>
    <row r="14" spans="1:10" x14ac:dyDescent="0.15">
      <c r="A14" s="7" t="s">
        <v>36</v>
      </c>
      <c r="B14" s="10" t="s">
        <v>63</v>
      </c>
      <c r="C14" s="10" t="s">
        <v>49</v>
      </c>
      <c r="D14" s="8" t="s">
        <v>64</v>
      </c>
      <c r="E14" s="11" t="s">
        <v>65</v>
      </c>
      <c r="F14" s="12">
        <v>3200</v>
      </c>
      <c r="G14" s="12">
        <v>450</v>
      </c>
      <c r="H14" s="12">
        <v>187</v>
      </c>
      <c r="I14" s="12">
        <v>84</v>
      </c>
      <c r="J14" s="9">
        <f>F14+G14+H14-I14</f>
        <v>3753</v>
      </c>
    </row>
    <row r="15" spans="1:10" x14ac:dyDescent="0.15">
      <c r="A15" s="7" t="s">
        <v>45</v>
      </c>
      <c r="B15" s="11" t="s">
        <v>70</v>
      </c>
      <c r="C15" s="10" t="s">
        <v>46</v>
      </c>
      <c r="D15" s="8" t="s">
        <v>60</v>
      </c>
      <c r="E15" s="11" t="s">
        <v>71</v>
      </c>
      <c r="F15" s="12">
        <v>1845</v>
      </c>
      <c r="G15" s="12">
        <v>180</v>
      </c>
      <c r="H15" s="12">
        <v>324</v>
      </c>
      <c r="I15" s="12">
        <v>0</v>
      </c>
      <c r="J15" s="9">
        <f>F15+G15+H15-I15</f>
        <v>2349</v>
      </c>
    </row>
    <row r="16" spans="1:10" x14ac:dyDescent="0.15">
      <c r="A16" s="7" t="s">
        <v>35</v>
      </c>
      <c r="B16" s="10" t="s">
        <v>73</v>
      </c>
      <c r="C16" s="10" t="s">
        <v>46</v>
      </c>
      <c r="D16" s="8" t="s">
        <v>52</v>
      </c>
      <c r="E16" s="11" t="s">
        <v>71</v>
      </c>
      <c r="F16" s="12">
        <v>1900</v>
      </c>
      <c r="G16" s="12">
        <v>178</v>
      </c>
      <c r="H16" s="12">
        <v>156</v>
      </c>
      <c r="I16" s="12">
        <v>0</v>
      </c>
      <c r="J16" s="9">
        <f>F16+G16+H16-I16</f>
        <v>2234</v>
      </c>
    </row>
    <row r="17" spans="1:10" x14ac:dyDescent="0.15">
      <c r="A17" s="7" t="s">
        <v>23</v>
      </c>
      <c r="B17" s="8" t="s">
        <v>24</v>
      </c>
      <c r="C17" s="8" t="s">
        <v>12</v>
      </c>
      <c r="D17" s="8" t="s">
        <v>25</v>
      </c>
      <c r="E17" s="8" t="s">
        <v>26</v>
      </c>
      <c r="F17" s="8">
        <v>2050</v>
      </c>
      <c r="G17" s="8">
        <v>120</v>
      </c>
      <c r="H17" s="8">
        <v>106</v>
      </c>
      <c r="I17" s="8">
        <v>21</v>
      </c>
      <c r="J17" s="9">
        <f>F17+G17+H17-I17</f>
        <v>2255</v>
      </c>
    </row>
    <row r="18" spans="1:10" x14ac:dyDescent="0.15">
      <c r="A18" s="7" t="s">
        <v>34</v>
      </c>
      <c r="B18" s="10" t="s">
        <v>75</v>
      </c>
      <c r="C18" s="10" t="s">
        <v>46</v>
      </c>
      <c r="D18" s="8" t="s">
        <v>51</v>
      </c>
      <c r="E18" s="11" t="s">
        <v>71</v>
      </c>
      <c r="F18" s="12">
        <v>1950</v>
      </c>
      <c r="G18" s="12">
        <v>180</v>
      </c>
      <c r="H18" s="12">
        <v>100</v>
      </c>
      <c r="I18" s="12">
        <v>46</v>
      </c>
      <c r="J18" s="9">
        <f>F18+G18+H18-I18</f>
        <v>2184</v>
      </c>
    </row>
    <row r="19" spans="1:10" x14ac:dyDescent="0.15">
      <c r="A19" s="7" t="s">
        <v>38</v>
      </c>
      <c r="B19" s="10" t="s">
        <v>74</v>
      </c>
      <c r="C19" s="10" t="s">
        <v>49</v>
      </c>
      <c r="D19" s="8" t="s">
        <v>53</v>
      </c>
      <c r="E19" s="11" t="s">
        <v>71</v>
      </c>
      <c r="F19" s="12">
        <v>1862</v>
      </c>
      <c r="G19" s="12">
        <v>175</v>
      </c>
      <c r="H19" s="12">
        <v>178</v>
      </c>
      <c r="I19" s="12">
        <v>0</v>
      </c>
      <c r="J19" s="9">
        <f>F19+G19+H19-I19</f>
        <v>2215</v>
      </c>
    </row>
    <row r="20" spans="1:10" x14ac:dyDescent="0.15">
      <c r="A20" s="7" t="s">
        <v>43</v>
      </c>
      <c r="B20" s="11" t="s">
        <v>72</v>
      </c>
      <c r="C20" s="10" t="s">
        <v>46</v>
      </c>
      <c r="D20" s="8" t="s">
        <v>58</v>
      </c>
      <c r="E20" s="11" t="s">
        <v>71</v>
      </c>
      <c r="F20" s="12">
        <v>1832</v>
      </c>
      <c r="G20" s="12">
        <v>200</v>
      </c>
      <c r="H20" s="12">
        <v>278</v>
      </c>
      <c r="I20" s="12">
        <v>25</v>
      </c>
      <c r="J20" s="9">
        <f>F20+G20+H20-I20</f>
        <v>2285</v>
      </c>
    </row>
    <row r="21" spans="1:10" ht="15" thickBot="1" x14ac:dyDescent="0.2">
      <c r="A21" s="13" t="s">
        <v>40</v>
      </c>
      <c r="B21" s="15" t="s">
        <v>76</v>
      </c>
      <c r="C21" s="15" t="s">
        <v>49</v>
      </c>
      <c r="D21" s="16" t="s">
        <v>55</v>
      </c>
      <c r="E21" s="14" t="s">
        <v>71</v>
      </c>
      <c r="F21" s="17">
        <v>1845</v>
      </c>
      <c r="G21" s="17">
        <v>165</v>
      </c>
      <c r="H21" s="17">
        <v>145</v>
      </c>
      <c r="I21" s="17">
        <v>26</v>
      </c>
      <c r="J21" s="18">
        <f>F21+G21+H21-I21</f>
        <v>2129</v>
      </c>
    </row>
    <row r="22" spans="1:10" ht="15" thickTop="1" x14ac:dyDescent="0.15"/>
  </sheetData>
  <sortState ref="A3:J21">
    <sortCondition ref="E3:E21" customList="科长,副科长,科员"/>
    <sortCondition ref="D3:D21"/>
  </sortState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&amp;C工资汇总表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5"/>
  <sheetViews>
    <sheetView workbookViewId="0">
      <selection activeCell="C3" sqref="C3:C5"/>
    </sheetView>
  </sheetViews>
  <sheetFormatPr defaultRowHeight="14.25" x14ac:dyDescent="0.15"/>
  <cols>
    <col min="1" max="1" width="16.25" customWidth="1"/>
    <col min="2" max="2" width="16.375" customWidth="1"/>
    <col min="3" max="3" width="18" customWidth="1"/>
  </cols>
  <sheetData>
    <row r="1" spans="1:3" ht="26.25" customHeight="1" x14ac:dyDescent="0.15">
      <c r="A1" s="3" t="s">
        <v>83</v>
      </c>
      <c r="B1" s="3"/>
      <c r="C1" s="3"/>
    </row>
    <row r="2" spans="1:3" ht="26.25" customHeight="1" x14ac:dyDescent="0.15">
      <c r="A2" s="1" t="s">
        <v>77</v>
      </c>
      <c r="B2" s="1" t="s">
        <v>78</v>
      </c>
      <c r="C2" s="1" t="s">
        <v>79</v>
      </c>
    </row>
    <row r="3" spans="1:3" ht="26.25" customHeight="1" x14ac:dyDescent="0.15">
      <c r="A3" s="2" t="s">
        <v>80</v>
      </c>
      <c r="B3" s="2">
        <f>MIN(劳动局人员月工资表!$F$3:$F$8)</f>
        <v>2500</v>
      </c>
      <c r="C3" s="22">
        <f>AVERAGE(劳动局人员月工资表!$F$3:$F$8)</f>
        <v>3293.3333333333335</v>
      </c>
    </row>
    <row r="4" spans="1:3" ht="26.25" customHeight="1" x14ac:dyDescent="0.15">
      <c r="A4" s="2" t="s">
        <v>81</v>
      </c>
      <c r="B4" s="2">
        <f>MIN(劳动局人员月工资表!$F$9:$F$14)</f>
        <v>2258</v>
      </c>
      <c r="C4" s="22">
        <f>AVERAGE(劳动局人员月工资表!$F$9:$F$14)</f>
        <v>2487.6666666666665</v>
      </c>
    </row>
    <row r="5" spans="1:3" ht="26.25" customHeight="1" x14ac:dyDescent="0.15">
      <c r="A5" s="2" t="s">
        <v>82</v>
      </c>
      <c r="B5" s="2">
        <f>MIN(劳动局人员月工资表!$F$15:$F$21)</f>
        <v>1832</v>
      </c>
      <c r="C5" s="22">
        <f>AVERAGE(劳动局人员月工资表!$F$15:$F$21)</f>
        <v>1897.7142857142858</v>
      </c>
    </row>
  </sheetData>
  <mergeCells count="1">
    <mergeCell ref="A1:C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9"/>
  <sheetViews>
    <sheetView workbookViewId="0">
      <selection activeCell="O13" sqref="O13"/>
    </sheetView>
  </sheetViews>
  <sheetFormatPr defaultRowHeight="14.25" x14ac:dyDescent="0.15"/>
  <sheetData>
    <row r="1" spans="1:10" ht="15" thickTop="1" x14ac:dyDescent="0.15">
      <c r="A1" s="5" t="s">
        <v>4</v>
      </c>
      <c r="B1" s="5" t="s">
        <v>5</v>
      </c>
    </row>
    <row r="2" spans="1:10" x14ac:dyDescent="0.15">
      <c r="A2" s="8" t="s">
        <v>14</v>
      </c>
      <c r="B2" s="21" t="s">
        <v>85</v>
      </c>
    </row>
    <row r="6" spans="1:10" ht="15" thickBot="1" x14ac:dyDescent="0.2"/>
    <row r="7" spans="1:10" ht="15" thickTop="1" x14ac:dyDescent="0.15">
      <c r="A7" s="4" t="s">
        <v>0</v>
      </c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6" t="s">
        <v>9</v>
      </c>
    </row>
    <row r="8" spans="1:10" x14ac:dyDescent="0.15">
      <c r="A8" s="7" t="s">
        <v>41</v>
      </c>
      <c r="B8" s="10" t="s">
        <v>47</v>
      </c>
      <c r="C8" s="10" t="s">
        <v>49</v>
      </c>
      <c r="D8" s="8" t="s">
        <v>56</v>
      </c>
      <c r="E8" s="11" t="s">
        <v>62</v>
      </c>
      <c r="F8" s="12">
        <v>3480</v>
      </c>
      <c r="G8" s="12">
        <v>546</v>
      </c>
      <c r="H8" s="12">
        <v>180</v>
      </c>
      <c r="I8" s="12">
        <v>15</v>
      </c>
      <c r="J8" s="9">
        <v>4191</v>
      </c>
    </row>
    <row r="9" spans="1:10" x14ac:dyDescent="0.15">
      <c r="A9" s="7" t="s">
        <v>44</v>
      </c>
      <c r="B9" s="11" t="s">
        <v>48</v>
      </c>
      <c r="C9" s="10" t="s">
        <v>46</v>
      </c>
      <c r="D9" s="8" t="s">
        <v>59</v>
      </c>
      <c r="E9" s="11" t="s">
        <v>62</v>
      </c>
      <c r="F9" s="12">
        <v>3460</v>
      </c>
      <c r="G9" s="12">
        <v>550</v>
      </c>
      <c r="H9" s="12">
        <v>155</v>
      </c>
      <c r="I9" s="12">
        <v>42</v>
      </c>
      <c r="J9" s="9">
        <v>4123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zoomScale="120" zoomScaleNormal="120" zoomScalePageLayoutView="110" workbookViewId="0">
      <selection activeCell="T17" sqref="T17"/>
    </sheetView>
  </sheetViews>
  <sheetFormatPr defaultRowHeight="14.25" x14ac:dyDescent="0.15"/>
  <cols>
    <col min="3" max="3" width="6.5" customWidth="1"/>
    <col min="4" max="4" width="10.5" customWidth="1"/>
    <col min="8" max="8" width="8.625" bestFit="1" customWidth="1"/>
  </cols>
  <sheetData>
    <row r="1" spans="1:10" ht="32.25" thickBot="1" x14ac:dyDescent="0.6">
      <c r="A1" s="19" t="s">
        <v>84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" thickTop="1" x14ac:dyDescent="0.1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6" t="s">
        <v>9</v>
      </c>
    </row>
    <row r="3" spans="1:10" x14ac:dyDescent="0.15">
      <c r="A3" s="7" t="s">
        <v>10</v>
      </c>
      <c r="B3" s="8" t="s">
        <v>11</v>
      </c>
      <c r="C3" s="8" t="s">
        <v>12</v>
      </c>
      <c r="D3" s="8" t="s">
        <v>13</v>
      </c>
      <c r="E3" s="8" t="s">
        <v>14</v>
      </c>
      <c r="F3" s="8">
        <v>3450</v>
      </c>
      <c r="G3" s="8">
        <v>570</v>
      </c>
      <c r="H3" s="8">
        <v>500.5</v>
      </c>
      <c r="I3" s="8">
        <v>20.5</v>
      </c>
      <c r="J3" s="9">
        <f>F3+G3+H3-I3</f>
        <v>4500</v>
      </c>
    </row>
    <row r="4" spans="1:10" x14ac:dyDescent="0.15">
      <c r="A4" s="7" t="s">
        <v>15</v>
      </c>
      <c r="B4" s="8" t="s">
        <v>16</v>
      </c>
      <c r="C4" s="8" t="s">
        <v>12</v>
      </c>
      <c r="D4" s="8" t="s">
        <v>17</v>
      </c>
      <c r="E4" s="8" t="s">
        <v>14</v>
      </c>
      <c r="F4" s="8">
        <v>3450</v>
      </c>
      <c r="G4" s="8">
        <v>570</v>
      </c>
      <c r="H4" s="8">
        <v>79</v>
      </c>
      <c r="I4" s="8">
        <v>30.2</v>
      </c>
      <c r="J4" s="9">
        <f t="shared" ref="J4:J21" si="0">F4+G4+H4-I4</f>
        <v>4068.8</v>
      </c>
    </row>
    <row r="5" spans="1:10" x14ac:dyDescent="0.15">
      <c r="A5" s="7" t="s">
        <v>18</v>
      </c>
      <c r="B5" s="8" t="s">
        <v>19</v>
      </c>
      <c r="C5" s="8" t="s">
        <v>20</v>
      </c>
      <c r="D5" s="8" t="s">
        <v>21</v>
      </c>
      <c r="E5" s="8" t="s">
        <v>22</v>
      </c>
      <c r="F5" s="8">
        <v>2300</v>
      </c>
      <c r="G5" s="8">
        <v>456</v>
      </c>
      <c r="H5" s="8">
        <v>157.5</v>
      </c>
      <c r="I5" s="8">
        <v>36.5</v>
      </c>
      <c r="J5" s="9">
        <f t="shared" si="0"/>
        <v>2877</v>
      </c>
    </row>
    <row r="6" spans="1:10" x14ac:dyDescent="0.15">
      <c r="A6" s="7" t="s">
        <v>23</v>
      </c>
      <c r="B6" s="8" t="s">
        <v>24</v>
      </c>
      <c r="C6" s="8" t="s">
        <v>12</v>
      </c>
      <c r="D6" s="8" t="s">
        <v>25</v>
      </c>
      <c r="E6" s="8" t="s">
        <v>26</v>
      </c>
      <c r="F6" s="8">
        <v>2050</v>
      </c>
      <c r="G6" s="8">
        <v>120</v>
      </c>
      <c r="H6" s="8">
        <v>106</v>
      </c>
      <c r="I6" s="8">
        <v>21</v>
      </c>
      <c r="J6" s="9">
        <f t="shared" si="0"/>
        <v>2255</v>
      </c>
    </row>
    <row r="7" spans="1:10" x14ac:dyDescent="0.15">
      <c r="A7" s="7" t="s">
        <v>27</v>
      </c>
      <c r="B7" s="8" t="s">
        <v>28</v>
      </c>
      <c r="C7" s="8" t="s">
        <v>20</v>
      </c>
      <c r="D7" s="8" t="s">
        <v>29</v>
      </c>
      <c r="E7" s="8" t="s">
        <v>22</v>
      </c>
      <c r="F7" s="8">
        <v>2438</v>
      </c>
      <c r="G7" s="8">
        <v>452</v>
      </c>
      <c r="H7" s="8">
        <v>35.5</v>
      </c>
      <c r="I7" s="8">
        <v>6.8</v>
      </c>
      <c r="J7" s="9">
        <f t="shared" si="0"/>
        <v>2918.7</v>
      </c>
    </row>
    <row r="8" spans="1:10" x14ac:dyDescent="0.15">
      <c r="A8" s="7" t="s">
        <v>30</v>
      </c>
      <c r="B8" s="8" t="s">
        <v>31</v>
      </c>
      <c r="C8" s="8" t="s">
        <v>20</v>
      </c>
      <c r="D8" s="8" t="s">
        <v>32</v>
      </c>
      <c r="E8" s="8" t="s">
        <v>14</v>
      </c>
      <c r="F8" s="8">
        <v>3420</v>
      </c>
      <c r="G8" s="8">
        <v>500</v>
      </c>
      <c r="H8" s="8">
        <v>127</v>
      </c>
      <c r="I8" s="8">
        <v>78</v>
      </c>
      <c r="J8" s="9">
        <f t="shared" si="0"/>
        <v>3969</v>
      </c>
    </row>
    <row r="9" spans="1:10" x14ac:dyDescent="0.15">
      <c r="A9" s="7" t="s">
        <v>33</v>
      </c>
      <c r="B9" s="10" t="s">
        <v>68</v>
      </c>
      <c r="C9" s="10" t="s">
        <v>46</v>
      </c>
      <c r="D9" s="8" t="s">
        <v>50</v>
      </c>
      <c r="E9" s="11" t="s">
        <v>65</v>
      </c>
      <c r="F9" s="12">
        <v>2258</v>
      </c>
      <c r="G9" s="12">
        <v>450</v>
      </c>
      <c r="H9" s="12">
        <v>230</v>
      </c>
      <c r="I9" s="12">
        <v>52</v>
      </c>
      <c r="J9" s="9">
        <f t="shared" si="0"/>
        <v>2886</v>
      </c>
    </row>
    <row r="10" spans="1:10" x14ac:dyDescent="0.15">
      <c r="A10" s="7" t="s">
        <v>34</v>
      </c>
      <c r="B10" s="10" t="s">
        <v>75</v>
      </c>
      <c r="C10" s="10" t="s">
        <v>46</v>
      </c>
      <c r="D10" s="8" t="s">
        <v>51</v>
      </c>
      <c r="E10" s="11" t="s">
        <v>71</v>
      </c>
      <c r="F10" s="12">
        <v>1950</v>
      </c>
      <c r="G10" s="12">
        <v>180</v>
      </c>
      <c r="H10" s="12">
        <v>100</v>
      </c>
      <c r="I10" s="12">
        <v>46</v>
      </c>
      <c r="J10" s="9">
        <f t="shared" si="0"/>
        <v>2184</v>
      </c>
    </row>
    <row r="11" spans="1:10" x14ac:dyDescent="0.15">
      <c r="A11" s="7" t="s">
        <v>35</v>
      </c>
      <c r="B11" s="10" t="s">
        <v>73</v>
      </c>
      <c r="C11" s="10" t="s">
        <v>46</v>
      </c>
      <c r="D11" s="8" t="s">
        <v>52</v>
      </c>
      <c r="E11" s="11" t="s">
        <v>71</v>
      </c>
      <c r="F11" s="12">
        <v>1900</v>
      </c>
      <c r="G11" s="12">
        <v>178</v>
      </c>
      <c r="H11" s="12">
        <v>156</v>
      </c>
      <c r="I11" s="12">
        <v>0</v>
      </c>
      <c r="J11" s="9">
        <f t="shared" si="0"/>
        <v>2234</v>
      </c>
    </row>
    <row r="12" spans="1:10" x14ac:dyDescent="0.15">
      <c r="A12" s="7" t="s">
        <v>36</v>
      </c>
      <c r="B12" s="10" t="s">
        <v>63</v>
      </c>
      <c r="C12" s="10" t="s">
        <v>49</v>
      </c>
      <c r="D12" s="8" t="s">
        <v>64</v>
      </c>
      <c r="E12" s="11" t="s">
        <v>65</v>
      </c>
      <c r="F12" s="12">
        <v>3200</v>
      </c>
      <c r="G12" s="12">
        <v>450</v>
      </c>
      <c r="H12" s="12">
        <v>187</v>
      </c>
      <c r="I12" s="12">
        <v>84</v>
      </c>
      <c r="J12" s="9">
        <f t="shared" si="0"/>
        <v>3753</v>
      </c>
    </row>
    <row r="13" spans="1:10" x14ac:dyDescent="0.15">
      <c r="A13" s="7" t="s">
        <v>37</v>
      </c>
      <c r="B13" s="10" t="s">
        <v>66</v>
      </c>
      <c r="C13" s="10" t="s">
        <v>49</v>
      </c>
      <c r="D13" s="8" t="s">
        <v>61</v>
      </c>
      <c r="E13" s="11" t="s">
        <v>62</v>
      </c>
      <c r="F13" s="12">
        <v>2500</v>
      </c>
      <c r="G13" s="12">
        <v>550</v>
      </c>
      <c r="H13" s="12">
        <v>200</v>
      </c>
      <c r="I13" s="12">
        <v>22</v>
      </c>
      <c r="J13" s="9">
        <f t="shared" si="0"/>
        <v>3228</v>
      </c>
    </row>
    <row r="14" spans="1:10" x14ac:dyDescent="0.15">
      <c r="A14" s="7" t="s">
        <v>38</v>
      </c>
      <c r="B14" s="10" t="s">
        <v>74</v>
      </c>
      <c r="C14" s="10" t="s">
        <v>49</v>
      </c>
      <c r="D14" s="8" t="s">
        <v>53</v>
      </c>
      <c r="E14" s="11" t="s">
        <v>71</v>
      </c>
      <c r="F14" s="12">
        <v>1862</v>
      </c>
      <c r="G14" s="12">
        <v>175</v>
      </c>
      <c r="H14" s="12">
        <v>178</v>
      </c>
      <c r="I14" s="12">
        <v>0</v>
      </c>
      <c r="J14" s="9">
        <f t="shared" si="0"/>
        <v>2215</v>
      </c>
    </row>
    <row r="15" spans="1:10" x14ac:dyDescent="0.15">
      <c r="A15" s="7" t="s">
        <v>39</v>
      </c>
      <c r="B15" s="10" t="s">
        <v>69</v>
      </c>
      <c r="C15" s="10" t="s">
        <v>46</v>
      </c>
      <c r="D15" s="8" t="s">
        <v>54</v>
      </c>
      <c r="E15" s="11" t="s">
        <v>65</v>
      </c>
      <c r="F15" s="12">
        <v>2350</v>
      </c>
      <c r="G15" s="12">
        <v>455</v>
      </c>
      <c r="H15" s="12">
        <v>272</v>
      </c>
      <c r="I15" s="12">
        <v>78</v>
      </c>
      <c r="J15" s="9">
        <f t="shared" si="0"/>
        <v>2999</v>
      </c>
    </row>
    <row r="16" spans="1:10" x14ac:dyDescent="0.15">
      <c r="A16" s="7" t="s">
        <v>40</v>
      </c>
      <c r="B16" s="10" t="s">
        <v>76</v>
      </c>
      <c r="C16" s="10" t="s">
        <v>49</v>
      </c>
      <c r="D16" s="8" t="s">
        <v>55</v>
      </c>
      <c r="E16" s="11" t="s">
        <v>71</v>
      </c>
      <c r="F16" s="12">
        <v>1845</v>
      </c>
      <c r="G16" s="12">
        <v>165</v>
      </c>
      <c r="H16" s="12">
        <v>145</v>
      </c>
      <c r="I16" s="12">
        <v>26</v>
      </c>
      <c r="J16" s="9">
        <f t="shared" si="0"/>
        <v>2129</v>
      </c>
    </row>
    <row r="17" spans="1:10" x14ac:dyDescent="0.15">
      <c r="A17" s="7" t="s">
        <v>41</v>
      </c>
      <c r="B17" s="10" t="s">
        <v>47</v>
      </c>
      <c r="C17" s="10" t="s">
        <v>49</v>
      </c>
      <c r="D17" s="8" t="s">
        <v>56</v>
      </c>
      <c r="E17" s="11" t="s">
        <v>62</v>
      </c>
      <c r="F17" s="12">
        <v>3480</v>
      </c>
      <c r="G17" s="12">
        <v>546</v>
      </c>
      <c r="H17" s="12">
        <v>180</v>
      </c>
      <c r="I17" s="12">
        <v>15</v>
      </c>
      <c r="J17" s="9">
        <f t="shared" si="0"/>
        <v>4191</v>
      </c>
    </row>
    <row r="18" spans="1:10" x14ac:dyDescent="0.15">
      <c r="A18" s="7" t="s">
        <v>42</v>
      </c>
      <c r="B18" s="11" t="s">
        <v>67</v>
      </c>
      <c r="C18" s="10" t="s">
        <v>46</v>
      </c>
      <c r="D18" s="8" t="s">
        <v>57</v>
      </c>
      <c r="E18" s="11" t="s">
        <v>65</v>
      </c>
      <c r="F18" s="12">
        <v>2380</v>
      </c>
      <c r="G18" s="12">
        <v>460</v>
      </c>
      <c r="H18" s="12">
        <v>200</v>
      </c>
      <c r="I18" s="12">
        <v>40</v>
      </c>
      <c r="J18" s="9">
        <f t="shared" si="0"/>
        <v>3000</v>
      </c>
    </row>
    <row r="19" spans="1:10" x14ac:dyDescent="0.15">
      <c r="A19" s="7" t="s">
        <v>43</v>
      </c>
      <c r="B19" s="11" t="s">
        <v>72</v>
      </c>
      <c r="C19" s="10" t="s">
        <v>46</v>
      </c>
      <c r="D19" s="8" t="s">
        <v>58</v>
      </c>
      <c r="E19" s="11" t="s">
        <v>71</v>
      </c>
      <c r="F19" s="12">
        <v>1832</v>
      </c>
      <c r="G19" s="12">
        <v>200</v>
      </c>
      <c r="H19" s="12">
        <v>278</v>
      </c>
      <c r="I19" s="12">
        <v>25</v>
      </c>
      <c r="J19" s="9">
        <f t="shared" si="0"/>
        <v>2285</v>
      </c>
    </row>
    <row r="20" spans="1:10" x14ac:dyDescent="0.15">
      <c r="A20" s="7" t="s">
        <v>44</v>
      </c>
      <c r="B20" s="11" t="s">
        <v>48</v>
      </c>
      <c r="C20" s="10" t="s">
        <v>46</v>
      </c>
      <c r="D20" s="8" t="s">
        <v>59</v>
      </c>
      <c r="E20" s="11" t="s">
        <v>62</v>
      </c>
      <c r="F20" s="12">
        <v>3460</v>
      </c>
      <c r="G20" s="12">
        <v>550</v>
      </c>
      <c r="H20" s="12">
        <v>155</v>
      </c>
      <c r="I20" s="12">
        <v>42</v>
      </c>
      <c r="J20" s="9">
        <f t="shared" si="0"/>
        <v>4123</v>
      </c>
    </row>
    <row r="21" spans="1:10" ht="15" thickBot="1" x14ac:dyDescent="0.2">
      <c r="A21" s="13" t="s">
        <v>45</v>
      </c>
      <c r="B21" s="14" t="s">
        <v>70</v>
      </c>
      <c r="C21" s="15" t="s">
        <v>46</v>
      </c>
      <c r="D21" s="16" t="s">
        <v>60</v>
      </c>
      <c r="E21" s="14" t="s">
        <v>71</v>
      </c>
      <c r="F21" s="17">
        <v>1845</v>
      </c>
      <c r="G21" s="17">
        <v>180</v>
      </c>
      <c r="H21" s="17">
        <v>324</v>
      </c>
      <c r="I21" s="17">
        <v>0</v>
      </c>
      <c r="J21" s="18">
        <f t="shared" si="0"/>
        <v>2349</v>
      </c>
    </row>
    <row r="22" spans="1:10" ht="15" thickTop="1" x14ac:dyDescent="0.15"/>
  </sheetData>
  <phoneticPr fontId="6" type="noConversion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&amp;C工资汇总表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劳动局人员月工资表</vt:lpstr>
      <vt:lpstr>不同职务人员基本工资比较表</vt:lpstr>
      <vt:lpstr>筛选</vt:lpstr>
      <vt:lpstr>图表</vt:lpstr>
      <vt:lpstr>筛选!Criteria</vt:lpstr>
      <vt:lpstr>筛选!提取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2018-09-30T07:13:22Z</dcterms:modified>
</cp:coreProperties>
</file>