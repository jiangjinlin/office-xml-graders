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 activeTab="3"/>
  </bookViews>
  <sheets>
    <sheet name="Sheet1" sheetId="1" r:id="rId1"/>
    <sheet name="Sheet2" sheetId="2" r:id="rId2"/>
    <sheet name="筛选" sheetId="3" r:id="rId3"/>
    <sheet name="排序" sheetId="4" r:id="rId4"/>
    <sheet name="图表" sheetId="5" r:id="rId5"/>
  </sheets>
  <definedNames>
    <definedName name="_xlnm.Criteria" localSheetId="2">筛选!$A$1:$C$4</definedName>
    <definedName name="_xlnm.Extract" localSheetId="2">筛选!$D$10:$J$10</definedName>
  </definedNames>
  <calcPr calcId="144525"/>
</workbook>
</file>

<file path=xl/calcChain.xml><?xml version="1.0" encoding="utf-8"?>
<calcChain xmlns="http://schemas.openxmlformats.org/spreadsheetml/2006/main">
  <c r="F14" i="4" l="1"/>
  <c r="G14" i="4" s="1"/>
  <c r="F26" i="4"/>
  <c r="G26" i="4" s="1"/>
  <c r="F13" i="4"/>
  <c r="G13" i="4" s="1"/>
  <c r="G31" i="4"/>
  <c r="F31" i="4"/>
  <c r="F7" i="4"/>
  <c r="G7" i="4" s="1"/>
  <c r="G10" i="4"/>
  <c r="F10" i="4"/>
  <c r="F9" i="4"/>
  <c r="G9" i="4" s="1"/>
  <c r="F15" i="4"/>
  <c r="G15" i="4" s="1"/>
  <c r="F21" i="4"/>
  <c r="G21" i="4" s="1"/>
  <c r="F17" i="4"/>
  <c r="G17" i="4" s="1"/>
  <c r="F8" i="4"/>
  <c r="G8" i="4" s="1"/>
  <c r="G33" i="4"/>
  <c r="F33" i="4"/>
  <c r="F5" i="4"/>
  <c r="G5" i="4" s="1"/>
  <c r="G23" i="4"/>
  <c r="F23" i="4"/>
  <c r="F4" i="4"/>
  <c r="G4" i="4" s="1"/>
  <c r="F27" i="4"/>
  <c r="G27" i="4" s="1"/>
  <c r="F32" i="4"/>
  <c r="G32" i="4" s="1"/>
  <c r="F28" i="4"/>
  <c r="G28" i="4" s="1"/>
  <c r="F3" i="4"/>
  <c r="G3" i="4" s="1"/>
  <c r="G19" i="4"/>
  <c r="F19" i="4"/>
  <c r="F25" i="4"/>
  <c r="G25" i="4" s="1"/>
  <c r="G35" i="4"/>
  <c r="F35" i="4"/>
  <c r="F18" i="4"/>
  <c r="G18" i="4" s="1"/>
  <c r="F12" i="4"/>
  <c r="G12" i="4" s="1"/>
  <c r="F6" i="4"/>
  <c r="G6" i="4" s="1"/>
  <c r="F36" i="4"/>
  <c r="G36" i="4" s="1"/>
  <c r="F20" i="4"/>
  <c r="G20" i="4" s="1"/>
  <c r="G29" i="4"/>
  <c r="F29" i="4"/>
  <c r="F24" i="4"/>
  <c r="G24" i="4" s="1"/>
  <c r="G34" i="4"/>
  <c r="F34" i="4"/>
  <c r="F11" i="4"/>
  <c r="G11" i="4" s="1"/>
  <c r="F30" i="4"/>
  <c r="G30" i="4" s="1"/>
  <c r="F16" i="4"/>
  <c r="G16" i="4" s="1"/>
  <c r="F22" i="4"/>
  <c r="G22" i="4" s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" i="2"/>
  <c r="F4" i="1"/>
  <c r="G4" i="1" s="1"/>
  <c r="F5" i="1"/>
  <c r="G5" i="1"/>
  <c r="F6" i="1"/>
  <c r="G6" i="1" s="1"/>
  <c r="F7" i="1"/>
  <c r="G7" i="1"/>
  <c r="F8" i="1"/>
  <c r="G8" i="1" s="1"/>
  <c r="F9" i="1"/>
  <c r="G9" i="1"/>
  <c r="F10" i="1"/>
  <c r="G10" i="1" s="1"/>
  <c r="F11" i="1"/>
  <c r="G11" i="1"/>
  <c r="F12" i="1"/>
  <c r="G12" i="1" s="1"/>
  <c r="F13" i="1"/>
  <c r="G13" i="1"/>
  <c r="F14" i="1"/>
  <c r="G14" i="1" s="1"/>
  <c r="F15" i="1"/>
  <c r="G15" i="1"/>
  <c r="F16" i="1"/>
  <c r="G16" i="1" s="1"/>
  <c r="F17" i="1"/>
  <c r="G17" i="1"/>
  <c r="F18" i="1"/>
  <c r="G18" i="1" s="1"/>
  <c r="F19" i="1"/>
  <c r="G19" i="1"/>
  <c r="F20" i="1"/>
  <c r="G20" i="1" s="1"/>
  <c r="F21" i="1"/>
  <c r="G21" i="1"/>
  <c r="F22" i="1"/>
  <c r="G22" i="1" s="1"/>
  <c r="F23" i="1"/>
  <c r="G23" i="1"/>
  <c r="F24" i="1"/>
  <c r="G24" i="1" s="1"/>
  <c r="F25" i="1"/>
  <c r="G25" i="1"/>
  <c r="F26" i="1"/>
  <c r="G26" i="1" s="1"/>
  <c r="F27" i="1"/>
  <c r="G27" i="1"/>
  <c r="F28" i="1"/>
  <c r="G28" i="1" s="1"/>
  <c r="F29" i="1"/>
  <c r="G29" i="1"/>
  <c r="F30" i="1"/>
  <c r="G30" i="1" s="1"/>
  <c r="F31" i="1"/>
  <c r="G31" i="1"/>
  <c r="F32" i="1"/>
  <c r="G32" i="1" s="1"/>
  <c r="F33" i="1"/>
  <c r="G33" i="1"/>
  <c r="F34" i="1"/>
  <c r="G34" i="1" s="1"/>
  <c r="F35" i="1"/>
  <c r="G35" i="1"/>
  <c r="F36" i="1"/>
  <c r="G36" i="1" s="1"/>
  <c r="G3" i="1"/>
  <c r="F3" i="1"/>
</calcChain>
</file>

<file path=xl/sharedStrings.xml><?xml version="1.0" encoding="utf-8"?>
<sst xmlns="http://schemas.openxmlformats.org/spreadsheetml/2006/main" count="157" uniqueCount="50">
  <si>
    <t>姓名</t>
  </si>
  <si>
    <t>语文</t>
  </si>
  <si>
    <t>数学</t>
  </si>
  <si>
    <t>英语</t>
  </si>
  <si>
    <t>综合</t>
  </si>
  <si>
    <t>总分</t>
  </si>
  <si>
    <t>语文占总分百分比</t>
  </si>
  <si>
    <t>王海明</t>
  </si>
  <si>
    <t>李月玫</t>
  </si>
  <si>
    <t>张伟</t>
  </si>
  <si>
    <t>金亦坚</t>
  </si>
  <si>
    <t>陈水君</t>
  </si>
  <si>
    <t>何进</t>
  </si>
  <si>
    <t>朱宇强</t>
  </si>
  <si>
    <t>张长荣</t>
  </si>
  <si>
    <t>沈丽</t>
  </si>
  <si>
    <t>冯志林</t>
  </si>
  <si>
    <t>周文萍</t>
  </si>
  <si>
    <t>徐君秀</t>
  </si>
  <si>
    <t>陈云竹</t>
  </si>
  <si>
    <t>高宝根</t>
  </si>
  <si>
    <t>陈小狗</t>
  </si>
  <si>
    <t>陈弦</t>
  </si>
  <si>
    <t>毛阿敏</t>
  </si>
  <si>
    <t>张云</t>
  </si>
  <si>
    <t>白雪</t>
  </si>
  <si>
    <t>王大刚</t>
  </si>
  <si>
    <t>张平</t>
  </si>
  <si>
    <t>赵露</t>
  </si>
  <si>
    <t>耿秋文</t>
  </si>
  <si>
    <t>聂文景</t>
  </si>
  <si>
    <t>孙晓</t>
  </si>
  <si>
    <t>李南</t>
  </si>
  <si>
    <t>胡东</t>
  </si>
  <si>
    <t>刘可</t>
  </si>
  <si>
    <t>董艺</t>
  </si>
  <si>
    <t>艾歌</t>
  </si>
  <si>
    <t>张一清</t>
  </si>
  <si>
    <t>刘小敏</t>
    <phoneticPr fontId="1" type="noConversion"/>
  </si>
  <si>
    <t>张三古</t>
    <phoneticPr fontId="1" type="noConversion"/>
  </si>
  <si>
    <t>左小明</t>
    <phoneticPr fontId="1" type="noConversion"/>
  </si>
  <si>
    <t>计算机学生各门成绩比较</t>
    <phoneticPr fontId="1" type="noConversion"/>
  </si>
  <si>
    <t>刘小敏</t>
  </si>
  <si>
    <t>张三古</t>
  </si>
  <si>
    <t>左小明</t>
  </si>
  <si>
    <t>等级</t>
    <phoneticPr fontId="1" type="noConversion"/>
  </si>
  <si>
    <t>语文</t>
    <phoneticPr fontId="1" type="noConversion"/>
  </si>
  <si>
    <r>
      <t>&gt;</t>
    </r>
    <r>
      <rPr>
        <sz val="12"/>
        <rFont val="宋体"/>
        <family val="3"/>
        <charset val="134"/>
      </rPr>
      <t>80</t>
    </r>
    <phoneticPr fontId="1" type="noConversion"/>
  </si>
  <si>
    <t>数学</t>
    <phoneticPr fontId="1" type="noConversion"/>
  </si>
  <si>
    <t>英语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</si>
</sst>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name val="宋体"/>
      <charset val="134"/>
    </font>
    <font>
      <sz val="9"/>
      <name val="宋体"/>
      <charset val="134"/>
    </font>
    <font>
      <sz val="18"/>
      <color rgb="FFFF0000"/>
      <name val="华文行楷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rgb="FFFF0000"/>
      </left>
      <right style="thin">
        <color rgb="FF00B0F0"/>
      </right>
      <top style="thick">
        <color rgb="FFFF000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ck">
        <color rgb="FFFF0000"/>
      </top>
      <bottom style="thin">
        <color rgb="FF00B0F0"/>
      </bottom>
      <diagonal/>
    </border>
    <border>
      <left style="thin">
        <color rgb="FF00B0F0"/>
      </left>
      <right style="thick">
        <color rgb="FFFF0000"/>
      </right>
      <top style="thick">
        <color rgb="FFFF0000"/>
      </top>
      <bottom style="thin">
        <color rgb="FF00B0F0"/>
      </bottom>
      <diagonal/>
    </border>
    <border>
      <left style="thick">
        <color rgb="FFFF000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ck">
        <color rgb="FFFF0000"/>
      </right>
      <top style="thin">
        <color rgb="FF00B0F0"/>
      </top>
      <bottom style="thin">
        <color rgb="FF00B0F0"/>
      </bottom>
      <diagonal/>
    </border>
    <border>
      <left style="thick">
        <color rgb="FFFF0000"/>
      </left>
      <right style="thin">
        <color rgb="FF00B0F0"/>
      </right>
      <top style="thin">
        <color rgb="FF00B0F0"/>
      </top>
      <bottom style="thick">
        <color rgb="FFFF000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ck">
        <color rgb="FFFF0000"/>
      </bottom>
      <diagonal/>
    </border>
    <border>
      <left style="thin">
        <color rgb="FF00B0F0"/>
      </left>
      <right style="thick">
        <color rgb="FFFF0000"/>
      </right>
      <top style="thin">
        <color rgb="FF00B0F0"/>
      </top>
      <bottom style="thick">
        <color rgb="FFFF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Continuous" vertical="center"/>
    </xf>
    <xf numFmtId="0" fontId="2" fillId="0" borderId="2" xfId="0" applyFont="1" applyBorder="1" applyAlignment="1">
      <alignment horizontal="centerContinuous" vertical="center"/>
    </xf>
    <xf numFmtId="0" fontId="2" fillId="0" borderId="3" xfId="0" applyFont="1" applyBorder="1" applyAlignment="1">
      <alignment horizontal="centerContinuous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10" fontId="0" fillId="0" borderId="6" xfId="0" applyNumberFormat="1" applyBorder="1"/>
    <xf numFmtId="0" fontId="0" fillId="0" borderId="7" xfId="0" applyBorder="1"/>
    <xf numFmtId="0" fontId="0" fillId="0" borderId="8" xfId="0" applyBorder="1"/>
    <xf numFmtId="10" fontId="0" fillId="0" borderId="9" xfId="0" applyNumberFormat="1" applyBorder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部分学生语数英成绩比较图</a:t>
            </a:r>
          </a:p>
        </c:rich>
      </c:tx>
      <c:layout>
        <c:manualLayout>
          <c:xMode val="edge"/>
          <c:yMode val="edge"/>
          <c:x val="0.23100000000000001"/>
          <c:y val="4.1666666666666664E-2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1"/>
          <c:order val="0"/>
          <c:tx>
            <c:strRef>
              <c:f>排序!$C$2</c:f>
              <c:strCache>
                <c:ptCount val="1"/>
                <c:pt idx="0">
                  <c:v>数学</c:v>
                </c:pt>
              </c:strCache>
            </c:strRef>
          </c:tx>
          <c:invertIfNegative val="0"/>
          <c:cat>
            <c:strRef>
              <c:f>排序!$A$3:$A$8</c:f>
              <c:strCache>
                <c:ptCount val="6"/>
                <c:pt idx="0">
                  <c:v>陈弦</c:v>
                </c:pt>
                <c:pt idx="1">
                  <c:v>王大刚</c:v>
                </c:pt>
                <c:pt idx="2">
                  <c:v>赵露</c:v>
                </c:pt>
                <c:pt idx="3">
                  <c:v>冯志林</c:v>
                </c:pt>
                <c:pt idx="4">
                  <c:v>艾歌</c:v>
                </c:pt>
                <c:pt idx="5">
                  <c:v>聂文景</c:v>
                </c:pt>
              </c:strCache>
            </c:strRef>
          </c:cat>
          <c:val>
            <c:numRef>
              <c:f>排序!$C$3:$C$8</c:f>
              <c:numCache>
                <c:formatCode>General</c:formatCode>
                <c:ptCount val="6"/>
                <c:pt idx="0">
                  <c:v>99</c:v>
                </c:pt>
                <c:pt idx="1">
                  <c:v>81</c:v>
                </c:pt>
                <c:pt idx="2">
                  <c:v>52</c:v>
                </c:pt>
                <c:pt idx="3">
                  <c:v>77</c:v>
                </c:pt>
                <c:pt idx="4">
                  <c:v>95</c:v>
                </c:pt>
                <c:pt idx="5">
                  <c:v>79</c:v>
                </c:pt>
              </c:numCache>
            </c:numRef>
          </c:val>
        </c:ser>
        <c:ser>
          <c:idx val="2"/>
          <c:order val="1"/>
          <c:tx>
            <c:strRef>
              <c:f>排序!$D$2</c:f>
              <c:strCache>
                <c:ptCount val="1"/>
                <c:pt idx="0">
                  <c:v>英语</c:v>
                </c:pt>
              </c:strCache>
            </c:strRef>
          </c:tx>
          <c:invertIfNegative val="0"/>
          <c:cat>
            <c:strRef>
              <c:f>排序!$A$3:$A$8</c:f>
              <c:strCache>
                <c:ptCount val="6"/>
                <c:pt idx="0">
                  <c:v>陈弦</c:v>
                </c:pt>
                <c:pt idx="1">
                  <c:v>王大刚</c:v>
                </c:pt>
                <c:pt idx="2">
                  <c:v>赵露</c:v>
                </c:pt>
                <c:pt idx="3">
                  <c:v>冯志林</c:v>
                </c:pt>
                <c:pt idx="4">
                  <c:v>艾歌</c:v>
                </c:pt>
                <c:pt idx="5">
                  <c:v>聂文景</c:v>
                </c:pt>
              </c:strCache>
            </c:strRef>
          </c:cat>
          <c:val>
            <c:numRef>
              <c:f>排序!$D$3:$D$8</c:f>
              <c:numCache>
                <c:formatCode>General</c:formatCode>
                <c:ptCount val="6"/>
                <c:pt idx="0">
                  <c:v>66</c:v>
                </c:pt>
                <c:pt idx="1">
                  <c:v>73</c:v>
                </c:pt>
                <c:pt idx="2">
                  <c:v>92</c:v>
                </c:pt>
                <c:pt idx="3">
                  <c:v>78</c:v>
                </c:pt>
                <c:pt idx="4">
                  <c:v>52</c:v>
                </c:pt>
                <c:pt idx="5">
                  <c:v>74</c:v>
                </c:pt>
              </c:numCache>
            </c:numRef>
          </c:val>
        </c:ser>
        <c:ser>
          <c:idx val="0"/>
          <c:order val="2"/>
          <c:tx>
            <c:strRef>
              <c:f>排序!$B$2</c:f>
              <c:strCache>
                <c:ptCount val="1"/>
                <c:pt idx="0">
                  <c:v>语文</c:v>
                </c:pt>
              </c:strCache>
            </c:strRef>
          </c:tx>
          <c:invertIfNegative val="0"/>
          <c:cat>
            <c:strRef>
              <c:f>排序!$A$3:$A$8</c:f>
              <c:strCache>
                <c:ptCount val="6"/>
                <c:pt idx="0">
                  <c:v>陈弦</c:v>
                </c:pt>
                <c:pt idx="1">
                  <c:v>王大刚</c:v>
                </c:pt>
                <c:pt idx="2">
                  <c:v>赵露</c:v>
                </c:pt>
                <c:pt idx="3">
                  <c:v>冯志林</c:v>
                </c:pt>
                <c:pt idx="4">
                  <c:v>艾歌</c:v>
                </c:pt>
                <c:pt idx="5">
                  <c:v>聂文景</c:v>
                </c:pt>
              </c:strCache>
            </c:strRef>
          </c:cat>
          <c:val>
            <c:numRef>
              <c:f>排序!$B$3:$B$8</c:f>
              <c:numCache>
                <c:formatCode>General</c:formatCode>
                <c:ptCount val="6"/>
                <c:pt idx="0">
                  <c:v>82</c:v>
                </c:pt>
                <c:pt idx="1">
                  <c:v>78</c:v>
                </c:pt>
                <c:pt idx="2">
                  <c:v>95</c:v>
                </c:pt>
                <c:pt idx="3">
                  <c:v>73</c:v>
                </c:pt>
                <c:pt idx="4">
                  <c:v>68</c:v>
                </c:pt>
                <c:pt idx="5">
                  <c:v>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4024192"/>
        <c:axId val="134030080"/>
        <c:axId val="0"/>
      </c:bar3DChart>
      <c:catAx>
        <c:axId val="134024192"/>
        <c:scaling>
          <c:orientation val="minMax"/>
        </c:scaling>
        <c:delete val="0"/>
        <c:axPos val="b"/>
        <c:majorTickMark val="out"/>
        <c:minorTickMark val="none"/>
        <c:tickLblPos val="nextTo"/>
        <c:crossAx val="134030080"/>
        <c:crosses val="autoZero"/>
        <c:auto val="1"/>
        <c:lblAlgn val="ctr"/>
        <c:lblOffset val="100"/>
        <c:noMultiLvlLbl val="0"/>
      </c:catAx>
      <c:valAx>
        <c:axId val="134030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02419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128587</xdr:colOff>
      <xdr:row>10</xdr:row>
      <xdr:rowOff>119062</xdr:rowOff>
    </xdr:from>
    <xdr:to>
      <xdr:col>7</xdr:col>
      <xdr:colOff>585787</xdr:colOff>
      <xdr:row>25</xdr:row>
      <xdr:rowOff>147637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37"/>
  <sheetViews>
    <sheetView workbookViewId="0">
      <selection activeCell="I27" sqref="A1:XFD1048576"/>
    </sheetView>
  </sheetViews>
  <sheetFormatPr defaultRowHeight="14.25" x14ac:dyDescent="0.15"/>
  <cols>
    <col min="7" max="7" width="18.375" bestFit="1" customWidth="1"/>
  </cols>
  <sheetData>
    <row r="1" spans="1:7" ht="26.1" customHeight="1" thickTop="1" x14ac:dyDescent="0.15">
      <c r="A1" s="1" t="s">
        <v>41</v>
      </c>
      <c r="B1" s="2"/>
      <c r="C1" s="2"/>
      <c r="D1" s="2"/>
      <c r="E1" s="2"/>
      <c r="F1" s="2"/>
      <c r="G1" s="3"/>
    </row>
    <row r="2" spans="1:7" x14ac:dyDescent="0.15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</row>
    <row r="3" spans="1:7" x14ac:dyDescent="0.15">
      <c r="A3" s="4" t="s">
        <v>7</v>
      </c>
      <c r="B3" s="5">
        <v>89</v>
      </c>
      <c r="C3" s="5">
        <v>79</v>
      </c>
      <c r="D3" s="5">
        <v>61</v>
      </c>
      <c r="E3" s="5">
        <v>59</v>
      </c>
      <c r="F3" s="5">
        <f>SUM(B3:E3)</f>
        <v>288</v>
      </c>
      <c r="G3" s="7">
        <f>B3/F3</f>
        <v>0.30902777777777779</v>
      </c>
    </row>
    <row r="4" spans="1:7" x14ac:dyDescent="0.15">
      <c r="A4" s="4" t="s">
        <v>8</v>
      </c>
      <c r="B4" s="5">
        <v>72</v>
      </c>
      <c r="C4" s="5">
        <v>82</v>
      </c>
      <c r="D4" s="5">
        <v>85</v>
      </c>
      <c r="E4" s="5">
        <v>60</v>
      </c>
      <c r="F4" s="5">
        <f t="shared" ref="F4:F36" si="0">SUM(B4:E4)</f>
        <v>299</v>
      </c>
      <c r="G4" s="7">
        <f t="shared" ref="G4:G36" si="1">B4/F4</f>
        <v>0.24080267558528429</v>
      </c>
    </row>
    <row r="5" spans="1:7" x14ac:dyDescent="0.15">
      <c r="A5" s="4" t="s">
        <v>9</v>
      </c>
      <c r="B5" s="5">
        <v>65</v>
      </c>
      <c r="C5" s="5">
        <v>51</v>
      </c>
      <c r="D5" s="5">
        <v>67</v>
      </c>
      <c r="E5" s="5">
        <v>77</v>
      </c>
      <c r="F5" s="5">
        <f t="shared" si="0"/>
        <v>260</v>
      </c>
      <c r="G5" s="7">
        <f t="shared" si="1"/>
        <v>0.25</v>
      </c>
    </row>
    <row r="6" spans="1:7" x14ac:dyDescent="0.15">
      <c r="A6" s="4" t="s">
        <v>10</v>
      </c>
      <c r="B6" s="5">
        <v>79</v>
      </c>
      <c r="C6" s="5">
        <v>63</v>
      </c>
      <c r="D6" s="5">
        <v>69</v>
      </c>
      <c r="E6" s="5">
        <v>92</v>
      </c>
      <c r="F6" s="5">
        <f t="shared" si="0"/>
        <v>303</v>
      </c>
      <c r="G6" s="7">
        <f t="shared" si="1"/>
        <v>0.26072607260726072</v>
      </c>
    </row>
    <row r="7" spans="1:7" x14ac:dyDescent="0.15">
      <c r="A7" s="4" t="s">
        <v>11</v>
      </c>
      <c r="B7" s="5">
        <v>51</v>
      </c>
      <c r="C7" s="5">
        <v>42</v>
      </c>
      <c r="D7" s="5">
        <v>74</v>
      </c>
      <c r="E7" s="5">
        <v>78</v>
      </c>
      <c r="F7" s="5">
        <f t="shared" si="0"/>
        <v>245</v>
      </c>
      <c r="G7" s="7">
        <f t="shared" si="1"/>
        <v>0.20816326530612245</v>
      </c>
    </row>
    <row r="8" spans="1:7" x14ac:dyDescent="0.15">
      <c r="A8" s="4" t="s">
        <v>12</v>
      </c>
      <c r="B8" s="5">
        <v>66</v>
      </c>
      <c r="C8" s="5">
        <v>93</v>
      </c>
      <c r="D8" s="5">
        <v>82</v>
      </c>
      <c r="E8" s="5">
        <v>42</v>
      </c>
      <c r="F8" s="5">
        <f t="shared" si="0"/>
        <v>283</v>
      </c>
      <c r="G8" s="7">
        <f t="shared" si="1"/>
        <v>0.2332155477031802</v>
      </c>
    </row>
    <row r="9" spans="1:7" x14ac:dyDescent="0.15">
      <c r="A9" s="4" t="s">
        <v>13</v>
      </c>
      <c r="B9" s="5">
        <v>78</v>
      </c>
      <c r="C9" s="5">
        <v>60</v>
      </c>
      <c r="D9" s="5">
        <v>73</v>
      </c>
      <c r="E9" s="5">
        <v>51</v>
      </c>
      <c r="F9" s="5">
        <f t="shared" si="0"/>
        <v>262</v>
      </c>
      <c r="G9" s="7">
        <f t="shared" si="1"/>
        <v>0.29770992366412213</v>
      </c>
    </row>
    <row r="10" spans="1:7" x14ac:dyDescent="0.15">
      <c r="A10" s="4" t="s">
        <v>14</v>
      </c>
      <c r="B10" s="5">
        <v>82</v>
      </c>
      <c r="C10" s="5">
        <v>59</v>
      </c>
      <c r="D10" s="5">
        <v>88</v>
      </c>
      <c r="E10" s="5">
        <v>63</v>
      </c>
      <c r="F10" s="5">
        <f t="shared" si="0"/>
        <v>292</v>
      </c>
      <c r="G10" s="7">
        <f t="shared" si="1"/>
        <v>0.28082191780821919</v>
      </c>
    </row>
    <row r="11" spans="1:7" x14ac:dyDescent="0.15">
      <c r="A11" s="4" t="s">
        <v>15</v>
      </c>
      <c r="B11" s="5">
        <v>59</v>
      </c>
      <c r="C11" s="5">
        <v>60</v>
      </c>
      <c r="D11" s="5">
        <v>68</v>
      </c>
      <c r="E11" s="5">
        <v>42</v>
      </c>
      <c r="F11" s="5">
        <f t="shared" si="0"/>
        <v>229</v>
      </c>
      <c r="G11" s="7">
        <f t="shared" si="1"/>
        <v>0.2576419213973799</v>
      </c>
    </row>
    <row r="12" spans="1:7" x14ac:dyDescent="0.15">
      <c r="A12" s="4" t="s">
        <v>16</v>
      </c>
      <c r="B12" s="5">
        <v>73</v>
      </c>
      <c r="C12" s="5">
        <v>77</v>
      </c>
      <c r="D12" s="5">
        <v>78</v>
      </c>
      <c r="E12" s="5">
        <v>93</v>
      </c>
      <c r="F12" s="5">
        <f t="shared" si="0"/>
        <v>321</v>
      </c>
      <c r="G12" s="7">
        <f t="shared" si="1"/>
        <v>0.22741433021806853</v>
      </c>
    </row>
    <row r="13" spans="1:7" x14ac:dyDescent="0.15">
      <c r="A13" s="4" t="s">
        <v>17</v>
      </c>
      <c r="B13" s="5">
        <v>61</v>
      </c>
      <c r="C13" s="5">
        <v>92</v>
      </c>
      <c r="D13" s="5">
        <v>89</v>
      </c>
      <c r="E13" s="5">
        <v>60</v>
      </c>
      <c r="F13" s="5">
        <f t="shared" si="0"/>
        <v>302</v>
      </c>
      <c r="G13" s="7">
        <f t="shared" si="1"/>
        <v>0.20198675496688742</v>
      </c>
    </row>
    <row r="14" spans="1:7" x14ac:dyDescent="0.15">
      <c r="A14" s="4" t="s">
        <v>18</v>
      </c>
      <c r="B14" s="5">
        <v>85</v>
      </c>
      <c r="C14" s="5">
        <v>78</v>
      </c>
      <c r="D14" s="5">
        <v>72</v>
      </c>
      <c r="E14" s="5">
        <v>59</v>
      </c>
      <c r="F14" s="5">
        <f t="shared" si="0"/>
        <v>294</v>
      </c>
      <c r="G14" s="7">
        <f t="shared" si="1"/>
        <v>0.28911564625850339</v>
      </c>
    </row>
    <row r="15" spans="1:7" x14ac:dyDescent="0.15">
      <c r="A15" s="4" t="s">
        <v>19</v>
      </c>
      <c r="B15" s="5">
        <v>67</v>
      </c>
      <c r="C15" s="5">
        <v>42</v>
      </c>
      <c r="D15" s="5">
        <v>65</v>
      </c>
      <c r="E15" s="5">
        <v>58</v>
      </c>
      <c r="F15" s="5">
        <f t="shared" si="0"/>
        <v>232</v>
      </c>
      <c r="G15" s="7">
        <f t="shared" si="1"/>
        <v>0.28879310344827586</v>
      </c>
    </row>
    <row r="16" spans="1:7" x14ac:dyDescent="0.15">
      <c r="A16" s="4" t="s">
        <v>20</v>
      </c>
      <c r="B16" s="5">
        <v>69</v>
      </c>
      <c r="C16" s="5">
        <v>58</v>
      </c>
      <c r="D16" s="5">
        <v>79</v>
      </c>
      <c r="E16" s="5">
        <v>68</v>
      </c>
      <c r="F16" s="5">
        <f t="shared" si="0"/>
        <v>274</v>
      </c>
      <c r="G16" s="7">
        <f t="shared" si="1"/>
        <v>0.2518248175182482</v>
      </c>
    </row>
    <row r="17" spans="1:7" x14ac:dyDescent="0.15">
      <c r="A17" s="4" t="s">
        <v>21</v>
      </c>
      <c r="B17" s="5">
        <v>74</v>
      </c>
      <c r="C17" s="5">
        <v>68</v>
      </c>
      <c r="D17" s="5">
        <v>51</v>
      </c>
      <c r="E17" s="5">
        <v>99</v>
      </c>
      <c r="F17" s="5">
        <f t="shared" si="0"/>
        <v>292</v>
      </c>
      <c r="G17" s="7">
        <f t="shared" si="1"/>
        <v>0.25342465753424659</v>
      </c>
    </row>
    <row r="18" spans="1:7" x14ac:dyDescent="0.15">
      <c r="A18" s="4" t="s">
        <v>22</v>
      </c>
      <c r="B18" s="5">
        <v>82</v>
      </c>
      <c r="C18" s="5">
        <v>99</v>
      </c>
      <c r="D18" s="5">
        <v>66</v>
      </c>
      <c r="E18" s="5">
        <v>81</v>
      </c>
      <c r="F18" s="5">
        <f t="shared" si="0"/>
        <v>328</v>
      </c>
      <c r="G18" s="7">
        <f t="shared" si="1"/>
        <v>0.25</v>
      </c>
    </row>
    <row r="19" spans="1:7" x14ac:dyDescent="0.15">
      <c r="A19" s="4" t="s">
        <v>23</v>
      </c>
      <c r="B19" s="5">
        <v>73</v>
      </c>
      <c r="C19" s="5">
        <v>81</v>
      </c>
      <c r="D19" s="5">
        <v>78</v>
      </c>
      <c r="E19" s="5">
        <v>31</v>
      </c>
      <c r="F19" s="5">
        <f t="shared" si="0"/>
        <v>263</v>
      </c>
      <c r="G19" s="7">
        <f t="shared" si="1"/>
        <v>0.27756653992395436</v>
      </c>
    </row>
    <row r="20" spans="1:7" x14ac:dyDescent="0.15">
      <c r="A20" s="4" t="s">
        <v>24</v>
      </c>
      <c r="B20" s="5">
        <v>88</v>
      </c>
      <c r="C20" s="5">
        <v>31</v>
      </c>
      <c r="D20" s="5">
        <v>82</v>
      </c>
      <c r="E20" s="5">
        <v>57</v>
      </c>
      <c r="F20" s="5">
        <f t="shared" si="0"/>
        <v>258</v>
      </c>
      <c r="G20" s="7">
        <f t="shared" si="1"/>
        <v>0.34108527131782945</v>
      </c>
    </row>
    <row r="21" spans="1:7" x14ac:dyDescent="0.15">
      <c r="A21" s="4" t="s">
        <v>25</v>
      </c>
      <c r="B21" s="5">
        <v>68</v>
      </c>
      <c r="C21" s="5">
        <v>57</v>
      </c>
      <c r="D21" s="5">
        <v>59</v>
      </c>
      <c r="E21" s="5">
        <v>85</v>
      </c>
      <c r="F21" s="5">
        <f t="shared" si="0"/>
        <v>269</v>
      </c>
      <c r="G21" s="7">
        <f t="shared" si="1"/>
        <v>0.25278810408921931</v>
      </c>
    </row>
    <row r="22" spans="1:7" x14ac:dyDescent="0.15">
      <c r="A22" s="4" t="s">
        <v>26</v>
      </c>
      <c r="B22" s="5">
        <v>78</v>
      </c>
      <c r="C22" s="5">
        <v>81</v>
      </c>
      <c r="D22" s="5">
        <v>73</v>
      </c>
      <c r="E22" s="5">
        <v>96</v>
      </c>
      <c r="F22" s="5">
        <f t="shared" si="0"/>
        <v>328</v>
      </c>
      <c r="G22" s="7">
        <f t="shared" si="1"/>
        <v>0.23780487804878048</v>
      </c>
    </row>
    <row r="23" spans="1:7" x14ac:dyDescent="0.15">
      <c r="A23" s="4" t="s">
        <v>27</v>
      </c>
      <c r="B23" s="5">
        <v>68</v>
      </c>
      <c r="C23" s="5">
        <v>63</v>
      </c>
      <c r="D23" s="5">
        <v>77</v>
      </c>
      <c r="E23" s="5">
        <v>78</v>
      </c>
      <c r="F23" s="5">
        <f t="shared" si="0"/>
        <v>286</v>
      </c>
      <c r="G23" s="7">
        <f t="shared" si="1"/>
        <v>0.23776223776223776</v>
      </c>
    </row>
    <row r="24" spans="1:7" x14ac:dyDescent="0.15">
      <c r="A24" s="4" t="s">
        <v>28</v>
      </c>
      <c r="B24" s="5">
        <v>95</v>
      </c>
      <c r="C24" s="5">
        <v>52</v>
      </c>
      <c r="D24" s="5">
        <v>92</v>
      </c>
      <c r="E24" s="5">
        <v>89</v>
      </c>
      <c r="F24" s="5">
        <f t="shared" si="0"/>
        <v>328</v>
      </c>
      <c r="G24" s="7">
        <f t="shared" si="1"/>
        <v>0.28963414634146339</v>
      </c>
    </row>
    <row r="25" spans="1:7" x14ac:dyDescent="0.15">
      <c r="A25" s="4" t="s">
        <v>29</v>
      </c>
      <c r="B25" s="5">
        <v>68</v>
      </c>
      <c r="C25" s="5">
        <v>54</v>
      </c>
      <c r="D25" s="5">
        <v>69</v>
      </c>
      <c r="E25" s="5">
        <v>58</v>
      </c>
      <c r="F25" s="5">
        <f t="shared" si="0"/>
        <v>249</v>
      </c>
      <c r="G25" s="7">
        <f t="shared" si="1"/>
        <v>0.27309236947791166</v>
      </c>
    </row>
    <row r="26" spans="1:7" x14ac:dyDescent="0.15">
      <c r="A26" s="4" t="s">
        <v>30</v>
      </c>
      <c r="B26" s="5">
        <v>85</v>
      </c>
      <c r="C26" s="5">
        <v>79</v>
      </c>
      <c r="D26" s="5">
        <v>74</v>
      </c>
      <c r="E26" s="5">
        <v>68</v>
      </c>
      <c r="F26" s="5">
        <f t="shared" si="0"/>
        <v>306</v>
      </c>
      <c r="G26" s="7">
        <f t="shared" si="1"/>
        <v>0.27777777777777779</v>
      </c>
    </row>
    <row r="27" spans="1:7" x14ac:dyDescent="0.15">
      <c r="A27" s="4" t="s">
        <v>31</v>
      </c>
      <c r="B27" s="5">
        <v>64</v>
      </c>
      <c r="C27" s="5">
        <v>51</v>
      </c>
      <c r="D27" s="5">
        <v>82</v>
      </c>
      <c r="E27" s="5">
        <v>99</v>
      </c>
      <c r="F27" s="5">
        <f t="shared" si="0"/>
        <v>296</v>
      </c>
      <c r="G27" s="7">
        <f t="shared" si="1"/>
        <v>0.21621621621621623</v>
      </c>
    </row>
    <row r="28" spans="1:7" x14ac:dyDescent="0.15">
      <c r="A28" s="4" t="s">
        <v>32</v>
      </c>
      <c r="B28" s="5">
        <v>52</v>
      </c>
      <c r="C28" s="5">
        <v>66</v>
      </c>
      <c r="D28" s="5">
        <v>78</v>
      </c>
      <c r="E28" s="5">
        <v>93</v>
      </c>
      <c r="F28" s="5">
        <f t="shared" si="0"/>
        <v>289</v>
      </c>
      <c r="G28" s="7">
        <f t="shared" si="1"/>
        <v>0.17993079584775087</v>
      </c>
    </row>
    <row r="29" spans="1:7" x14ac:dyDescent="0.15">
      <c r="A29" s="4" t="s">
        <v>33</v>
      </c>
      <c r="B29" s="5">
        <v>73</v>
      </c>
      <c r="C29" s="5">
        <v>78</v>
      </c>
      <c r="D29" s="5">
        <v>89</v>
      </c>
      <c r="E29" s="5">
        <v>60</v>
      </c>
      <c r="F29" s="5">
        <f t="shared" si="0"/>
        <v>300</v>
      </c>
      <c r="G29" s="7">
        <f t="shared" si="1"/>
        <v>0.24333333333333335</v>
      </c>
    </row>
    <row r="30" spans="1:7" x14ac:dyDescent="0.15">
      <c r="A30" s="4" t="s">
        <v>34</v>
      </c>
      <c r="B30" s="5">
        <v>91</v>
      </c>
      <c r="C30" s="5">
        <v>82</v>
      </c>
      <c r="D30" s="5">
        <v>72</v>
      </c>
      <c r="E30" s="5">
        <v>59</v>
      </c>
      <c r="F30" s="5">
        <f t="shared" si="0"/>
        <v>304</v>
      </c>
      <c r="G30" s="7">
        <f t="shared" si="1"/>
        <v>0.29934210526315791</v>
      </c>
    </row>
    <row r="31" spans="1:7" x14ac:dyDescent="0.15">
      <c r="A31" s="4" t="s">
        <v>35</v>
      </c>
      <c r="B31" s="5">
        <v>96</v>
      </c>
      <c r="C31" s="5">
        <v>68</v>
      </c>
      <c r="D31" s="5">
        <v>63</v>
      </c>
      <c r="E31" s="5">
        <v>77</v>
      </c>
      <c r="F31" s="5">
        <f t="shared" si="0"/>
        <v>304</v>
      </c>
      <c r="G31" s="7">
        <f t="shared" si="1"/>
        <v>0.31578947368421051</v>
      </c>
    </row>
    <row r="32" spans="1:7" x14ac:dyDescent="0.15">
      <c r="A32" s="4" t="s">
        <v>36</v>
      </c>
      <c r="B32" s="5">
        <v>68</v>
      </c>
      <c r="C32" s="5">
        <v>95</v>
      </c>
      <c r="D32" s="5">
        <v>52</v>
      </c>
      <c r="E32" s="5">
        <v>92</v>
      </c>
      <c r="F32" s="5">
        <f t="shared" si="0"/>
        <v>307</v>
      </c>
      <c r="G32" s="7">
        <f t="shared" si="1"/>
        <v>0.22149837133550487</v>
      </c>
    </row>
    <row r="33" spans="1:7" x14ac:dyDescent="0.15">
      <c r="A33" s="4" t="s">
        <v>37</v>
      </c>
      <c r="B33" s="5">
        <v>67</v>
      </c>
      <c r="C33" s="5">
        <v>68</v>
      </c>
      <c r="D33" s="5">
        <v>54</v>
      </c>
      <c r="E33" s="5">
        <v>69</v>
      </c>
      <c r="F33" s="5">
        <f t="shared" si="0"/>
        <v>258</v>
      </c>
      <c r="G33" s="7">
        <f t="shared" si="1"/>
        <v>0.25968992248062017</v>
      </c>
    </row>
    <row r="34" spans="1:7" x14ac:dyDescent="0.15">
      <c r="A34" s="4" t="s">
        <v>38</v>
      </c>
      <c r="B34" s="5">
        <v>63</v>
      </c>
      <c r="C34" s="5">
        <v>85</v>
      </c>
      <c r="D34" s="5">
        <v>79</v>
      </c>
      <c r="E34" s="5">
        <v>74</v>
      </c>
      <c r="F34" s="5">
        <f t="shared" si="0"/>
        <v>301</v>
      </c>
      <c r="G34" s="7">
        <f t="shared" si="1"/>
        <v>0.20930232558139536</v>
      </c>
    </row>
    <row r="35" spans="1:7" x14ac:dyDescent="0.15">
      <c r="A35" s="4" t="s">
        <v>39</v>
      </c>
      <c r="B35" s="5">
        <v>52</v>
      </c>
      <c r="C35" s="5">
        <v>68</v>
      </c>
      <c r="D35" s="5">
        <v>51</v>
      </c>
      <c r="E35" s="5">
        <v>99</v>
      </c>
      <c r="F35" s="5">
        <f t="shared" si="0"/>
        <v>270</v>
      </c>
      <c r="G35" s="7">
        <f t="shared" si="1"/>
        <v>0.19259259259259259</v>
      </c>
    </row>
    <row r="36" spans="1:7" ht="15" thickBot="1" x14ac:dyDescent="0.2">
      <c r="A36" s="8" t="s">
        <v>40</v>
      </c>
      <c r="B36" s="9">
        <v>54</v>
      </c>
      <c r="C36" s="9">
        <v>99</v>
      </c>
      <c r="D36" s="9">
        <v>66</v>
      </c>
      <c r="E36" s="9">
        <v>81</v>
      </c>
      <c r="F36" s="9">
        <f t="shared" si="0"/>
        <v>300</v>
      </c>
      <c r="G36" s="10">
        <f t="shared" si="1"/>
        <v>0.18</v>
      </c>
    </row>
    <row r="37" spans="1:7" ht="15" thickTop="1" x14ac:dyDescent="0.15"/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36"/>
  <sheetViews>
    <sheetView workbookViewId="0">
      <selection activeCell="G3" sqref="G3:G36"/>
    </sheetView>
  </sheetViews>
  <sheetFormatPr defaultRowHeight="14.25" x14ac:dyDescent="0.15"/>
  <sheetData>
    <row r="2" spans="1:7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11" t="s">
        <v>45</v>
      </c>
    </row>
    <row r="3" spans="1:7" x14ac:dyDescent="0.15">
      <c r="A3" t="s">
        <v>7</v>
      </c>
      <c r="B3">
        <v>89</v>
      </c>
      <c r="C3">
        <v>79</v>
      </c>
      <c r="D3">
        <v>61</v>
      </c>
      <c r="E3">
        <v>59</v>
      </c>
      <c r="F3">
        <v>288</v>
      </c>
      <c r="G3" t="str">
        <f>IF(COUNTIF(B3:E3,"&gt;80")&gt;=2,"优秀","合格")</f>
        <v>合格</v>
      </c>
    </row>
    <row r="4" spans="1:7" x14ac:dyDescent="0.15">
      <c r="A4" t="s">
        <v>8</v>
      </c>
      <c r="B4">
        <v>72</v>
      </c>
      <c r="C4">
        <v>82</v>
      </c>
      <c r="D4">
        <v>85</v>
      </c>
      <c r="E4">
        <v>60</v>
      </c>
      <c r="F4">
        <v>299</v>
      </c>
      <c r="G4" t="str">
        <f t="shared" ref="G4:G36" si="0">IF(COUNTIF(B4:E4,"&gt;80")&gt;=2,"优秀","合格")</f>
        <v>优秀</v>
      </c>
    </row>
    <row r="5" spans="1:7" x14ac:dyDescent="0.15">
      <c r="A5" t="s">
        <v>9</v>
      </c>
      <c r="B5">
        <v>65</v>
      </c>
      <c r="C5">
        <v>51</v>
      </c>
      <c r="D5">
        <v>67</v>
      </c>
      <c r="E5">
        <v>77</v>
      </c>
      <c r="F5">
        <v>260</v>
      </c>
      <c r="G5" t="str">
        <f t="shared" si="0"/>
        <v>合格</v>
      </c>
    </row>
    <row r="6" spans="1:7" x14ac:dyDescent="0.15">
      <c r="A6" t="s">
        <v>10</v>
      </c>
      <c r="B6">
        <v>79</v>
      </c>
      <c r="C6">
        <v>63</v>
      </c>
      <c r="D6">
        <v>69</v>
      </c>
      <c r="E6">
        <v>92</v>
      </c>
      <c r="F6">
        <v>303</v>
      </c>
      <c r="G6" t="str">
        <f t="shared" si="0"/>
        <v>合格</v>
      </c>
    </row>
    <row r="7" spans="1:7" x14ac:dyDescent="0.15">
      <c r="A7" t="s">
        <v>11</v>
      </c>
      <c r="B7">
        <v>51</v>
      </c>
      <c r="C7">
        <v>42</v>
      </c>
      <c r="D7">
        <v>74</v>
      </c>
      <c r="E7">
        <v>78</v>
      </c>
      <c r="F7">
        <v>245</v>
      </c>
      <c r="G7" t="str">
        <f t="shared" si="0"/>
        <v>合格</v>
      </c>
    </row>
    <row r="8" spans="1:7" x14ac:dyDescent="0.15">
      <c r="A8" t="s">
        <v>12</v>
      </c>
      <c r="B8">
        <v>66</v>
      </c>
      <c r="C8">
        <v>93</v>
      </c>
      <c r="D8">
        <v>82</v>
      </c>
      <c r="E8">
        <v>42</v>
      </c>
      <c r="F8">
        <v>283</v>
      </c>
      <c r="G8" t="str">
        <f t="shared" si="0"/>
        <v>优秀</v>
      </c>
    </row>
    <row r="9" spans="1:7" x14ac:dyDescent="0.15">
      <c r="A9" t="s">
        <v>13</v>
      </c>
      <c r="B9">
        <v>78</v>
      </c>
      <c r="C9">
        <v>60</v>
      </c>
      <c r="D9">
        <v>73</v>
      </c>
      <c r="E9">
        <v>51</v>
      </c>
      <c r="F9">
        <v>262</v>
      </c>
      <c r="G9" t="str">
        <f t="shared" si="0"/>
        <v>合格</v>
      </c>
    </row>
    <row r="10" spans="1:7" x14ac:dyDescent="0.15">
      <c r="A10" t="s">
        <v>14</v>
      </c>
      <c r="B10">
        <v>82</v>
      </c>
      <c r="C10">
        <v>59</v>
      </c>
      <c r="D10">
        <v>88</v>
      </c>
      <c r="E10">
        <v>63</v>
      </c>
      <c r="F10">
        <v>292</v>
      </c>
      <c r="G10" t="str">
        <f t="shared" si="0"/>
        <v>优秀</v>
      </c>
    </row>
    <row r="11" spans="1:7" x14ac:dyDescent="0.15">
      <c r="A11" t="s">
        <v>15</v>
      </c>
      <c r="B11">
        <v>59</v>
      </c>
      <c r="C11">
        <v>60</v>
      </c>
      <c r="D11">
        <v>68</v>
      </c>
      <c r="E11">
        <v>42</v>
      </c>
      <c r="F11">
        <v>229</v>
      </c>
      <c r="G11" t="str">
        <f t="shared" si="0"/>
        <v>合格</v>
      </c>
    </row>
    <row r="12" spans="1:7" x14ac:dyDescent="0.15">
      <c r="A12" t="s">
        <v>16</v>
      </c>
      <c r="B12">
        <v>73</v>
      </c>
      <c r="C12">
        <v>77</v>
      </c>
      <c r="D12">
        <v>78</v>
      </c>
      <c r="E12">
        <v>93</v>
      </c>
      <c r="F12">
        <v>321</v>
      </c>
      <c r="G12" t="str">
        <f t="shared" si="0"/>
        <v>合格</v>
      </c>
    </row>
    <row r="13" spans="1:7" x14ac:dyDescent="0.15">
      <c r="A13" t="s">
        <v>17</v>
      </c>
      <c r="B13">
        <v>61</v>
      </c>
      <c r="C13">
        <v>92</v>
      </c>
      <c r="D13">
        <v>89</v>
      </c>
      <c r="E13">
        <v>60</v>
      </c>
      <c r="F13">
        <v>302</v>
      </c>
      <c r="G13" t="str">
        <f t="shared" si="0"/>
        <v>优秀</v>
      </c>
    </row>
    <row r="14" spans="1:7" x14ac:dyDescent="0.15">
      <c r="A14" t="s">
        <v>18</v>
      </c>
      <c r="B14">
        <v>85</v>
      </c>
      <c r="C14">
        <v>78</v>
      </c>
      <c r="D14">
        <v>72</v>
      </c>
      <c r="E14">
        <v>59</v>
      </c>
      <c r="F14">
        <v>294</v>
      </c>
      <c r="G14" t="str">
        <f t="shared" si="0"/>
        <v>合格</v>
      </c>
    </row>
    <row r="15" spans="1:7" x14ac:dyDescent="0.15">
      <c r="A15" t="s">
        <v>19</v>
      </c>
      <c r="B15">
        <v>67</v>
      </c>
      <c r="C15">
        <v>42</v>
      </c>
      <c r="D15">
        <v>65</v>
      </c>
      <c r="E15">
        <v>58</v>
      </c>
      <c r="F15">
        <v>232</v>
      </c>
      <c r="G15" t="str">
        <f t="shared" si="0"/>
        <v>合格</v>
      </c>
    </row>
    <row r="16" spans="1:7" x14ac:dyDescent="0.15">
      <c r="A16" t="s">
        <v>20</v>
      </c>
      <c r="B16">
        <v>69</v>
      </c>
      <c r="C16">
        <v>58</v>
      </c>
      <c r="D16">
        <v>79</v>
      </c>
      <c r="E16">
        <v>68</v>
      </c>
      <c r="F16">
        <v>274</v>
      </c>
      <c r="G16" t="str">
        <f t="shared" si="0"/>
        <v>合格</v>
      </c>
    </row>
    <row r="17" spans="1:7" x14ac:dyDescent="0.15">
      <c r="A17" t="s">
        <v>21</v>
      </c>
      <c r="B17">
        <v>74</v>
      </c>
      <c r="C17">
        <v>68</v>
      </c>
      <c r="D17">
        <v>51</v>
      </c>
      <c r="E17">
        <v>99</v>
      </c>
      <c r="F17">
        <v>292</v>
      </c>
      <c r="G17" t="str">
        <f t="shared" si="0"/>
        <v>合格</v>
      </c>
    </row>
    <row r="18" spans="1:7" x14ac:dyDescent="0.15">
      <c r="A18" t="s">
        <v>22</v>
      </c>
      <c r="B18">
        <v>82</v>
      </c>
      <c r="C18">
        <v>99</v>
      </c>
      <c r="D18">
        <v>66</v>
      </c>
      <c r="E18">
        <v>81</v>
      </c>
      <c r="F18">
        <v>328</v>
      </c>
      <c r="G18" t="str">
        <f t="shared" si="0"/>
        <v>优秀</v>
      </c>
    </row>
    <row r="19" spans="1:7" x14ac:dyDescent="0.15">
      <c r="A19" t="s">
        <v>23</v>
      </c>
      <c r="B19">
        <v>73</v>
      </c>
      <c r="C19">
        <v>81</v>
      </c>
      <c r="D19">
        <v>78</v>
      </c>
      <c r="E19">
        <v>31</v>
      </c>
      <c r="F19">
        <v>263</v>
      </c>
      <c r="G19" t="str">
        <f t="shared" si="0"/>
        <v>合格</v>
      </c>
    </row>
    <row r="20" spans="1:7" x14ac:dyDescent="0.15">
      <c r="A20" t="s">
        <v>24</v>
      </c>
      <c r="B20">
        <v>88</v>
      </c>
      <c r="C20">
        <v>31</v>
      </c>
      <c r="D20">
        <v>82</v>
      </c>
      <c r="E20">
        <v>57</v>
      </c>
      <c r="F20">
        <v>258</v>
      </c>
      <c r="G20" t="str">
        <f t="shared" si="0"/>
        <v>优秀</v>
      </c>
    </row>
    <row r="21" spans="1:7" x14ac:dyDescent="0.15">
      <c r="A21" t="s">
        <v>25</v>
      </c>
      <c r="B21">
        <v>68</v>
      </c>
      <c r="C21">
        <v>57</v>
      </c>
      <c r="D21">
        <v>59</v>
      </c>
      <c r="E21">
        <v>85</v>
      </c>
      <c r="F21">
        <v>269</v>
      </c>
      <c r="G21" t="str">
        <f t="shared" si="0"/>
        <v>合格</v>
      </c>
    </row>
    <row r="22" spans="1:7" x14ac:dyDescent="0.15">
      <c r="A22" t="s">
        <v>26</v>
      </c>
      <c r="B22">
        <v>78</v>
      </c>
      <c r="C22">
        <v>81</v>
      </c>
      <c r="D22">
        <v>73</v>
      </c>
      <c r="E22">
        <v>96</v>
      </c>
      <c r="F22">
        <v>328</v>
      </c>
      <c r="G22" t="str">
        <f t="shared" si="0"/>
        <v>优秀</v>
      </c>
    </row>
    <row r="23" spans="1:7" x14ac:dyDescent="0.15">
      <c r="A23" t="s">
        <v>27</v>
      </c>
      <c r="B23">
        <v>68</v>
      </c>
      <c r="C23">
        <v>63</v>
      </c>
      <c r="D23">
        <v>77</v>
      </c>
      <c r="E23">
        <v>78</v>
      </c>
      <c r="F23">
        <v>286</v>
      </c>
      <c r="G23" t="str">
        <f t="shared" si="0"/>
        <v>合格</v>
      </c>
    </row>
    <row r="24" spans="1:7" x14ac:dyDescent="0.15">
      <c r="A24" t="s">
        <v>28</v>
      </c>
      <c r="B24">
        <v>95</v>
      </c>
      <c r="C24">
        <v>52</v>
      </c>
      <c r="D24">
        <v>92</v>
      </c>
      <c r="E24">
        <v>89</v>
      </c>
      <c r="F24">
        <v>328</v>
      </c>
      <c r="G24" t="str">
        <f t="shared" si="0"/>
        <v>优秀</v>
      </c>
    </row>
    <row r="25" spans="1:7" x14ac:dyDescent="0.15">
      <c r="A25" t="s">
        <v>29</v>
      </c>
      <c r="B25">
        <v>68</v>
      </c>
      <c r="C25">
        <v>54</v>
      </c>
      <c r="D25">
        <v>69</v>
      </c>
      <c r="E25">
        <v>58</v>
      </c>
      <c r="F25">
        <v>249</v>
      </c>
      <c r="G25" t="str">
        <f t="shared" si="0"/>
        <v>合格</v>
      </c>
    </row>
    <row r="26" spans="1:7" x14ac:dyDescent="0.15">
      <c r="A26" t="s">
        <v>30</v>
      </c>
      <c r="B26">
        <v>85</v>
      </c>
      <c r="C26">
        <v>79</v>
      </c>
      <c r="D26">
        <v>74</v>
      </c>
      <c r="E26">
        <v>68</v>
      </c>
      <c r="F26">
        <v>306</v>
      </c>
      <c r="G26" t="str">
        <f t="shared" si="0"/>
        <v>合格</v>
      </c>
    </row>
    <row r="27" spans="1:7" x14ac:dyDescent="0.15">
      <c r="A27" t="s">
        <v>31</v>
      </c>
      <c r="B27">
        <v>64</v>
      </c>
      <c r="C27">
        <v>51</v>
      </c>
      <c r="D27">
        <v>82</v>
      </c>
      <c r="E27">
        <v>99</v>
      </c>
      <c r="F27">
        <v>296</v>
      </c>
      <c r="G27" t="str">
        <f t="shared" si="0"/>
        <v>优秀</v>
      </c>
    </row>
    <row r="28" spans="1:7" x14ac:dyDescent="0.15">
      <c r="A28" t="s">
        <v>32</v>
      </c>
      <c r="B28">
        <v>52</v>
      </c>
      <c r="C28">
        <v>66</v>
      </c>
      <c r="D28">
        <v>78</v>
      </c>
      <c r="E28">
        <v>93</v>
      </c>
      <c r="F28">
        <v>289</v>
      </c>
      <c r="G28" t="str">
        <f t="shared" si="0"/>
        <v>合格</v>
      </c>
    </row>
    <row r="29" spans="1:7" x14ac:dyDescent="0.15">
      <c r="A29" t="s">
        <v>33</v>
      </c>
      <c r="B29">
        <v>73</v>
      </c>
      <c r="C29">
        <v>78</v>
      </c>
      <c r="D29">
        <v>89</v>
      </c>
      <c r="E29">
        <v>60</v>
      </c>
      <c r="F29">
        <v>300</v>
      </c>
      <c r="G29" t="str">
        <f t="shared" si="0"/>
        <v>合格</v>
      </c>
    </row>
    <row r="30" spans="1:7" x14ac:dyDescent="0.15">
      <c r="A30" t="s">
        <v>34</v>
      </c>
      <c r="B30">
        <v>91</v>
      </c>
      <c r="C30">
        <v>82</v>
      </c>
      <c r="D30">
        <v>72</v>
      </c>
      <c r="E30">
        <v>59</v>
      </c>
      <c r="F30">
        <v>304</v>
      </c>
      <c r="G30" t="str">
        <f t="shared" si="0"/>
        <v>优秀</v>
      </c>
    </row>
    <row r="31" spans="1:7" x14ac:dyDescent="0.15">
      <c r="A31" t="s">
        <v>35</v>
      </c>
      <c r="B31">
        <v>96</v>
      </c>
      <c r="C31">
        <v>68</v>
      </c>
      <c r="D31">
        <v>63</v>
      </c>
      <c r="E31">
        <v>77</v>
      </c>
      <c r="F31">
        <v>304</v>
      </c>
      <c r="G31" t="str">
        <f t="shared" si="0"/>
        <v>合格</v>
      </c>
    </row>
    <row r="32" spans="1:7" x14ac:dyDescent="0.15">
      <c r="A32" t="s">
        <v>36</v>
      </c>
      <c r="B32">
        <v>68</v>
      </c>
      <c r="C32">
        <v>95</v>
      </c>
      <c r="D32">
        <v>52</v>
      </c>
      <c r="E32">
        <v>92</v>
      </c>
      <c r="F32">
        <v>307</v>
      </c>
      <c r="G32" t="str">
        <f t="shared" si="0"/>
        <v>优秀</v>
      </c>
    </row>
    <row r="33" spans="1:7" x14ac:dyDescent="0.15">
      <c r="A33" t="s">
        <v>37</v>
      </c>
      <c r="B33">
        <v>67</v>
      </c>
      <c r="C33">
        <v>68</v>
      </c>
      <c r="D33">
        <v>54</v>
      </c>
      <c r="E33">
        <v>69</v>
      </c>
      <c r="F33">
        <v>258</v>
      </c>
      <c r="G33" t="str">
        <f t="shared" si="0"/>
        <v>合格</v>
      </c>
    </row>
    <row r="34" spans="1:7" x14ac:dyDescent="0.15">
      <c r="A34" t="s">
        <v>42</v>
      </c>
      <c r="B34">
        <v>63</v>
      </c>
      <c r="C34">
        <v>85</v>
      </c>
      <c r="D34">
        <v>79</v>
      </c>
      <c r="E34">
        <v>74</v>
      </c>
      <c r="F34">
        <v>301</v>
      </c>
      <c r="G34" t="str">
        <f t="shared" si="0"/>
        <v>合格</v>
      </c>
    </row>
    <row r="35" spans="1:7" x14ac:dyDescent="0.15">
      <c r="A35" t="s">
        <v>43</v>
      </c>
      <c r="B35">
        <v>52</v>
      </c>
      <c r="C35">
        <v>68</v>
      </c>
      <c r="D35">
        <v>51</v>
      </c>
      <c r="E35">
        <v>99</v>
      </c>
      <c r="F35">
        <v>270</v>
      </c>
      <c r="G35" t="str">
        <f t="shared" si="0"/>
        <v>合格</v>
      </c>
    </row>
    <row r="36" spans="1:7" x14ac:dyDescent="0.15">
      <c r="A36" t="s">
        <v>44</v>
      </c>
      <c r="B36">
        <v>54</v>
      </c>
      <c r="C36">
        <v>99</v>
      </c>
      <c r="D36">
        <v>66</v>
      </c>
      <c r="E36">
        <v>81</v>
      </c>
      <c r="F36">
        <v>300</v>
      </c>
      <c r="G36" t="str">
        <f t="shared" si="0"/>
        <v>优秀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30"/>
  <sheetViews>
    <sheetView workbookViewId="0">
      <selection activeCell="J1" sqref="J1:J1048576"/>
    </sheetView>
  </sheetViews>
  <sheetFormatPr defaultRowHeight="14.25" x14ac:dyDescent="0.15"/>
  <cols>
    <col min="10" max="10" width="18.625" customWidth="1"/>
  </cols>
  <sheetData>
    <row r="1" spans="1:10" x14ac:dyDescent="0.15">
      <c r="A1" s="11" t="s">
        <v>46</v>
      </c>
      <c r="B1" s="11" t="s">
        <v>48</v>
      </c>
      <c r="C1" s="11" t="s">
        <v>49</v>
      </c>
    </row>
    <row r="2" spans="1:10" x14ac:dyDescent="0.15">
      <c r="A2" s="11" t="s">
        <v>47</v>
      </c>
    </row>
    <row r="3" spans="1:10" x14ac:dyDescent="0.15">
      <c r="B3" s="11" t="s">
        <v>47</v>
      </c>
    </row>
    <row r="4" spans="1:10" x14ac:dyDescent="0.15">
      <c r="C4" s="11" t="s">
        <v>47</v>
      </c>
    </row>
    <row r="10" spans="1:10" x14ac:dyDescent="0.15">
      <c r="D10" s="4" t="s">
        <v>0</v>
      </c>
      <c r="E10" s="5" t="s">
        <v>1</v>
      </c>
      <c r="F10" s="5" t="s">
        <v>2</v>
      </c>
      <c r="G10" s="5" t="s">
        <v>3</v>
      </c>
      <c r="H10" s="5" t="s">
        <v>4</v>
      </c>
      <c r="I10" s="5" t="s">
        <v>5</v>
      </c>
      <c r="J10" s="6" t="s">
        <v>6</v>
      </c>
    </row>
    <row r="11" spans="1:10" x14ac:dyDescent="0.15">
      <c r="D11" s="4" t="s">
        <v>7</v>
      </c>
      <c r="E11" s="5">
        <v>89</v>
      </c>
      <c r="F11" s="5">
        <v>79</v>
      </c>
      <c r="G11" s="5">
        <v>61</v>
      </c>
      <c r="H11" s="5">
        <v>59</v>
      </c>
      <c r="I11" s="5">
        <v>288</v>
      </c>
      <c r="J11" s="7">
        <v>0.30902777777777779</v>
      </c>
    </row>
    <row r="12" spans="1:10" x14ac:dyDescent="0.15">
      <c r="D12" s="4" t="s">
        <v>8</v>
      </c>
      <c r="E12" s="5">
        <v>72</v>
      </c>
      <c r="F12" s="5">
        <v>82</v>
      </c>
      <c r="G12" s="5">
        <v>85</v>
      </c>
      <c r="H12" s="5">
        <v>60</v>
      </c>
      <c r="I12" s="5">
        <v>299</v>
      </c>
      <c r="J12" s="7">
        <v>0.24080267558528429</v>
      </c>
    </row>
    <row r="13" spans="1:10" x14ac:dyDescent="0.15">
      <c r="D13" s="4" t="s">
        <v>12</v>
      </c>
      <c r="E13" s="5">
        <v>66</v>
      </c>
      <c r="F13" s="5">
        <v>93</v>
      </c>
      <c r="G13" s="5">
        <v>82</v>
      </c>
      <c r="H13" s="5">
        <v>42</v>
      </c>
      <c r="I13" s="5">
        <v>283</v>
      </c>
      <c r="J13" s="7">
        <v>0.2332155477031802</v>
      </c>
    </row>
    <row r="14" spans="1:10" x14ac:dyDescent="0.15">
      <c r="D14" s="4" t="s">
        <v>14</v>
      </c>
      <c r="E14" s="5">
        <v>82</v>
      </c>
      <c r="F14" s="5">
        <v>59</v>
      </c>
      <c r="G14" s="5">
        <v>88</v>
      </c>
      <c r="H14" s="5">
        <v>63</v>
      </c>
      <c r="I14" s="5">
        <v>292</v>
      </c>
      <c r="J14" s="7">
        <v>0.28082191780821919</v>
      </c>
    </row>
    <row r="15" spans="1:10" x14ac:dyDescent="0.15">
      <c r="D15" s="4" t="s">
        <v>17</v>
      </c>
      <c r="E15" s="5">
        <v>61</v>
      </c>
      <c r="F15" s="5">
        <v>92</v>
      </c>
      <c r="G15" s="5">
        <v>89</v>
      </c>
      <c r="H15" s="5">
        <v>60</v>
      </c>
      <c r="I15" s="5">
        <v>302</v>
      </c>
      <c r="J15" s="7">
        <v>0.20198675496688742</v>
      </c>
    </row>
    <row r="16" spans="1:10" x14ac:dyDescent="0.15">
      <c r="D16" s="4" t="s">
        <v>18</v>
      </c>
      <c r="E16" s="5">
        <v>85</v>
      </c>
      <c r="F16" s="5">
        <v>78</v>
      </c>
      <c r="G16" s="5">
        <v>72</v>
      </c>
      <c r="H16" s="5">
        <v>59</v>
      </c>
      <c r="I16" s="5">
        <v>294</v>
      </c>
      <c r="J16" s="7">
        <v>0.28911564625850339</v>
      </c>
    </row>
    <row r="17" spans="4:10" x14ac:dyDescent="0.15">
      <c r="D17" s="4" t="s">
        <v>22</v>
      </c>
      <c r="E17" s="5">
        <v>82</v>
      </c>
      <c r="F17" s="5">
        <v>99</v>
      </c>
      <c r="G17" s="5">
        <v>66</v>
      </c>
      <c r="H17" s="5">
        <v>81</v>
      </c>
      <c r="I17" s="5">
        <v>328</v>
      </c>
      <c r="J17" s="7">
        <v>0.25</v>
      </c>
    </row>
    <row r="18" spans="4:10" x14ac:dyDescent="0.15">
      <c r="D18" s="4" t="s">
        <v>23</v>
      </c>
      <c r="E18" s="5">
        <v>73</v>
      </c>
      <c r="F18" s="5">
        <v>81</v>
      </c>
      <c r="G18" s="5">
        <v>78</v>
      </c>
      <c r="H18" s="5">
        <v>31</v>
      </c>
      <c r="I18" s="5">
        <v>263</v>
      </c>
      <c r="J18" s="7">
        <v>0.27756653992395436</v>
      </c>
    </row>
    <row r="19" spans="4:10" x14ac:dyDescent="0.15">
      <c r="D19" s="4" t="s">
        <v>24</v>
      </c>
      <c r="E19" s="5">
        <v>88</v>
      </c>
      <c r="F19" s="5">
        <v>31</v>
      </c>
      <c r="G19" s="5">
        <v>82</v>
      </c>
      <c r="H19" s="5">
        <v>57</v>
      </c>
      <c r="I19" s="5">
        <v>258</v>
      </c>
      <c r="J19" s="7">
        <v>0.34108527131782945</v>
      </c>
    </row>
    <row r="20" spans="4:10" x14ac:dyDescent="0.15">
      <c r="D20" s="4" t="s">
        <v>26</v>
      </c>
      <c r="E20" s="5">
        <v>78</v>
      </c>
      <c r="F20" s="5">
        <v>81</v>
      </c>
      <c r="G20" s="5">
        <v>73</v>
      </c>
      <c r="H20" s="5">
        <v>96</v>
      </c>
      <c r="I20" s="5">
        <v>328</v>
      </c>
      <c r="J20" s="7">
        <v>0.23780487804878048</v>
      </c>
    </row>
    <row r="21" spans="4:10" x14ac:dyDescent="0.15">
      <c r="D21" s="4" t="s">
        <v>28</v>
      </c>
      <c r="E21" s="5">
        <v>95</v>
      </c>
      <c r="F21" s="5">
        <v>52</v>
      </c>
      <c r="G21" s="5">
        <v>92</v>
      </c>
      <c r="H21" s="5">
        <v>89</v>
      </c>
      <c r="I21" s="5">
        <v>328</v>
      </c>
      <c r="J21" s="7">
        <v>0.28963414634146339</v>
      </c>
    </row>
    <row r="22" spans="4:10" x14ac:dyDescent="0.15">
      <c r="D22" s="4" t="s">
        <v>30</v>
      </c>
      <c r="E22" s="5">
        <v>85</v>
      </c>
      <c r="F22" s="5">
        <v>79</v>
      </c>
      <c r="G22" s="5">
        <v>74</v>
      </c>
      <c r="H22" s="5">
        <v>68</v>
      </c>
      <c r="I22" s="5">
        <v>306</v>
      </c>
      <c r="J22" s="7">
        <v>0.27777777777777779</v>
      </c>
    </row>
    <row r="23" spans="4:10" x14ac:dyDescent="0.15">
      <c r="D23" s="4" t="s">
        <v>31</v>
      </c>
      <c r="E23" s="5">
        <v>64</v>
      </c>
      <c r="F23" s="5">
        <v>51</v>
      </c>
      <c r="G23" s="5">
        <v>82</v>
      </c>
      <c r="H23" s="5">
        <v>99</v>
      </c>
      <c r="I23" s="5">
        <v>296</v>
      </c>
      <c r="J23" s="7">
        <v>0.21621621621621623</v>
      </c>
    </row>
    <row r="24" spans="4:10" x14ac:dyDescent="0.15">
      <c r="D24" s="4" t="s">
        <v>33</v>
      </c>
      <c r="E24" s="5">
        <v>73</v>
      </c>
      <c r="F24" s="5">
        <v>78</v>
      </c>
      <c r="G24" s="5">
        <v>89</v>
      </c>
      <c r="H24" s="5">
        <v>60</v>
      </c>
      <c r="I24" s="5">
        <v>300</v>
      </c>
      <c r="J24" s="7">
        <v>0.24333333333333335</v>
      </c>
    </row>
    <row r="25" spans="4:10" x14ac:dyDescent="0.15">
      <c r="D25" s="4" t="s">
        <v>34</v>
      </c>
      <c r="E25" s="5">
        <v>91</v>
      </c>
      <c r="F25" s="5">
        <v>82</v>
      </c>
      <c r="G25" s="5">
        <v>72</v>
      </c>
      <c r="H25" s="5">
        <v>59</v>
      </c>
      <c r="I25" s="5">
        <v>304</v>
      </c>
      <c r="J25" s="7">
        <v>0.29934210526315791</v>
      </c>
    </row>
    <row r="26" spans="4:10" x14ac:dyDescent="0.15">
      <c r="D26" s="4" t="s">
        <v>35</v>
      </c>
      <c r="E26" s="5">
        <v>96</v>
      </c>
      <c r="F26" s="5">
        <v>68</v>
      </c>
      <c r="G26" s="5">
        <v>63</v>
      </c>
      <c r="H26" s="5">
        <v>77</v>
      </c>
      <c r="I26" s="5">
        <v>304</v>
      </c>
      <c r="J26" s="7">
        <v>0.31578947368421051</v>
      </c>
    </row>
    <row r="27" spans="4:10" x14ac:dyDescent="0.15">
      <c r="D27" s="4" t="s">
        <v>36</v>
      </c>
      <c r="E27" s="5">
        <v>68</v>
      </c>
      <c r="F27" s="5">
        <v>95</v>
      </c>
      <c r="G27" s="5">
        <v>52</v>
      </c>
      <c r="H27" s="5">
        <v>92</v>
      </c>
      <c r="I27" s="5">
        <v>307</v>
      </c>
      <c r="J27" s="7">
        <v>0.22149837133550487</v>
      </c>
    </row>
    <row r="28" spans="4:10" x14ac:dyDescent="0.15">
      <c r="D28" s="4" t="s">
        <v>38</v>
      </c>
      <c r="E28" s="5">
        <v>63</v>
      </c>
      <c r="F28" s="5">
        <v>85</v>
      </c>
      <c r="G28" s="5">
        <v>79</v>
      </c>
      <c r="H28" s="5">
        <v>74</v>
      </c>
      <c r="I28" s="5">
        <v>301</v>
      </c>
      <c r="J28" s="7">
        <v>0.20930232558139536</v>
      </c>
    </row>
    <row r="29" spans="4:10" ht="15" thickBot="1" x14ac:dyDescent="0.2">
      <c r="D29" s="8" t="s">
        <v>40</v>
      </c>
      <c r="E29" s="9">
        <v>54</v>
      </c>
      <c r="F29" s="9">
        <v>99</v>
      </c>
      <c r="G29" s="9">
        <v>66</v>
      </c>
      <c r="H29" s="9">
        <v>81</v>
      </c>
      <c r="I29" s="9">
        <v>300</v>
      </c>
      <c r="J29" s="10">
        <v>0.18</v>
      </c>
    </row>
    <row r="30" spans="4:10" ht="15" thickTop="1" x14ac:dyDescent="0.15"/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view="pageLayout" zoomScaleNormal="100" workbookViewId="0">
      <selection activeCell="A2" sqref="A2:D8"/>
    </sheetView>
  </sheetViews>
  <sheetFormatPr defaultRowHeight="14.25" x14ac:dyDescent="0.15"/>
  <cols>
    <col min="7" max="7" width="18.375" bestFit="1" customWidth="1"/>
  </cols>
  <sheetData>
    <row r="1" spans="1:7" ht="26.1" customHeight="1" thickTop="1" x14ac:dyDescent="0.15">
      <c r="A1" s="1" t="s">
        <v>41</v>
      </c>
      <c r="B1" s="2"/>
      <c r="C1" s="2"/>
      <c r="D1" s="2"/>
      <c r="E1" s="2"/>
      <c r="F1" s="2"/>
      <c r="G1" s="3"/>
    </row>
    <row r="2" spans="1:7" x14ac:dyDescent="0.15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</row>
    <row r="3" spans="1:7" x14ac:dyDescent="0.15">
      <c r="A3" s="4" t="s">
        <v>22</v>
      </c>
      <c r="B3" s="5">
        <v>82</v>
      </c>
      <c r="C3" s="5">
        <v>99</v>
      </c>
      <c r="D3" s="5">
        <v>66</v>
      </c>
      <c r="E3" s="5">
        <v>81</v>
      </c>
      <c r="F3" s="5">
        <f t="shared" ref="F3:F36" si="0">SUM(B3:E3)</f>
        <v>328</v>
      </c>
      <c r="G3" s="7">
        <f t="shared" ref="G3:G36" si="1">B3/F3</f>
        <v>0.25</v>
      </c>
    </row>
    <row r="4" spans="1:7" x14ac:dyDescent="0.15">
      <c r="A4" s="4" t="s">
        <v>26</v>
      </c>
      <c r="B4" s="5">
        <v>78</v>
      </c>
      <c r="C4" s="5">
        <v>81</v>
      </c>
      <c r="D4" s="5">
        <v>73</v>
      </c>
      <c r="E4" s="5">
        <v>96</v>
      </c>
      <c r="F4" s="5">
        <f t="shared" si="0"/>
        <v>328</v>
      </c>
      <c r="G4" s="7">
        <f t="shared" si="1"/>
        <v>0.23780487804878048</v>
      </c>
    </row>
    <row r="5" spans="1:7" x14ac:dyDescent="0.15">
      <c r="A5" s="4" t="s">
        <v>28</v>
      </c>
      <c r="B5" s="5">
        <v>95</v>
      </c>
      <c r="C5" s="5">
        <v>52</v>
      </c>
      <c r="D5" s="5">
        <v>92</v>
      </c>
      <c r="E5" s="5">
        <v>89</v>
      </c>
      <c r="F5" s="5">
        <f t="shared" si="0"/>
        <v>328</v>
      </c>
      <c r="G5" s="7">
        <f t="shared" si="1"/>
        <v>0.28963414634146339</v>
      </c>
    </row>
    <row r="6" spans="1:7" x14ac:dyDescent="0.15">
      <c r="A6" s="4" t="s">
        <v>16</v>
      </c>
      <c r="B6" s="5">
        <v>73</v>
      </c>
      <c r="C6" s="5">
        <v>77</v>
      </c>
      <c r="D6" s="5">
        <v>78</v>
      </c>
      <c r="E6" s="5">
        <v>93</v>
      </c>
      <c r="F6" s="5">
        <f t="shared" si="0"/>
        <v>321</v>
      </c>
      <c r="G6" s="7">
        <f t="shared" si="1"/>
        <v>0.22741433021806853</v>
      </c>
    </row>
    <row r="7" spans="1:7" x14ac:dyDescent="0.15">
      <c r="A7" s="4" t="s">
        <v>36</v>
      </c>
      <c r="B7" s="5">
        <v>68</v>
      </c>
      <c r="C7" s="5">
        <v>95</v>
      </c>
      <c r="D7" s="5">
        <v>52</v>
      </c>
      <c r="E7" s="5">
        <v>92</v>
      </c>
      <c r="F7" s="5">
        <f t="shared" si="0"/>
        <v>307</v>
      </c>
      <c r="G7" s="7">
        <f t="shared" si="1"/>
        <v>0.22149837133550487</v>
      </c>
    </row>
    <row r="8" spans="1:7" x14ac:dyDescent="0.15">
      <c r="A8" s="4" t="s">
        <v>30</v>
      </c>
      <c r="B8" s="5">
        <v>85</v>
      </c>
      <c r="C8" s="5">
        <v>79</v>
      </c>
      <c r="D8" s="5">
        <v>74</v>
      </c>
      <c r="E8" s="5">
        <v>68</v>
      </c>
      <c r="F8" s="5">
        <f t="shared" si="0"/>
        <v>306</v>
      </c>
      <c r="G8" s="7">
        <f t="shared" si="1"/>
        <v>0.27777777777777779</v>
      </c>
    </row>
    <row r="9" spans="1:7" x14ac:dyDescent="0.15">
      <c r="A9" s="4" t="s">
        <v>34</v>
      </c>
      <c r="B9" s="5">
        <v>91</v>
      </c>
      <c r="C9" s="5">
        <v>82</v>
      </c>
      <c r="D9" s="5">
        <v>72</v>
      </c>
      <c r="E9" s="5">
        <v>59</v>
      </c>
      <c r="F9" s="5">
        <f t="shared" si="0"/>
        <v>304</v>
      </c>
      <c r="G9" s="7">
        <f t="shared" si="1"/>
        <v>0.29934210526315791</v>
      </c>
    </row>
    <row r="10" spans="1:7" x14ac:dyDescent="0.15">
      <c r="A10" s="4" t="s">
        <v>35</v>
      </c>
      <c r="B10" s="5">
        <v>96</v>
      </c>
      <c r="C10" s="5">
        <v>68</v>
      </c>
      <c r="D10" s="5">
        <v>63</v>
      </c>
      <c r="E10" s="5">
        <v>77</v>
      </c>
      <c r="F10" s="5">
        <f t="shared" si="0"/>
        <v>304</v>
      </c>
      <c r="G10" s="7">
        <f t="shared" si="1"/>
        <v>0.31578947368421051</v>
      </c>
    </row>
    <row r="11" spans="1:7" x14ac:dyDescent="0.15">
      <c r="A11" s="4" t="s">
        <v>10</v>
      </c>
      <c r="B11" s="5">
        <v>79</v>
      </c>
      <c r="C11" s="5">
        <v>63</v>
      </c>
      <c r="D11" s="5">
        <v>69</v>
      </c>
      <c r="E11" s="5">
        <v>92</v>
      </c>
      <c r="F11" s="5">
        <f t="shared" si="0"/>
        <v>303</v>
      </c>
      <c r="G11" s="7">
        <f t="shared" si="1"/>
        <v>0.26072607260726072</v>
      </c>
    </row>
    <row r="12" spans="1:7" x14ac:dyDescent="0.15">
      <c r="A12" s="4" t="s">
        <v>17</v>
      </c>
      <c r="B12" s="5">
        <v>61</v>
      </c>
      <c r="C12" s="5">
        <v>92</v>
      </c>
      <c r="D12" s="5">
        <v>89</v>
      </c>
      <c r="E12" s="5">
        <v>60</v>
      </c>
      <c r="F12" s="5">
        <f t="shared" si="0"/>
        <v>302</v>
      </c>
      <c r="G12" s="7">
        <f t="shared" si="1"/>
        <v>0.20198675496688742</v>
      </c>
    </row>
    <row r="13" spans="1:7" x14ac:dyDescent="0.15">
      <c r="A13" s="4" t="s">
        <v>38</v>
      </c>
      <c r="B13" s="5">
        <v>63</v>
      </c>
      <c r="C13" s="5">
        <v>85</v>
      </c>
      <c r="D13" s="5">
        <v>79</v>
      </c>
      <c r="E13" s="5">
        <v>74</v>
      </c>
      <c r="F13" s="5">
        <f t="shared" si="0"/>
        <v>301</v>
      </c>
      <c r="G13" s="7">
        <f t="shared" si="1"/>
        <v>0.20930232558139536</v>
      </c>
    </row>
    <row r="14" spans="1:7" x14ac:dyDescent="0.15">
      <c r="A14" s="4" t="s">
        <v>40</v>
      </c>
      <c r="B14" s="5">
        <v>54</v>
      </c>
      <c r="C14" s="5">
        <v>99</v>
      </c>
      <c r="D14" s="5">
        <v>66</v>
      </c>
      <c r="E14" s="5">
        <v>81</v>
      </c>
      <c r="F14" s="5">
        <f t="shared" si="0"/>
        <v>300</v>
      </c>
      <c r="G14" s="7">
        <f t="shared" si="1"/>
        <v>0.18</v>
      </c>
    </row>
    <row r="15" spans="1:7" x14ac:dyDescent="0.15">
      <c r="A15" s="4" t="s">
        <v>33</v>
      </c>
      <c r="B15" s="5">
        <v>73</v>
      </c>
      <c r="C15" s="5">
        <v>78</v>
      </c>
      <c r="D15" s="5">
        <v>89</v>
      </c>
      <c r="E15" s="5">
        <v>60</v>
      </c>
      <c r="F15" s="5">
        <f t="shared" si="0"/>
        <v>300</v>
      </c>
      <c r="G15" s="7">
        <f t="shared" si="1"/>
        <v>0.24333333333333335</v>
      </c>
    </row>
    <row r="16" spans="1:7" x14ac:dyDescent="0.15">
      <c r="A16" s="4" t="s">
        <v>8</v>
      </c>
      <c r="B16" s="5">
        <v>72</v>
      </c>
      <c r="C16" s="5">
        <v>82</v>
      </c>
      <c r="D16" s="5">
        <v>85</v>
      </c>
      <c r="E16" s="5">
        <v>60</v>
      </c>
      <c r="F16" s="5">
        <f t="shared" si="0"/>
        <v>299</v>
      </c>
      <c r="G16" s="7">
        <f t="shared" si="1"/>
        <v>0.24080267558528429</v>
      </c>
    </row>
    <row r="17" spans="1:7" x14ac:dyDescent="0.15">
      <c r="A17" s="4" t="s">
        <v>31</v>
      </c>
      <c r="B17" s="5">
        <v>64</v>
      </c>
      <c r="C17" s="5">
        <v>51</v>
      </c>
      <c r="D17" s="5">
        <v>82</v>
      </c>
      <c r="E17" s="5">
        <v>99</v>
      </c>
      <c r="F17" s="5">
        <f t="shared" si="0"/>
        <v>296</v>
      </c>
      <c r="G17" s="7">
        <f t="shared" si="1"/>
        <v>0.21621621621621623</v>
      </c>
    </row>
    <row r="18" spans="1:7" x14ac:dyDescent="0.15">
      <c r="A18" s="4" t="s">
        <v>18</v>
      </c>
      <c r="B18" s="5">
        <v>85</v>
      </c>
      <c r="C18" s="5">
        <v>78</v>
      </c>
      <c r="D18" s="5">
        <v>72</v>
      </c>
      <c r="E18" s="5">
        <v>59</v>
      </c>
      <c r="F18" s="5">
        <f t="shared" si="0"/>
        <v>294</v>
      </c>
      <c r="G18" s="7">
        <f t="shared" si="1"/>
        <v>0.28911564625850339</v>
      </c>
    </row>
    <row r="19" spans="1:7" x14ac:dyDescent="0.15">
      <c r="A19" s="4" t="s">
        <v>21</v>
      </c>
      <c r="B19" s="5">
        <v>74</v>
      </c>
      <c r="C19" s="5">
        <v>68</v>
      </c>
      <c r="D19" s="5">
        <v>51</v>
      </c>
      <c r="E19" s="5">
        <v>99</v>
      </c>
      <c r="F19" s="5">
        <f t="shared" si="0"/>
        <v>292</v>
      </c>
      <c r="G19" s="7">
        <f t="shared" si="1"/>
        <v>0.25342465753424659</v>
      </c>
    </row>
    <row r="20" spans="1:7" x14ac:dyDescent="0.15">
      <c r="A20" s="4" t="s">
        <v>14</v>
      </c>
      <c r="B20" s="5">
        <v>82</v>
      </c>
      <c r="C20" s="5">
        <v>59</v>
      </c>
      <c r="D20" s="5">
        <v>88</v>
      </c>
      <c r="E20" s="5">
        <v>63</v>
      </c>
      <c r="F20" s="5">
        <f t="shared" si="0"/>
        <v>292</v>
      </c>
      <c r="G20" s="7">
        <f t="shared" si="1"/>
        <v>0.28082191780821919</v>
      </c>
    </row>
    <row r="21" spans="1:7" x14ac:dyDescent="0.15">
      <c r="A21" s="4" t="s">
        <v>32</v>
      </c>
      <c r="B21" s="5">
        <v>52</v>
      </c>
      <c r="C21" s="5">
        <v>66</v>
      </c>
      <c r="D21" s="5">
        <v>78</v>
      </c>
      <c r="E21" s="5">
        <v>93</v>
      </c>
      <c r="F21" s="5">
        <f t="shared" si="0"/>
        <v>289</v>
      </c>
      <c r="G21" s="7">
        <f t="shared" si="1"/>
        <v>0.17993079584775087</v>
      </c>
    </row>
    <row r="22" spans="1:7" x14ac:dyDescent="0.15">
      <c r="A22" s="4" t="s">
        <v>7</v>
      </c>
      <c r="B22" s="5">
        <v>89</v>
      </c>
      <c r="C22" s="5">
        <v>79</v>
      </c>
      <c r="D22" s="5">
        <v>61</v>
      </c>
      <c r="E22" s="5">
        <v>59</v>
      </c>
      <c r="F22" s="5">
        <f t="shared" si="0"/>
        <v>288</v>
      </c>
      <c r="G22" s="7">
        <f t="shared" si="1"/>
        <v>0.30902777777777779</v>
      </c>
    </row>
    <row r="23" spans="1:7" x14ac:dyDescent="0.15">
      <c r="A23" s="4" t="s">
        <v>27</v>
      </c>
      <c r="B23" s="5">
        <v>68</v>
      </c>
      <c r="C23" s="5">
        <v>63</v>
      </c>
      <c r="D23" s="5">
        <v>77</v>
      </c>
      <c r="E23" s="5">
        <v>78</v>
      </c>
      <c r="F23" s="5">
        <f t="shared" si="0"/>
        <v>286</v>
      </c>
      <c r="G23" s="7">
        <f t="shared" si="1"/>
        <v>0.23776223776223776</v>
      </c>
    </row>
    <row r="24" spans="1:7" x14ac:dyDescent="0.15">
      <c r="A24" s="4" t="s">
        <v>12</v>
      </c>
      <c r="B24" s="5">
        <v>66</v>
      </c>
      <c r="C24" s="5">
        <v>93</v>
      </c>
      <c r="D24" s="5">
        <v>82</v>
      </c>
      <c r="E24" s="5">
        <v>42</v>
      </c>
      <c r="F24" s="5">
        <f t="shared" si="0"/>
        <v>283</v>
      </c>
      <c r="G24" s="7">
        <f t="shared" si="1"/>
        <v>0.2332155477031802</v>
      </c>
    </row>
    <row r="25" spans="1:7" x14ac:dyDescent="0.15">
      <c r="A25" s="4" t="s">
        <v>20</v>
      </c>
      <c r="B25" s="5">
        <v>69</v>
      </c>
      <c r="C25" s="5">
        <v>58</v>
      </c>
      <c r="D25" s="5">
        <v>79</v>
      </c>
      <c r="E25" s="5">
        <v>68</v>
      </c>
      <c r="F25" s="5">
        <f t="shared" si="0"/>
        <v>274</v>
      </c>
      <c r="G25" s="7">
        <f t="shared" si="1"/>
        <v>0.2518248175182482</v>
      </c>
    </row>
    <row r="26" spans="1:7" x14ac:dyDescent="0.15">
      <c r="A26" s="4" t="s">
        <v>39</v>
      </c>
      <c r="B26" s="5">
        <v>52</v>
      </c>
      <c r="C26" s="5">
        <v>68</v>
      </c>
      <c r="D26" s="5">
        <v>51</v>
      </c>
      <c r="E26" s="5">
        <v>99</v>
      </c>
      <c r="F26" s="5">
        <f t="shared" si="0"/>
        <v>270</v>
      </c>
      <c r="G26" s="7">
        <f t="shared" si="1"/>
        <v>0.19259259259259259</v>
      </c>
    </row>
    <row r="27" spans="1:7" x14ac:dyDescent="0.15">
      <c r="A27" s="4" t="s">
        <v>25</v>
      </c>
      <c r="B27" s="5">
        <v>68</v>
      </c>
      <c r="C27" s="5">
        <v>57</v>
      </c>
      <c r="D27" s="5">
        <v>59</v>
      </c>
      <c r="E27" s="5">
        <v>85</v>
      </c>
      <c r="F27" s="5">
        <f t="shared" si="0"/>
        <v>269</v>
      </c>
      <c r="G27" s="7">
        <f t="shared" si="1"/>
        <v>0.25278810408921931</v>
      </c>
    </row>
    <row r="28" spans="1:7" x14ac:dyDescent="0.15">
      <c r="A28" s="4" t="s">
        <v>23</v>
      </c>
      <c r="B28" s="5">
        <v>73</v>
      </c>
      <c r="C28" s="5">
        <v>81</v>
      </c>
      <c r="D28" s="5">
        <v>78</v>
      </c>
      <c r="E28" s="5">
        <v>31</v>
      </c>
      <c r="F28" s="5">
        <f t="shared" si="0"/>
        <v>263</v>
      </c>
      <c r="G28" s="7">
        <f t="shared" si="1"/>
        <v>0.27756653992395436</v>
      </c>
    </row>
    <row r="29" spans="1:7" x14ac:dyDescent="0.15">
      <c r="A29" s="4" t="s">
        <v>13</v>
      </c>
      <c r="B29" s="5">
        <v>78</v>
      </c>
      <c r="C29" s="5">
        <v>60</v>
      </c>
      <c r="D29" s="5">
        <v>73</v>
      </c>
      <c r="E29" s="5">
        <v>51</v>
      </c>
      <c r="F29" s="5">
        <f t="shared" si="0"/>
        <v>262</v>
      </c>
      <c r="G29" s="7">
        <f t="shared" si="1"/>
        <v>0.29770992366412213</v>
      </c>
    </row>
    <row r="30" spans="1:7" x14ac:dyDescent="0.15">
      <c r="A30" s="4" t="s">
        <v>9</v>
      </c>
      <c r="B30" s="5">
        <v>65</v>
      </c>
      <c r="C30" s="5">
        <v>51</v>
      </c>
      <c r="D30" s="5">
        <v>67</v>
      </c>
      <c r="E30" s="5">
        <v>77</v>
      </c>
      <c r="F30" s="5">
        <f t="shared" si="0"/>
        <v>260</v>
      </c>
      <c r="G30" s="7">
        <f t="shared" si="1"/>
        <v>0.25</v>
      </c>
    </row>
    <row r="31" spans="1:7" x14ac:dyDescent="0.15">
      <c r="A31" s="4" t="s">
        <v>37</v>
      </c>
      <c r="B31" s="5">
        <v>67</v>
      </c>
      <c r="C31" s="5">
        <v>68</v>
      </c>
      <c r="D31" s="5">
        <v>54</v>
      </c>
      <c r="E31" s="5">
        <v>69</v>
      </c>
      <c r="F31" s="5">
        <f t="shared" si="0"/>
        <v>258</v>
      </c>
      <c r="G31" s="7">
        <f t="shared" si="1"/>
        <v>0.25968992248062017</v>
      </c>
    </row>
    <row r="32" spans="1:7" x14ac:dyDescent="0.15">
      <c r="A32" s="4" t="s">
        <v>24</v>
      </c>
      <c r="B32" s="5">
        <v>88</v>
      </c>
      <c r="C32" s="5">
        <v>31</v>
      </c>
      <c r="D32" s="5">
        <v>82</v>
      </c>
      <c r="E32" s="5">
        <v>57</v>
      </c>
      <c r="F32" s="5">
        <f t="shared" si="0"/>
        <v>258</v>
      </c>
      <c r="G32" s="7">
        <f t="shared" si="1"/>
        <v>0.34108527131782945</v>
      </c>
    </row>
    <row r="33" spans="1:7" x14ac:dyDescent="0.15">
      <c r="A33" s="4" t="s">
        <v>29</v>
      </c>
      <c r="B33" s="5">
        <v>68</v>
      </c>
      <c r="C33" s="5">
        <v>54</v>
      </c>
      <c r="D33" s="5">
        <v>69</v>
      </c>
      <c r="E33" s="5">
        <v>58</v>
      </c>
      <c r="F33" s="5">
        <f t="shared" si="0"/>
        <v>249</v>
      </c>
      <c r="G33" s="7">
        <f t="shared" si="1"/>
        <v>0.27309236947791166</v>
      </c>
    </row>
    <row r="34" spans="1:7" x14ac:dyDescent="0.15">
      <c r="A34" s="4" t="s">
        <v>11</v>
      </c>
      <c r="B34" s="5">
        <v>51</v>
      </c>
      <c r="C34" s="5">
        <v>42</v>
      </c>
      <c r="D34" s="5">
        <v>74</v>
      </c>
      <c r="E34" s="5">
        <v>78</v>
      </c>
      <c r="F34" s="5">
        <f t="shared" si="0"/>
        <v>245</v>
      </c>
      <c r="G34" s="7">
        <f t="shared" si="1"/>
        <v>0.20816326530612245</v>
      </c>
    </row>
    <row r="35" spans="1:7" x14ac:dyDescent="0.15">
      <c r="A35" s="4" t="s">
        <v>19</v>
      </c>
      <c r="B35" s="5">
        <v>67</v>
      </c>
      <c r="C35" s="5">
        <v>42</v>
      </c>
      <c r="D35" s="5">
        <v>65</v>
      </c>
      <c r="E35" s="5">
        <v>58</v>
      </c>
      <c r="F35" s="5">
        <f t="shared" si="0"/>
        <v>232</v>
      </c>
      <c r="G35" s="7">
        <f t="shared" si="1"/>
        <v>0.28879310344827586</v>
      </c>
    </row>
    <row r="36" spans="1:7" ht="15" thickBot="1" x14ac:dyDescent="0.2">
      <c r="A36" s="8" t="s">
        <v>15</v>
      </c>
      <c r="B36" s="9">
        <v>59</v>
      </c>
      <c r="C36" s="9">
        <v>60</v>
      </c>
      <c r="D36" s="9">
        <v>68</v>
      </c>
      <c r="E36" s="9">
        <v>42</v>
      </c>
      <c r="F36" s="9">
        <f t="shared" si="0"/>
        <v>229</v>
      </c>
      <c r="G36" s="10">
        <f t="shared" si="1"/>
        <v>0.2576419213973799</v>
      </c>
    </row>
    <row r="37" spans="1:7" ht="15" thickTop="1" x14ac:dyDescent="0.15"/>
  </sheetData>
  <sortState ref="A3:G36">
    <sortCondition descending="1" ref="F3:F36"/>
    <sortCondition descending="1" ref="C3:C36"/>
    <sortCondition descending="1" ref="B3:B36"/>
  </sortState>
  <phoneticPr fontId="1" type="noConversion"/>
  <pageMargins left="0.70866141732283472" right="0.70866141732283472" top="0.74803149606299213" bottom="0.74803149606299213" header="0.31496062992125984" footer="0.31496062992125984"/>
  <pageSetup paperSize="9" firstPageNumber="4" orientation="portrait" useFirstPageNumber="1" r:id="rId1"/>
  <headerFooter>
    <oddFooter>&amp;C第 &amp;P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6" sqref="J16"/>
    </sheetView>
  </sheetViews>
  <sheetFormatPr defaultRowHeight="14.25" x14ac:dyDescent="0.1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Sheet1</vt:lpstr>
      <vt:lpstr>Sheet2</vt:lpstr>
      <vt:lpstr>筛选</vt:lpstr>
      <vt:lpstr>排序</vt:lpstr>
      <vt:lpstr>图表</vt:lpstr>
      <vt:lpstr>筛选!Criteria</vt:lpstr>
      <vt:lpstr>筛选!提取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2018-09-21T08:52:10Z</dcterms:modified>
</cp:coreProperties>
</file>