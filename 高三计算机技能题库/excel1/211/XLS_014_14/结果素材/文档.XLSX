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 activeTab="3"/>
  </bookViews>
  <sheets>
    <sheet name="Sheet1" sheetId="1" r:id="rId1"/>
    <sheet name="Sheet2" sheetId="2" r:id="rId2"/>
    <sheet name="筛选" sheetId="3" r:id="rId3"/>
    <sheet name="排序" sheetId="4" r:id="rId4"/>
    <sheet name="图表" sheetId="5" r:id="rId5"/>
  </sheets>
  <definedNames>
    <definedName name="_xlnm.Criteria" localSheetId="2">筛选!$A$1:$B$3</definedName>
    <definedName name="_xlnm.Extract" localSheetId="2">筛选!$B$6:$G$6</definedName>
  </definedNames>
  <calcPr calcId="144525"/>
</workbook>
</file>

<file path=xl/calcChain.xml><?xml version="1.0" encoding="utf-8"?>
<calcChain xmlns="http://schemas.openxmlformats.org/spreadsheetml/2006/main">
  <c r="F34" i="4" l="1"/>
  <c r="F30" i="4"/>
  <c r="F37" i="4"/>
  <c r="F31" i="4"/>
  <c r="F28" i="4"/>
  <c r="F19" i="4"/>
  <c r="F27" i="4"/>
  <c r="F25" i="4"/>
  <c r="F29" i="4"/>
  <c r="F20" i="4"/>
  <c r="F21" i="4"/>
  <c r="F39" i="4"/>
  <c r="F36" i="4"/>
  <c r="F24" i="4"/>
  <c r="F26" i="4"/>
  <c r="F18" i="4"/>
  <c r="F32" i="4"/>
  <c r="F33" i="4"/>
  <c r="F15" i="4"/>
  <c r="F7" i="4"/>
  <c r="F12" i="4"/>
  <c r="F6" i="4"/>
  <c r="F14" i="4"/>
  <c r="F38" i="4"/>
  <c r="F22" i="4"/>
  <c r="F16" i="4"/>
  <c r="F10" i="4"/>
  <c r="F8" i="4"/>
  <c r="F3" i="4"/>
  <c r="F5" i="4"/>
  <c r="F13" i="4"/>
  <c r="F35" i="4"/>
  <c r="F23" i="4"/>
  <c r="F17" i="4"/>
  <c r="F11" i="4"/>
  <c r="F9" i="4"/>
  <c r="F40" i="4"/>
  <c r="F4" i="4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3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3" i="1"/>
</calcChain>
</file>

<file path=xl/sharedStrings.xml><?xml version="1.0" encoding="utf-8"?>
<sst xmlns="http://schemas.openxmlformats.org/spreadsheetml/2006/main" count="153" uniqueCount="42">
  <si>
    <t xml:space="preserve">推销人员奖金计算表 </t>
  </si>
  <si>
    <t>姓名</t>
  </si>
  <si>
    <t>产品单价</t>
  </si>
  <si>
    <t>销售额</t>
  </si>
  <si>
    <t>奖金</t>
  </si>
  <si>
    <t>黄鸣放</t>
  </si>
  <si>
    <t>王孟</t>
  </si>
  <si>
    <t>杨铁</t>
  </si>
  <si>
    <t>张侠</t>
  </si>
  <si>
    <t>李红兵</t>
  </si>
  <si>
    <t>计潍坊</t>
  </si>
  <si>
    <t>周卫东</t>
  </si>
  <si>
    <t>陈红利</t>
  </si>
  <si>
    <t>彭里虎</t>
  </si>
  <si>
    <t>汪雄高</t>
  </si>
  <si>
    <t>姚至朋</t>
  </si>
  <si>
    <t>陈云竹</t>
  </si>
  <si>
    <t>高宝根</t>
  </si>
  <si>
    <t>金亦坚</t>
  </si>
  <si>
    <t>白雪</t>
  </si>
  <si>
    <t>毛阿敏</t>
  </si>
  <si>
    <t>陈水君</t>
  </si>
  <si>
    <t>宋祖明</t>
  </si>
  <si>
    <t>王海明</t>
  </si>
  <si>
    <t>李月玫</t>
  </si>
  <si>
    <t>张伟</t>
  </si>
  <si>
    <t>何进</t>
  </si>
  <si>
    <t>朱宇强</t>
  </si>
  <si>
    <t>张长荣</t>
  </si>
  <si>
    <t>沈丽</t>
  </si>
  <si>
    <t>冯志林</t>
  </si>
  <si>
    <t>周文萍</t>
  </si>
  <si>
    <t>徐君秀</t>
  </si>
  <si>
    <t>陈小狗</t>
  </si>
  <si>
    <t>陈弦</t>
  </si>
  <si>
    <t>张云</t>
  </si>
  <si>
    <t>王大刚</t>
  </si>
  <si>
    <t>销售数量</t>
    <phoneticPr fontId="1" type="noConversion"/>
  </si>
  <si>
    <t>销售数量</t>
  </si>
  <si>
    <t>实发工资</t>
  </si>
  <si>
    <r>
      <t>&gt;</t>
    </r>
    <r>
      <rPr>
        <sz val="12"/>
        <rFont val="宋体"/>
        <family val="3"/>
        <charset val="134"/>
      </rPr>
      <t>1300</t>
    </r>
    <phoneticPr fontId="1" type="noConversion"/>
  </si>
  <si>
    <r>
      <t>&gt;</t>
    </r>
    <r>
      <rPr>
        <sz val="12"/>
        <rFont val="宋体"/>
        <family val="3"/>
        <charset val="134"/>
      </rPr>
      <t>2500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</si>
</sst>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2"/>
      <name val="宋体"/>
      <charset val="134"/>
    </font>
    <font>
      <sz val="9"/>
      <name val="宋体"/>
      <charset val="134"/>
    </font>
    <font>
      <sz val="18"/>
      <color rgb="FFFF0000"/>
      <name val="华文行楷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FF0000"/>
      </left>
      <right style="thin">
        <color rgb="FF00B0F0"/>
      </right>
      <top style="thick">
        <color rgb="FFFF000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ck">
        <color rgb="FFFF0000"/>
      </top>
      <bottom style="thin">
        <color rgb="FF00B0F0"/>
      </bottom>
      <diagonal/>
    </border>
    <border>
      <left style="thin">
        <color rgb="FF00B0F0"/>
      </left>
      <right style="thick">
        <color rgb="FFFF0000"/>
      </right>
      <top style="thick">
        <color rgb="FFFF0000"/>
      </top>
      <bottom style="thin">
        <color rgb="FF00B0F0"/>
      </bottom>
      <diagonal/>
    </border>
    <border>
      <left style="thick">
        <color rgb="FFFF000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ck">
        <color rgb="FFFF0000"/>
      </right>
      <top style="thin">
        <color rgb="FF00B0F0"/>
      </top>
      <bottom style="thin">
        <color rgb="FF00B0F0"/>
      </bottom>
      <diagonal/>
    </border>
    <border>
      <left style="thick">
        <color rgb="FFFF0000"/>
      </left>
      <right style="thin">
        <color rgb="FF00B0F0"/>
      </right>
      <top style="thin">
        <color rgb="FF00B0F0"/>
      </top>
      <bottom style="thick">
        <color rgb="FFFF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ck">
        <color rgb="FFFF0000"/>
      </bottom>
      <diagonal/>
    </border>
    <border>
      <left style="thin">
        <color rgb="FF00B0F0"/>
      </left>
      <right style="thick">
        <color rgb="FFFF0000"/>
      </right>
      <top style="thin">
        <color rgb="FF00B0F0"/>
      </top>
      <bottom style="thick">
        <color rgb="FFFF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176" fontId="0" fillId="0" borderId="5" xfId="0" applyNumberFormat="1" applyBorder="1"/>
    <xf numFmtId="1" fontId="0" fillId="0" borderId="4" xfId="0" applyNumberFormat="1" applyBorder="1"/>
    <xf numFmtId="1" fontId="0" fillId="0" borderId="7" xfId="0" applyNumberFormat="1" applyBorder="1"/>
    <xf numFmtId="0" fontId="0" fillId="0" borderId="8" xfId="0" applyBorder="1"/>
    <xf numFmtId="176" fontId="0" fillId="0" borderId="8" xfId="0" applyNumberFormat="1" applyBorder="1"/>
    <xf numFmtId="0" fontId="0" fillId="0" borderId="9" xfId="0" applyBorder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部分销售员实发工资图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排序!$F$2</c:f>
              <c:strCache>
                <c:ptCount val="1"/>
                <c:pt idx="0">
                  <c:v>实发工资</c:v>
                </c:pt>
              </c:strCache>
            </c:strRef>
          </c:tx>
          <c:invertIfNegative val="0"/>
          <c:cat>
            <c:strRef>
              <c:f>排序!$A$3:$A$8</c:f>
              <c:strCache>
                <c:ptCount val="6"/>
                <c:pt idx="0">
                  <c:v>汪雄高</c:v>
                </c:pt>
                <c:pt idx="1">
                  <c:v>黄鸣放</c:v>
                </c:pt>
                <c:pt idx="2">
                  <c:v>彭里虎</c:v>
                </c:pt>
                <c:pt idx="3">
                  <c:v>陈水君</c:v>
                </c:pt>
                <c:pt idx="4">
                  <c:v>王海明</c:v>
                </c:pt>
                <c:pt idx="5">
                  <c:v>姚至朋</c:v>
                </c:pt>
              </c:strCache>
            </c:strRef>
          </c:cat>
          <c:val>
            <c:numRef>
              <c:f>排序!$F$3:$F$8</c:f>
              <c:numCache>
                <c:formatCode>General</c:formatCode>
                <c:ptCount val="6"/>
                <c:pt idx="0">
                  <c:v>3680</c:v>
                </c:pt>
                <c:pt idx="1">
                  <c:v>3250</c:v>
                </c:pt>
                <c:pt idx="2">
                  <c:v>3080</c:v>
                </c:pt>
                <c:pt idx="3">
                  <c:v>3080</c:v>
                </c:pt>
                <c:pt idx="4">
                  <c:v>2898</c:v>
                </c:pt>
                <c:pt idx="5">
                  <c:v>2720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432192"/>
        <c:axId val="138546176"/>
        <c:axId val="0"/>
      </c:bar3DChart>
      <c:catAx>
        <c:axId val="109432192"/>
        <c:scaling>
          <c:orientation val="minMax"/>
        </c:scaling>
        <c:delete val="0"/>
        <c:axPos val="b"/>
        <c:majorTickMark val="none"/>
        <c:minorTickMark val="none"/>
        <c:tickLblPos val="nextTo"/>
        <c:crossAx val="138546176"/>
        <c:crosses val="autoZero"/>
        <c:auto val="1"/>
        <c:lblAlgn val="ctr"/>
        <c:lblOffset val="100"/>
        <c:noMultiLvlLbl val="0"/>
      </c:catAx>
      <c:valAx>
        <c:axId val="138546176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0943219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10</xdr:row>
      <xdr:rowOff>119062</xdr:rowOff>
    </xdr:from>
    <xdr:to>
      <xdr:col>7</xdr:col>
      <xdr:colOff>571500</xdr:colOff>
      <xdr:row>25</xdr:row>
      <xdr:rowOff>147637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1"/>
  <sheetViews>
    <sheetView workbookViewId="0">
      <selection sqref="A1:E40"/>
    </sheetView>
  </sheetViews>
  <sheetFormatPr defaultRowHeight="14.25" x14ac:dyDescent="0.15"/>
  <cols>
    <col min="4" max="4" width="10.5" bestFit="1" customWidth="1"/>
  </cols>
  <sheetData>
    <row r="1" spans="1:5" ht="26.1" customHeight="1" thickTop="1" x14ac:dyDescent="0.15">
      <c r="A1" s="11" t="s">
        <v>0</v>
      </c>
      <c r="B1" s="12"/>
      <c r="C1" s="12"/>
      <c r="D1" s="12"/>
      <c r="E1" s="13"/>
    </row>
    <row r="2" spans="1:5" x14ac:dyDescent="0.15">
      <c r="A2" s="1" t="s">
        <v>1</v>
      </c>
      <c r="B2" s="2" t="s">
        <v>37</v>
      </c>
      <c r="C2" s="2" t="s">
        <v>2</v>
      </c>
      <c r="D2" s="2" t="s">
        <v>3</v>
      </c>
      <c r="E2" s="3" t="s">
        <v>4</v>
      </c>
    </row>
    <row r="3" spans="1:5" x14ac:dyDescent="0.15">
      <c r="A3" s="1" t="s">
        <v>5</v>
      </c>
      <c r="B3" s="2">
        <v>20</v>
      </c>
      <c r="C3" s="2">
        <v>890</v>
      </c>
      <c r="D3" s="4">
        <f>B3*C3</f>
        <v>17800</v>
      </c>
      <c r="E3" s="3">
        <v>2670</v>
      </c>
    </row>
    <row r="4" spans="1:5" x14ac:dyDescent="0.15">
      <c r="A4" s="1" t="s">
        <v>6</v>
      </c>
      <c r="B4" s="2">
        <v>18</v>
      </c>
      <c r="C4" s="2">
        <v>890</v>
      </c>
      <c r="D4" s="4">
        <f t="shared" ref="D4:D40" si="0">B4*C4</f>
        <v>16020</v>
      </c>
      <c r="E4" s="3">
        <v>0</v>
      </c>
    </row>
    <row r="5" spans="1:5" x14ac:dyDescent="0.15">
      <c r="A5" s="1" t="s">
        <v>7</v>
      </c>
      <c r="B5" s="2">
        <v>15</v>
      </c>
      <c r="C5" s="2">
        <v>890</v>
      </c>
      <c r="D5" s="4">
        <f t="shared" si="0"/>
        <v>13350</v>
      </c>
      <c r="E5" s="3">
        <v>2003</v>
      </c>
    </row>
    <row r="6" spans="1:5" x14ac:dyDescent="0.15">
      <c r="A6" s="1" t="s">
        <v>8</v>
      </c>
      <c r="B6" s="2">
        <v>30</v>
      </c>
      <c r="C6" s="2">
        <v>880</v>
      </c>
      <c r="D6" s="4">
        <f t="shared" si="0"/>
        <v>26400</v>
      </c>
      <c r="E6" s="3">
        <v>2000</v>
      </c>
    </row>
    <row r="7" spans="1:5" x14ac:dyDescent="0.15">
      <c r="A7" s="1" t="s">
        <v>9</v>
      </c>
      <c r="B7" s="2">
        <v>21</v>
      </c>
      <c r="C7" s="2">
        <v>690</v>
      </c>
      <c r="D7" s="4">
        <f t="shared" si="0"/>
        <v>14490</v>
      </c>
      <c r="E7" s="3">
        <v>1000</v>
      </c>
    </row>
    <row r="8" spans="1:5" x14ac:dyDescent="0.15">
      <c r="A8" s="1" t="s">
        <v>10</v>
      </c>
      <c r="B8" s="2">
        <v>35</v>
      </c>
      <c r="C8" s="2">
        <v>790</v>
      </c>
      <c r="D8" s="4">
        <f t="shared" si="0"/>
        <v>27650</v>
      </c>
      <c r="E8" s="3">
        <v>800</v>
      </c>
    </row>
    <row r="9" spans="1:5" x14ac:dyDescent="0.15">
      <c r="A9" s="1" t="s">
        <v>11</v>
      </c>
      <c r="B9" s="2">
        <v>50</v>
      </c>
      <c r="C9" s="2">
        <v>800</v>
      </c>
      <c r="D9" s="4">
        <f t="shared" si="0"/>
        <v>40000</v>
      </c>
      <c r="E9" s="3">
        <v>500</v>
      </c>
    </row>
    <row r="10" spans="1:5" x14ac:dyDescent="0.15">
      <c r="A10" s="1" t="s">
        <v>12</v>
      </c>
      <c r="B10" s="2">
        <v>25</v>
      </c>
      <c r="C10" s="2">
        <v>890</v>
      </c>
      <c r="D10" s="4">
        <f t="shared" si="0"/>
        <v>22250</v>
      </c>
      <c r="E10" s="3">
        <v>1250</v>
      </c>
    </row>
    <row r="11" spans="1:5" x14ac:dyDescent="0.15">
      <c r="A11" s="1" t="s">
        <v>13</v>
      </c>
      <c r="B11" s="2">
        <v>41</v>
      </c>
      <c r="C11" s="2">
        <v>790</v>
      </c>
      <c r="D11" s="4">
        <f t="shared" si="0"/>
        <v>32390</v>
      </c>
      <c r="E11" s="3">
        <v>2500</v>
      </c>
    </row>
    <row r="12" spans="1:5" x14ac:dyDescent="0.15">
      <c r="A12" s="1" t="s">
        <v>14</v>
      </c>
      <c r="B12" s="2">
        <v>51</v>
      </c>
      <c r="C12" s="2">
        <v>660</v>
      </c>
      <c r="D12" s="4">
        <f t="shared" si="0"/>
        <v>33660</v>
      </c>
      <c r="E12" s="3">
        <v>3100</v>
      </c>
    </row>
    <row r="13" spans="1:5" x14ac:dyDescent="0.15">
      <c r="A13" s="1" t="s">
        <v>15</v>
      </c>
      <c r="B13" s="2">
        <v>10</v>
      </c>
      <c r="C13" s="2">
        <v>350</v>
      </c>
      <c r="D13" s="4">
        <f t="shared" si="0"/>
        <v>3500</v>
      </c>
      <c r="E13" s="3">
        <v>2300</v>
      </c>
    </row>
    <row r="14" spans="1:5" x14ac:dyDescent="0.15">
      <c r="A14" s="1" t="s">
        <v>16</v>
      </c>
      <c r="B14" s="2">
        <v>16</v>
      </c>
      <c r="C14" s="2">
        <v>790</v>
      </c>
      <c r="D14" s="4">
        <f t="shared" si="0"/>
        <v>12640</v>
      </c>
      <c r="E14" s="3">
        <v>2000</v>
      </c>
    </row>
    <row r="15" spans="1:5" x14ac:dyDescent="0.15">
      <c r="A15" s="1" t="s">
        <v>17</v>
      </c>
      <c r="B15" s="2">
        <v>15</v>
      </c>
      <c r="C15" s="2">
        <v>800</v>
      </c>
      <c r="D15" s="4">
        <f t="shared" si="0"/>
        <v>12000</v>
      </c>
      <c r="E15" s="3">
        <v>1000</v>
      </c>
    </row>
    <row r="16" spans="1:5" x14ac:dyDescent="0.15">
      <c r="A16" s="1" t="s">
        <v>18</v>
      </c>
      <c r="B16" s="2">
        <v>30</v>
      </c>
      <c r="C16" s="2">
        <v>890</v>
      </c>
      <c r="D16" s="4">
        <f t="shared" si="0"/>
        <v>26700</v>
      </c>
      <c r="E16" s="3">
        <v>800</v>
      </c>
    </row>
    <row r="17" spans="1:5" x14ac:dyDescent="0.15">
      <c r="A17" s="1" t="s">
        <v>19</v>
      </c>
      <c r="B17" s="2">
        <v>21</v>
      </c>
      <c r="C17" s="2">
        <v>790</v>
      </c>
      <c r="D17" s="4">
        <f t="shared" si="0"/>
        <v>16590</v>
      </c>
      <c r="E17" s="3">
        <v>500</v>
      </c>
    </row>
    <row r="18" spans="1:5" x14ac:dyDescent="0.15">
      <c r="A18" s="1" t="s">
        <v>20</v>
      </c>
      <c r="B18" s="2">
        <v>35</v>
      </c>
      <c r="C18" s="2">
        <v>660</v>
      </c>
      <c r="D18" s="4">
        <f t="shared" si="0"/>
        <v>23100</v>
      </c>
      <c r="E18" s="3">
        <v>1250</v>
      </c>
    </row>
    <row r="19" spans="1:5" x14ac:dyDescent="0.15">
      <c r="A19" s="1" t="s">
        <v>21</v>
      </c>
      <c r="B19" s="2">
        <v>50</v>
      </c>
      <c r="C19" s="2">
        <v>350</v>
      </c>
      <c r="D19" s="4">
        <f t="shared" si="0"/>
        <v>17500</v>
      </c>
      <c r="E19" s="3">
        <v>2500</v>
      </c>
    </row>
    <row r="20" spans="1:5" x14ac:dyDescent="0.15">
      <c r="A20" s="1" t="s">
        <v>22</v>
      </c>
      <c r="B20" s="2">
        <v>10</v>
      </c>
      <c r="C20" s="2">
        <v>890</v>
      </c>
      <c r="D20" s="4">
        <f t="shared" si="0"/>
        <v>8900</v>
      </c>
      <c r="E20" s="3">
        <v>1335</v>
      </c>
    </row>
    <row r="21" spans="1:5" x14ac:dyDescent="0.15">
      <c r="A21" s="5" t="s">
        <v>23</v>
      </c>
      <c r="B21" s="2">
        <v>22</v>
      </c>
      <c r="C21" s="2">
        <v>650</v>
      </c>
      <c r="D21" s="4">
        <f t="shared" si="0"/>
        <v>14300</v>
      </c>
      <c r="E21" s="3">
        <v>2478</v>
      </c>
    </row>
    <row r="22" spans="1:5" x14ac:dyDescent="0.15">
      <c r="A22" s="5" t="s">
        <v>24</v>
      </c>
      <c r="B22" s="2">
        <v>25</v>
      </c>
      <c r="C22" s="2">
        <v>980</v>
      </c>
      <c r="D22" s="4">
        <f t="shared" si="0"/>
        <v>24500</v>
      </c>
      <c r="E22" s="3">
        <v>1200</v>
      </c>
    </row>
    <row r="23" spans="1:5" x14ac:dyDescent="0.15">
      <c r="A23" s="5" t="s">
        <v>25</v>
      </c>
      <c r="B23" s="2">
        <v>12</v>
      </c>
      <c r="C23" s="2">
        <v>698</v>
      </c>
      <c r="D23" s="4">
        <f t="shared" si="0"/>
        <v>8376</v>
      </c>
      <c r="E23" s="3">
        <v>540</v>
      </c>
    </row>
    <row r="24" spans="1:5" x14ac:dyDescent="0.15">
      <c r="A24" s="5" t="s">
        <v>18</v>
      </c>
      <c r="B24" s="2">
        <v>15</v>
      </c>
      <c r="C24" s="2">
        <v>657</v>
      </c>
      <c r="D24" s="4">
        <f t="shared" si="0"/>
        <v>9855</v>
      </c>
      <c r="E24" s="3">
        <v>578</v>
      </c>
    </row>
    <row r="25" spans="1:5" x14ac:dyDescent="0.15">
      <c r="A25" s="5" t="s">
        <v>21</v>
      </c>
      <c r="B25" s="2">
        <v>42</v>
      </c>
      <c r="C25" s="2">
        <v>665</v>
      </c>
      <c r="D25" s="4">
        <f t="shared" si="0"/>
        <v>27930</v>
      </c>
      <c r="E25" s="3">
        <v>980</v>
      </c>
    </row>
    <row r="26" spans="1:5" x14ac:dyDescent="0.15">
      <c r="A26" s="5" t="s">
        <v>26</v>
      </c>
      <c r="B26" s="2">
        <v>14</v>
      </c>
      <c r="C26" s="2">
        <v>547</v>
      </c>
      <c r="D26" s="4">
        <f t="shared" si="0"/>
        <v>7658</v>
      </c>
      <c r="E26" s="3">
        <v>680</v>
      </c>
    </row>
    <row r="27" spans="1:5" x14ac:dyDescent="0.15">
      <c r="A27" s="5" t="s">
        <v>27</v>
      </c>
      <c r="B27" s="2">
        <v>16</v>
      </c>
      <c r="C27" s="2">
        <v>258</v>
      </c>
      <c r="D27" s="4">
        <f t="shared" si="0"/>
        <v>4128</v>
      </c>
      <c r="E27" s="3">
        <v>780</v>
      </c>
    </row>
    <row r="28" spans="1:5" x14ac:dyDescent="0.15">
      <c r="A28" s="5" t="s">
        <v>28</v>
      </c>
      <c r="B28" s="2">
        <v>23</v>
      </c>
      <c r="C28" s="2">
        <v>632</v>
      </c>
      <c r="D28" s="4">
        <f t="shared" si="0"/>
        <v>14536</v>
      </c>
      <c r="E28" s="3">
        <v>500</v>
      </c>
    </row>
    <row r="29" spans="1:5" x14ac:dyDescent="0.15">
      <c r="A29" s="5" t="s">
        <v>29</v>
      </c>
      <c r="B29" s="2">
        <v>27</v>
      </c>
      <c r="C29" s="2">
        <v>697</v>
      </c>
      <c r="D29" s="4">
        <f t="shared" si="0"/>
        <v>18819</v>
      </c>
      <c r="E29" s="3">
        <v>460</v>
      </c>
    </row>
    <row r="30" spans="1:5" x14ac:dyDescent="0.15">
      <c r="A30" s="5" t="s">
        <v>30</v>
      </c>
      <c r="B30" s="2">
        <v>26</v>
      </c>
      <c r="C30" s="2">
        <v>652</v>
      </c>
      <c r="D30" s="4">
        <f t="shared" si="0"/>
        <v>16952</v>
      </c>
      <c r="E30" s="3">
        <v>840</v>
      </c>
    </row>
    <row r="31" spans="1:5" x14ac:dyDescent="0.15">
      <c r="A31" s="5" t="s">
        <v>31</v>
      </c>
      <c r="B31" s="2">
        <v>29</v>
      </c>
      <c r="C31" s="2">
        <v>632</v>
      </c>
      <c r="D31" s="4">
        <f t="shared" si="0"/>
        <v>18328</v>
      </c>
      <c r="E31" s="3">
        <v>870</v>
      </c>
    </row>
    <row r="32" spans="1:5" x14ac:dyDescent="0.15">
      <c r="A32" s="5" t="s">
        <v>32</v>
      </c>
      <c r="B32" s="2">
        <v>35</v>
      </c>
      <c r="C32" s="2">
        <v>614</v>
      </c>
      <c r="D32" s="4">
        <f t="shared" si="0"/>
        <v>21490</v>
      </c>
      <c r="E32" s="3">
        <v>630</v>
      </c>
    </row>
    <row r="33" spans="1:5" x14ac:dyDescent="0.15">
      <c r="A33" s="5" t="s">
        <v>16</v>
      </c>
      <c r="B33" s="2">
        <v>21</v>
      </c>
      <c r="C33" s="2">
        <v>625</v>
      </c>
      <c r="D33" s="4">
        <f t="shared" si="0"/>
        <v>13125</v>
      </c>
      <c r="E33" s="3">
        <v>680</v>
      </c>
    </row>
    <row r="34" spans="1:5" x14ac:dyDescent="0.15">
      <c r="A34" s="5" t="s">
        <v>17</v>
      </c>
      <c r="B34" s="2">
        <v>26</v>
      </c>
      <c r="C34" s="2">
        <v>624</v>
      </c>
      <c r="D34" s="4">
        <f t="shared" si="0"/>
        <v>16224</v>
      </c>
      <c r="E34" s="3">
        <v>650</v>
      </c>
    </row>
    <row r="35" spans="1:5" x14ac:dyDescent="0.15">
      <c r="A35" s="5" t="s">
        <v>33</v>
      </c>
      <c r="B35" s="2">
        <v>24</v>
      </c>
      <c r="C35" s="2">
        <v>632</v>
      </c>
      <c r="D35" s="4">
        <f t="shared" si="0"/>
        <v>15168</v>
      </c>
      <c r="E35" s="3">
        <v>980</v>
      </c>
    </row>
    <row r="36" spans="1:5" x14ac:dyDescent="0.15">
      <c r="A36" s="5" t="s">
        <v>34</v>
      </c>
      <c r="B36" s="2">
        <v>23</v>
      </c>
      <c r="C36" s="2">
        <v>678</v>
      </c>
      <c r="D36" s="4">
        <f t="shared" si="0"/>
        <v>15594</v>
      </c>
      <c r="E36" s="3">
        <v>650</v>
      </c>
    </row>
    <row r="37" spans="1:5" x14ac:dyDescent="0.15">
      <c r="A37" s="5" t="s">
        <v>20</v>
      </c>
      <c r="B37" s="2">
        <v>22</v>
      </c>
      <c r="C37" s="2">
        <v>621</v>
      </c>
      <c r="D37" s="4">
        <f t="shared" si="0"/>
        <v>13662</v>
      </c>
      <c r="E37" s="3">
        <v>620</v>
      </c>
    </row>
    <row r="38" spans="1:5" x14ac:dyDescent="0.15">
      <c r="A38" s="5" t="s">
        <v>35</v>
      </c>
      <c r="B38" s="2">
        <v>21</v>
      </c>
      <c r="C38" s="2">
        <v>328</v>
      </c>
      <c r="D38" s="4">
        <f t="shared" si="0"/>
        <v>6888</v>
      </c>
      <c r="E38" s="3">
        <v>500</v>
      </c>
    </row>
    <row r="39" spans="1:5" x14ac:dyDescent="0.15">
      <c r="A39" s="5" t="s">
        <v>19</v>
      </c>
      <c r="B39" s="2">
        <v>25</v>
      </c>
      <c r="C39" s="2">
        <v>687</v>
      </c>
      <c r="D39" s="4">
        <f t="shared" si="0"/>
        <v>17175</v>
      </c>
      <c r="E39" s="3">
        <v>620</v>
      </c>
    </row>
    <row r="40" spans="1:5" ht="15" thickBot="1" x14ac:dyDescent="0.2">
      <c r="A40" s="6" t="s">
        <v>36</v>
      </c>
      <c r="B40" s="7">
        <v>26</v>
      </c>
      <c r="C40" s="7">
        <v>245</v>
      </c>
      <c r="D40" s="8">
        <f t="shared" si="0"/>
        <v>6370</v>
      </c>
      <c r="E40" s="9">
        <v>540</v>
      </c>
    </row>
    <row r="41" spans="1:5" ht="15" thickTop="1" x14ac:dyDescent="0.15"/>
  </sheetData>
  <mergeCells count="1">
    <mergeCell ref="A1:E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0"/>
  <sheetViews>
    <sheetView workbookViewId="0">
      <selection activeCell="A2" sqref="A2:F40"/>
    </sheetView>
  </sheetViews>
  <sheetFormatPr defaultRowHeight="14.2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38</v>
      </c>
      <c r="C2" t="s">
        <v>2</v>
      </c>
      <c r="D2" t="s">
        <v>3</v>
      </c>
      <c r="E2" t="s">
        <v>4</v>
      </c>
      <c r="F2" t="s">
        <v>39</v>
      </c>
    </row>
    <row r="3" spans="1:6" x14ac:dyDescent="0.15">
      <c r="A3" t="s">
        <v>5</v>
      </c>
      <c r="B3">
        <v>20</v>
      </c>
      <c r="C3">
        <v>890</v>
      </c>
      <c r="D3">
        <v>17800</v>
      </c>
      <c r="E3">
        <v>2670</v>
      </c>
      <c r="F3">
        <f>IF(D3&gt;15000,E3+580,IF(D3&gt;1000,E3+420,E3+260))</f>
        <v>3250</v>
      </c>
    </row>
    <row r="4" spans="1:6" x14ac:dyDescent="0.15">
      <c r="A4" t="s">
        <v>6</v>
      </c>
      <c r="B4">
        <v>18</v>
      </c>
      <c r="C4">
        <v>890</v>
      </c>
      <c r="D4">
        <v>16020</v>
      </c>
      <c r="E4">
        <v>0</v>
      </c>
      <c r="F4">
        <f t="shared" ref="F4:F40" si="0">IF(D4&gt;15000,E4+580,IF(D4&gt;1000,E4+420,E4+260))</f>
        <v>580</v>
      </c>
    </row>
    <row r="5" spans="1:6" x14ac:dyDescent="0.15">
      <c r="A5" t="s">
        <v>7</v>
      </c>
      <c r="B5">
        <v>15</v>
      </c>
      <c r="C5">
        <v>890</v>
      </c>
      <c r="D5">
        <v>13350</v>
      </c>
      <c r="E5">
        <v>2003</v>
      </c>
      <c r="F5">
        <f t="shared" si="0"/>
        <v>2423</v>
      </c>
    </row>
    <row r="6" spans="1:6" x14ac:dyDescent="0.15">
      <c r="A6" t="s">
        <v>8</v>
      </c>
      <c r="B6">
        <v>30</v>
      </c>
      <c r="C6">
        <v>880</v>
      </c>
      <c r="D6">
        <v>26400</v>
      </c>
      <c r="E6">
        <v>2000</v>
      </c>
      <c r="F6">
        <f t="shared" si="0"/>
        <v>2580</v>
      </c>
    </row>
    <row r="7" spans="1:6" x14ac:dyDescent="0.15">
      <c r="A7" t="s">
        <v>9</v>
      </c>
      <c r="B7">
        <v>21</v>
      </c>
      <c r="C7">
        <v>690</v>
      </c>
      <c r="D7">
        <v>14490</v>
      </c>
      <c r="E7">
        <v>1000</v>
      </c>
      <c r="F7">
        <f t="shared" si="0"/>
        <v>1420</v>
      </c>
    </row>
    <row r="8" spans="1:6" x14ac:dyDescent="0.15">
      <c r="A8" t="s">
        <v>10</v>
      </c>
      <c r="B8">
        <v>35</v>
      </c>
      <c r="C8">
        <v>790</v>
      </c>
      <c r="D8">
        <v>27650</v>
      </c>
      <c r="E8">
        <v>800</v>
      </c>
      <c r="F8">
        <f t="shared" si="0"/>
        <v>1380</v>
      </c>
    </row>
    <row r="9" spans="1:6" x14ac:dyDescent="0.15">
      <c r="A9" t="s">
        <v>11</v>
      </c>
      <c r="B9">
        <v>50</v>
      </c>
      <c r="C9">
        <v>800</v>
      </c>
      <c r="D9">
        <v>40000</v>
      </c>
      <c r="E9">
        <v>500</v>
      </c>
      <c r="F9">
        <f t="shared" si="0"/>
        <v>1080</v>
      </c>
    </row>
    <row r="10" spans="1:6" x14ac:dyDescent="0.15">
      <c r="A10" t="s">
        <v>12</v>
      </c>
      <c r="B10">
        <v>25</v>
      </c>
      <c r="C10">
        <v>890</v>
      </c>
      <c r="D10">
        <v>22250</v>
      </c>
      <c r="E10">
        <v>1250</v>
      </c>
      <c r="F10">
        <f t="shared" si="0"/>
        <v>1830</v>
      </c>
    </row>
    <row r="11" spans="1:6" x14ac:dyDescent="0.15">
      <c r="A11" t="s">
        <v>13</v>
      </c>
      <c r="B11">
        <v>41</v>
      </c>
      <c r="C11">
        <v>790</v>
      </c>
      <c r="D11">
        <v>32390</v>
      </c>
      <c r="E11">
        <v>2500</v>
      </c>
      <c r="F11">
        <f t="shared" si="0"/>
        <v>3080</v>
      </c>
    </row>
    <row r="12" spans="1:6" x14ac:dyDescent="0.15">
      <c r="A12" t="s">
        <v>14</v>
      </c>
      <c r="B12">
        <v>51</v>
      </c>
      <c r="C12">
        <v>660</v>
      </c>
      <c r="D12">
        <v>33660</v>
      </c>
      <c r="E12">
        <v>3100</v>
      </c>
      <c r="F12">
        <f t="shared" si="0"/>
        <v>3680</v>
      </c>
    </row>
    <row r="13" spans="1:6" x14ac:dyDescent="0.15">
      <c r="A13" t="s">
        <v>15</v>
      </c>
      <c r="B13">
        <v>10</v>
      </c>
      <c r="C13">
        <v>350</v>
      </c>
      <c r="D13">
        <v>3500</v>
      </c>
      <c r="E13">
        <v>2300</v>
      </c>
      <c r="F13">
        <f t="shared" si="0"/>
        <v>2720</v>
      </c>
    </row>
    <row r="14" spans="1:6" x14ac:dyDescent="0.15">
      <c r="A14" t="s">
        <v>16</v>
      </c>
      <c r="B14">
        <v>16</v>
      </c>
      <c r="C14">
        <v>790</v>
      </c>
      <c r="D14">
        <v>12640</v>
      </c>
      <c r="E14">
        <v>2000</v>
      </c>
      <c r="F14">
        <f t="shared" si="0"/>
        <v>2420</v>
      </c>
    </row>
    <row r="15" spans="1:6" x14ac:dyDescent="0.15">
      <c r="A15" t="s">
        <v>17</v>
      </c>
      <c r="B15">
        <v>15</v>
      </c>
      <c r="C15">
        <v>800</v>
      </c>
      <c r="D15">
        <v>12000</v>
      </c>
      <c r="E15">
        <v>1000</v>
      </c>
      <c r="F15">
        <f t="shared" si="0"/>
        <v>1420</v>
      </c>
    </row>
    <row r="16" spans="1:6" x14ac:dyDescent="0.15">
      <c r="A16" t="s">
        <v>18</v>
      </c>
      <c r="B16">
        <v>30</v>
      </c>
      <c r="C16">
        <v>890</v>
      </c>
      <c r="D16">
        <v>26700</v>
      </c>
      <c r="E16">
        <v>800</v>
      </c>
      <c r="F16">
        <f t="shared" si="0"/>
        <v>1380</v>
      </c>
    </row>
    <row r="17" spans="1:6" x14ac:dyDescent="0.15">
      <c r="A17" t="s">
        <v>19</v>
      </c>
      <c r="B17">
        <v>21</v>
      </c>
      <c r="C17">
        <v>790</v>
      </c>
      <c r="D17">
        <v>16590</v>
      </c>
      <c r="E17">
        <v>500</v>
      </c>
      <c r="F17">
        <f t="shared" si="0"/>
        <v>1080</v>
      </c>
    </row>
    <row r="18" spans="1:6" x14ac:dyDescent="0.15">
      <c r="A18" t="s">
        <v>20</v>
      </c>
      <c r="B18">
        <v>35</v>
      </c>
      <c r="C18">
        <v>660</v>
      </c>
      <c r="D18">
        <v>23100</v>
      </c>
      <c r="E18">
        <v>1250</v>
      </c>
      <c r="F18">
        <f t="shared" si="0"/>
        <v>1830</v>
      </c>
    </row>
    <row r="19" spans="1:6" x14ac:dyDescent="0.15">
      <c r="A19" t="s">
        <v>21</v>
      </c>
      <c r="B19">
        <v>50</v>
      </c>
      <c r="C19">
        <v>350</v>
      </c>
      <c r="D19">
        <v>17500</v>
      </c>
      <c r="E19">
        <v>2500</v>
      </c>
      <c r="F19">
        <f t="shared" si="0"/>
        <v>3080</v>
      </c>
    </row>
    <row r="20" spans="1:6" x14ac:dyDescent="0.15">
      <c r="A20" t="s">
        <v>22</v>
      </c>
      <c r="B20">
        <v>10</v>
      </c>
      <c r="C20">
        <v>890</v>
      </c>
      <c r="D20">
        <v>8900</v>
      </c>
      <c r="E20">
        <v>1335</v>
      </c>
      <c r="F20">
        <f t="shared" si="0"/>
        <v>1755</v>
      </c>
    </row>
    <row r="21" spans="1:6" x14ac:dyDescent="0.15">
      <c r="A21" t="s">
        <v>23</v>
      </c>
      <c r="B21">
        <v>22</v>
      </c>
      <c r="C21">
        <v>650</v>
      </c>
      <c r="D21">
        <v>14300</v>
      </c>
      <c r="E21">
        <v>2478</v>
      </c>
      <c r="F21">
        <f t="shared" si="0"/>
        <v>2898</v>
      </c>
    </row>
    <row r="22" spans="1:6" x14ac:dyDescent="0.15">
      <c r="A22" t="s">
        <v>24</v>
      </c>
      <c r="B22">
        <v>25</v>
      </c>
      <c r="C22">
        <v>980</v>
      </c>
      <c r="D22">
        <v>24500</v>
      </c>
      <c r="E22">
        <v>1200</v>
      </c>
      <c r="F22">
        <f t="shared" si="0"/>
        <v>1780</v>
      </c>
    </row>
    <row r="23" spans="1:6" x14ac:dyDescent="0.15">
      <c r="A23" t="s">
        <v>25</v>
      </c>
      <c r="B23">
        <v>12</v>
      </c>
      <c r="C23">
        <v>698</v>
      </c>
      <c r="D23">
        <v>8376</v>
      </c>
      <c r="E23">
        <v>540</v>
      </c>
      <c r="F23">
        <f t="shared" si="0"/>
        <v>960</v>
      </c>
    </row>
    <row r="24" spans="1:6" x14ac:dyDescent="0.15">
      <c r="A24" t="s">
        <v>18</v>
      </c>
      <c r="B24">
        <v>15</v>
      </c>
      <c r="C24">
        <v>657</v>
      </c>
      <c r="D24">
        <v>9855</v>
      </c>
      <c r="E24">
        <v>578</v>
      </c>
      <c r="F24">
        <f t="shared" si="0"/>
        <v>998</v>
      </c>
    </row>
    <row r="25" spans="1:6" x14ac:dyDescent="0.15">
      <c r="A25" t="s">
        <v>21</v>
      </c>
      <c r="B25">
        <v>42</v>
      </c>
      <c r="C25">
        <v>665</v>
      </c>
      <c r="D25">
        <v>27930</v>
      </c>
      <c r="E25">
        <v>980</v>
      </c>
      <c r="F25">
        <f t="shared" si="0"/>
        <v>1560</v>
      </c>
    </row>
    <row r="26" spans="1:6" x14ac:dyDescent="0.15">
      <c r="A26" t="s">
        <v>26</v>
      </c>
      <c r="B26">
        <v>14</v>
      </c>
      <c r="C26">
        <v>547</v>
      </c>
      <c r="D26">
        <v>7658</v>
      </c>
      <c r="E26">
        <v>680</v>
      </c>
      <c r="F26">
        <f t="shared" si="0"/>
        <v>1100</v>
      </c>
    </row>
    <row r="27" spans="1:6" x14ac:dyDescent="0.15">
      <c r="A27" t="s">
        <v>27</v>
      </c>
      <c r="B27">
        <v>16</v>
      </c>
      <c r="C27">
        <v>258</v>
      </c>
      <c r="D27">
        <v>4128</v>
      </c>
      <c r="E27">
        <v>780</v>
      </c>
      <c r="F27">
        <f t="shared" si="0"/>
        <v>1200</v>
      </c>
    </row>
    <row r="28" spans="1:6" x14ac:dyDescent="0.15">
      <c r="A28" t="s">
        <v>28</v>
      </c>
      <c r="B28">
        <v>23</v>
      </c>
      <c r="C28">
        <v>632</v>
      </c>
      <c r="D28">
        <v>14536</v>
      </c>
      <c r="E28">
        <v>500</v>
      </c>
      <c r="F28">
        <f t="shared" si="0"/>
        <v>920</v>
      </c>
    </row>
    <row r="29" spans="1:6" x14ac:dyDescent="0.15">
      <c r="A29" t="s">
        <v>29</v>
      </c>
      <c r="B29">
        <v>27</v>
      </c>
      <c r="C29">
        <v>697</v>
      </c>
      <c r="D29">
        <v>18819</v>
      </c>
      <c r="E29">
        <v>460</v>
      </c>
      <c r="F29">
        <f t="shared" si="0"/>
        <v>1040</v>
      </c>
    </row>
    <row r="30" spans="1:6" x14ac:dyDescent="0.15">
      <c r="A30" t="s">
        <v>30</v>
      </c>
      <c r="B30">
        <v>26</v>
      </c>
      <c r="C30">
        <v>652</v>
      </c>
      <c r="D30">
        <v>16952</v>
      </c>
      <c r="E30">
        <v>840</v>
      </c>
      <c r="F30">
        <f t="shared" si="0"/>
        <v>1420</v>
      </c>
    </row>
    <row r="31" spans="1:6" x14ac:dyDescent="0.15">
      <c r="A31" t="s">
        <v>31</v>
      </c>
      <c r="B31">
        <v>29</v>
      </c>
      <c r="C31">
        <v>632</v>
      </c>
      <c r="D31">
        <v>18328</v>
      </c>
      <c r="E31">
        <v>870</v>
      </c>
      <c r="F31">
        <f t="shared" si="0"/>
        <v>1450</v>
      </c>
    </row>
    <row r="32" spans="1:6" x14ac:dyDescent="0.15">
      <c r="A32" t="s">
        <v>32</v>
      </c>
      <c r="B32">
        <v>35</v>
      </c>
      <c r="C32">
        <v>614</v>
      </c>
      <c r="D32">
        <v>21490</v>
      </c>
      <c r="E32">
        <v>630</v>
      </c>
      <c r="F32">
        <f t="shared" si="0"/>
        <v>1210</v>
      </c>
    </row>
    <row r="33" spans="1:6" x14ac:dyDescent="0.15">
      <c r="A33" t="s">
        <v>16</v>
      </c>
      <c r="B33">
        <v>21</v>
      </c>
      <c r="C33">
        <v>625</v>
      </c>
      <c r="D33">
        <v>13125</v>
      </c>
      <c r="E33">
        <v>680</v>
      </c>
      <c r="F33">
        <f t="shared" si="0"/>
        <v>1100</v>
      </c>
    </row>
    <row r="34" spans="1:6" x14ac:dyDescent="0.15">
      <c r="A34" t="s">
        <v>17</v>
      </c>
      <c r="B34">
        <v>26</v>
      </c>
      <c r="C34">
        <v>624</v>
      </c>
      <c r="D34">
        <v>16224</v>
      </c>
      <c r="E34">
        <v>650</v>
      </c>
      <c r="F34">
        <f t="shared" si="0"/>
        <v>1230</v>
      </c>
    </row>
    <row r="35" spans="1:6" x14ac:dyDescent="0.15">
      <c r="A35" t="s">
        <v>33</v>
      </c>
      <c r="B35">
        <v>24</v>
      </c>
      <c r="C35">
        <v>632</v>
      </c>
      <c r="D35">
        <v>15168</v>
      </c>
      <c r="E35">
        <v>980</v>
      </c>
      <c r="F35">
        <f t="shared" si="0"/>
        <v>1560</v>
      </c>
    </row>
    <row r="36" spans="1:6" x14ac:dyDescent="0.15">
      <c r="A36" t="s">
        <v>34</v>
      </c>
      <c r="B36">
        <v>23</v>
      </c>
      <c r="C36">
        <v>678</v>
      </c>
      <c r="D36">
        <v>15594</v>
      </c>
      <c r="E36">
        <v>650</v>
      </c>
      <c r="F36">
        <f t="shared" si="0"/>
        <v>1230</v>
      </c>
    </row>
    <row r="37" spans="1:6" x14ac:dyDescent="0.15">
      <c r="A37" t="s">
        <v>20</v>
      </c>
      <c r="B37">
        <v>22</v>
      </c>
      <c r="C37">
        <v>621</v>
      </c>
      <c r="D37">
        <v>13662</v>
      </c>
      <c r="E37">
        <v>620</v>
      </c>
      <c r="F37">
        <f t="shared" si="0"/>
        <v>1040</v>
      </c>
    </row>
    <row r="38" spans="1:6" x14ac:dyDescent="0.15">
      <c r="A38" t="s">
        <v>35</v>
      </c>
      <c r="B38">
        <v>21</v>
      </c>
      <c r="C38">
        <v>328</v>
      </c>
      <c r="D38">
        <v>6888</v>
      </c>
      <c r="E38">
        <v>500</v>
      </c>
      <c r="F38">
        <f t="shared" si="0"/>
        <v>920</v>
      </c>
    </row>
    <row r="39" spans="1:6" x14ac:dyDescent="0.15">
      <c r="A39" t="s">
        <v>19</v>
      </c>
      <c r="B39">
        <v>25</v>
      </c>
      <c r="C39">
        <v>687</v>
      </c>
      <c r="D39">
        <v>17175</v>
      </c>
      <c r="E39">
        <v>620</v>
      </c>
      <c r="F39">
        <f t="shared" si="0"/>
        <v>1200</v>
      </c>
    </row>
    <row r="40" spans="1:6" x14ac:dyDescent="0.15">
      <c r="A40" t="s">
        <v>36</v>
      </c>
      <c r="B40">
        <v>26</v>
      </c>
      <c r="C40">
        <v>245</v>
      </c>
      <c r="D40">
        <v>6370</v>
      </c>
      <c r="E40">
        <v>540</v>
      </c>
      <c r="F40">
        <f t="shared" si="0"/>
        <v>960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16"/>
  <sheetViews>
    <sheetView workbookViewId="0">
      <selection activeCell="B6" sqref="B6"/>
    </sheetView>
  </sheetViews>
  <sheetFormatPr defaultRowHeight="14.25" x14ac:dyDescent="0.15"/>
  <sheetData>
    <row r="1" spans="1:7" x14ac:dyDescent="0.15">
      <c r="A1" t="s">
        <v>4</v>
      </c>
      <c r="B1" t="s">
        <v>39</v>
      </c>
    </row>
    <row r="2" spans="1:7" x14ac:dyDescent="0.15">
      <c r="A2" s="10" t="s">
        <v>40</v>
      </c>
    </row>
    <row r="3" spans="1:7" x14ac:dyDescent="0.15">
      <c r="B3" s="10" t="s">
        <v>41</v>
      </c>
    </row>
    <row r="6" spans="1:7" x14ac:dyDescent="0.15">
      <c r="B6" t="s">
        <v>1</v>
      </c>
      <c r="C6" t="s">
        <v>38</v>
      </c>
      <c r="D6" t="s">
        <v>2</v>
      </c>
      <c r="E6" t="s">
        <v>3</v>
      </c>
      <c r="F6" t="s">
        <v>4</v>
      </c>
      <c r="G6" t="s">
        <v>39</v>
      </c>
    </row>
    <row r="7" spans="1:7" x14ac:dyDescent="0.15">
      <c r="B7" t="s">
        <v>5</v>
      </c>
      <c r="C7">
        <v>20</v>
      </c>
      <c r="D7">
        <v>890</v>
      </c>
      <c r="E7">
        <v>17800</v>
      </c>
      <c r="F7">
        <v>2670</v>
      </c>
      <c r="G7">
        <v>3250</v>
      </c>
    </row>
    <row r="8" spans="1:7" x14ac:dyDescent="0.15">
      <c r="B8" t="s">
        <v>7</v>
      </c>
      <c r="C8">
        <v>15</v>
      </c>
      <c r="D8">
        <v>890</v>
      </c>
      <c r="E8">
        <v>13350</v>
      </c>
      <c r="F8">
        <v>2003</v>
      </c>
      <c r="G8">
        <v>2423</v>
      </c>
    </row>
    <row r="9" spans="1:7" x14ac:dyDescent="0.15">
      <c r="B9" t="s">
        <v>8</v>
      </c>
      <c r="C9">
        <v>30</v>
      </c>
      <c r="D9">
        <v>880</v>
      </c>
      <c r="E9">
        <v>26400</v>
      </c>
      <c r="F9">
        <v>2000</v>
      </c>
      <c r="G9">
        <v>2580</v>
      </c>
    </row>
    <row r="10" spans="1:7" x14ac:dyDescent="0.15">
      <c r="B10" t="s">
        <v>13</v>
      </c>
      <c r="C10">
        <v>41</v>
      </c>
      <c r="D10">
        <v>790</v>
      </c>
      <c r="E10">
        <v>32390</v>
      </c>
      <c r="F10">
        <v>2500</v>
      </c>
      <c r="G10">
        <v>3080</v>
      </c>
    </row>
    <row r="11" spans="1:7" x14ac:dyDescent="0.15">
      <c r="B11" t="s">
        <v>14</v>
      </c>
      <c r="C11">
        <v>51</v>
      </c>
      <c r="D11">
        <v>660</v>
      </c>
      <c r="E11">
        <v>33660</v>
      </c>
      <c r="F11">
        <v>3100</v>
      </c>
      <c r="G11">
        <v>3680</v>
      </c>
    </row>
    <row r="12" spans="1:7" x14ac:dyDescent="0.15">
      <c r="B12" t="s">
        <v>15</v>
      </c>
      <c r="C12">
        <v>10</v>
      </c>
      <c r="D12">
        <v>350</v>
      </c>
      <c r="E12">
        <v>3500</v>
      </c>
      <c r="F12">
        <v>2300</v>
      </c>
      <c r="G12">
        <v>2720</v>
      </c>
    </row>
    <row r="13" spans="1:7" x14ac:dyDescent="0.15">
      <c r="B13" t="s">
        <v>16</v>
      </c>
      <c r="C13">
        <v>16</v>
      </c>
      <c r="D13">
        <v>790</v>
      </c>
      <c r="E13">
        <v>12640</v>
      </c>
      <c r="F13">
        <v>2000</v>
      </c>
      <c r="G13">
        <v>2420</v>
      </c>
    </row>
    <row r="14" spans="1:7" x14ac:dyDescent="0.15">
      <c r="B14" t="s">
        <v>21</v>
      </c>
      <c r="C14">
        <v>50</v>
      </c>
      <c r="D14">
        <v>350</v>
      </c>
      <c r="E14">
        <v>17500</v>
      </c>
      <c r="F14">
        <v>2500</v>
      </c>
      <c r="G14">
        <v>3080</v>
      </c>
    </row>
    <row r="15" spans="1:7" x14ac:dyDescent="0.15">
      <c r="B15" t="s">
        <v>22</v>
      </c>
      <c r="C15">
        <v>10</v>
      </c>
      <c r="D15">
        <v>890</v>
      </c>
      <c r="E15">
        <v>8900</v>
      </c>
      <c r="F15">
        <v>1335</v>
      </c>
      <c r="G15">
        <v>1755</v>
      </c>
    </row>
    <row r="16" spans="1:7" x14ac:dyDescent="0.15">
      <c r="B16" t="s">
        <v>23</v>
      </c>
      <c r="C16">
        <v>22</v>
      </c>
      <c r="D16">
        <v>650</v>
      </c>
      <c r="E16">
        <v>14300</v>
      </c>
      <c r="F16">
        <v>2478</v>
      </c>
      <c r="G16">
        <v>2898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0"/>
  <sheetViews>
    <sheetView tabSelected="1" view="pageLayout" zoomScale="80" zoomScaleNormal="100" zoomScalePageLayoutView="80" workbookViewId="0">
      <selection activeCell="I30" sqref="I30"/>
    </sheetView>
  </sheetViews>
  <sheetFormatPr defaultRowHeight="14.25" x14ac:dyDescent="0.15"/>
  <sheetData>
    <row r="2" spans="1:6" x14ac:dyDescent="0.15">
      <c r="A2" t="s">
        <v>1</v>
      </c>
      <c r="B2" t="s">
        <v>38</v>
      </c>
      <c r="C2" t="s">
        <v>2</v>
      </c>
      <c r="D2" t="s">
        <v>3</v>
      </c>
      <c r="E2" t="s">
        <v>4</v>
      </c>
      <c r="F2" t="s">
        <v>39</v>
      </c>
    </row>
    <row r="3" spans="1:6" x14ac:dyDescent="0.15">
      <c r="A3" t="s">
        <v>14</v>
      </c>
      <c r="B3">
        <v>51</v>
      </c>
      <c r="C3">
        <v>660</v>
      </c>
      <c r="D3">
        <v>33660</v>
      </c>
      <c r="E3">
        <v>3100</v>
      </c>
      <c r="F3">
        <f t="shared" ref="F3:F40" si="0">IF(D3&gt;15000,E3+580,IF(D3&gt;1000,E3+420,E3+260))</f>
        <v>3680</v>
      </c>
    </row>
    <row r="4" spans="1:6" x14ac:dyDescent="0.15">
      <c r="A4" t="s">
        <v>5</v>
      </c>
      <c r="B4">
        <v>20</v>
      </c>
      <c r="C4">
        <v>890</v>
      </c>
      <c r="D4">
        <v>17800</v>
      </c>
      <c r="E4">
        <v>2670</v>
      </c>
      <c r="F4">
        <f t="shared" si="0"/>
        <v>3250</v>
      </c>
    </row>
    <row r="5" spans="1:6" x14ac:dyDescent="0.15">
      <c r="A5" t="s">
        <v>13</v>
      </c>
      <c r="B5">
        <v>41</v>
      </c>
      <c r="C5">
        <v>790</v>
      </c>
      <c r="D5">
        <v>32390</v>
      </c>
      <c r="E5">
        <v>2500</v>
      </c>
      <c r="F5">
        <f t="shared" si="0"/>
        <v>3080</v>
      </c>
    </row>
    <row r="6" spans="1:6" x14ac:dyDescent="0.15">
      <c r="A6" t="s">
        <v>21</v>
      </c>
      <c r="B6">
        <v>50</v>
      </c>
      <c r="C6">
        <v>350</v>
      </c>
      <c r="D6">
        <v>17500</v>
      </c>
      <c r="E6">
        <v>2500</v>
      </c>
      <c r="F6">
        <f t="shared" si="0"/>
        <v>3080</v>
      </c>
    </row>
    <row r="7" spans="1:6" x14ac:dyDescent="0.15">
      <c r="A7" t="s">
        <v>23</v>
      </c>
      <c r="B7">
        <v>22</v>
      </c>
      <c r="C7">
        <v>650</v>
      </c>
      <c r="D7">
        <v>14300</v>
      </c>
      <c r="E7">
        <v>2478</v>
      </c>
      <c r="F7">
        <f t="shared" si="0"/>
        <v>2898</v>
      </c>
    </row>
    <row r="8" spans="1:6" x14ac:dyDescent="0.15">
      <c r="A8" t="s">
        <v>15</v>
      </c>
      <c r="B8">
        <v>10</v>
      </c>
      <c r="C8">
        <v>350</v>
      </c>
      <c r="D8">
        <v>3500</v>
      </c>
      <c r="E8">
        <v>2300</v>
      </c>
      <c r="F8">
        <f t="shared" si="0"/>
        <v>2720</v>
      </c>
    </row>
    <row r="9" spans="1:6" x14ac:dyDescent="0.15">
      <c r="A9" t="s">
        <v>7</v>
      </c>
      <c r="B9">
        <v>15</v>
      </c>
      <c r="C9">
        <v>890</v>
      </c>
      <c r="D9">
        <v>13350</v>
      </c>
      <c r="E9">
        <v>2003</v>
      </c>
      <c r="F9">
        <f t="shared" si="0"/>
        <v>2423</v>
      </c>
    </row>
    <row r="10" spans="1:6" x14ac:dyDescent="0.15">
      <c r="A10" t="s">
        <v>16</v>
      </c>
      <c r="B10">
        <v>16</v>
      </c>
      <c r="C10">
        <v>790</v>
      </c>
      <c r="D10">
        <v>12640</v>
      </c>
      <c r="E10">
        <v>2000</v>
      </c>
      <c r="F10">
        <f t="shared" si="0"/>
        <v>2420</v>
      </c>
    </row>
    <row r="11" spans="1:6" x14ac:dyDescent="0.15">
      <c r="A11" t="s">
        <v>8</v>
      </c>
      <c r="B11">
        <v>30</v>
      </c>
      <c r="C11">
        <v>880</v>
      </c>
      <c r="D11">
        <v>26400</v>
      </c>
      <c r="E11">
        <v>2000</v>
      </c>
      <c r="F11">
        <f t="shared" si="0"/>
        <v>2580</v>
      </c>
    </row>
    <row r="12" spans="1:6" x14ac:dyDescent="0.15">
      <c r="A12" t="s">
        <v>22</v>
      </c>
      <c r="B12">
        <v>10</v>
      </c>
      <c r="C12">
        <v>890</v>
      </c>
      <c r="D12">
        <v>8900</v>
      </c>
      <c r="E12">
        <v>1335</v>
      </c>
      <c r="F12">
        <f t="shared" si="0"/>
        <v>1755</v>
      </c>
    </row>
    <row r="13" spans="1:6" x14ac:dyDescent="0.15">
      <c r="A13" t="s">
        <v>12</v>
      </c>
      <c r="B13">
        <v>25</v>
      </c>
      <c r="C13">
        <v>890</v>
      </c>
      <c r="D13">
        <v>22250</v>
      </c>
      <c r="E13">
        <v>1250</v>
      </c>
      <c r="F13">
        <f t="shared" si="0"/>
        <v>1830</v>
      </c>
    </row>
    <row r="14" spans="1:6" x14ac:dyDescent="0.15">
      <c r="A14" t="s">
        <v>20</v>
      </c>
      <c r="B14">
        <v>35</v>
      </c>
      <c r="C14">
        <v>660</v>
      </c>
      <c r="D14">
        <v>23100</v>
      </c>
      <c r="E14">
        <v>1250</v>
      </c>
      <c r="F14">
        <f t="shared" si="0"/>
        <v>1830</v>
      </c>
    </row>
    <row r="15" spans="1:6" x14ac:dyDescent="0.15">
      <c r="A15" t="s">
        <v>24</v>
      </c>
      <c r="B15">
        <v>25</v>
      </c>
      <c r="C15">
        <v>980</v>
      </c>
      <c r="D15">
        <v>24500</v>
      </c>
      <c r="E15">
        <v>1200</v>
      </c>
      <c r="F15">
        <f t="shared" si="0"/>
        <v>1780</v>
      </c>
    </row>
    <row r="16" spans="1:6" x14ac:dyDescent="0.15">
      <c r="A16" t="s">
        <v>17</v>
      </c>
      <c r="B16">
        <v>15</v>
      </c>
      <c r="C16">
        <v>800</v>
      </c>
      <c r="D16">
        <v>12000</v>
      </c>
      <c r="E16">
        <v>1000</v>
      </c>
      <c r="F16">
        <f t="shared" si="0"/>
        <v>1420</v>
      </c>
    </row>
    <row r="17" spans="1:6" x14ac:dyDescent="0.15">
      <c r="A17" t="s">
        <v>9</v>
      </c>
      <c r="B17">
        <v>21</v>
      </c>
      <c r="C17">
        <v>690</v>
      </c>
      <c r="D17">
        <v>14490</v>
      </c>
      <c r="E17">
        <v>1000</v>
      </c>
      <c r="F17">
        <f t="shared" si="0"/>
        <v>1420</v>
      </c>
    </row>
    <row r="18" spans="1:6" x14ac:dyDescent="0.15">
      <c r="A18" t="s">
        <v>21</v>
      </c>
      <c r="B18">
        <v>42</v>
      </c>
      <c r="C18">
        <v>665</v>
      </c>
      <c r="D18">
        <v>27930</v>
      </c>
      <c r="E18">
        <v>980</v>
      </c>
      <c r="F18">
        <f t="shared" si="0"/>
        <v>1560</v>
      </c>
    </row>
    <row r="19" spans="1:6" x14ac:dyDescent="0.15">
      <c r="A19" t="s">
        <v>33</v>
      </c>
      <c r="B19">
        <v>24</v>
      </c>
      <c r="C19">
        <v>632</v>
      </c>
      <c r="D19">
        <v>15168</v>
      </c>
      <c r="E19">
        <v>980</v>
      </c>
      <c r="F19">
        <f t="shared" si="0"/>
        <v>1560</v>
      </c>
    </row>
    <row r="20" spans="1:6" x14ac:dyDescent="0.15">
      <c r="A20" t="s">
        <v>31</v>
      </c>
      <c r="B20">
        <v>29</v>
      </c>
      <c r="C20">
        <v>632</v>
      </c>
      <c r="D20">
        <v>18328</v>
      </c>
      <c r="E20">
        <v>870</v>
      </c>
      <c r="F20">
        <f t="shared" si="0"/>
        <v>1450</v>
      </c>
    </row>
    <row r="21" spans="1:6" x14ac:dyDescent="0.15">
      <c r="A21" t="s">
        <v>30</v>
      </c>
      <c r="B21">
        <v>26</v>
      </c>
      <c r="C21">
        <v>652</v>
      </c>
      <c r="D21">
        <v>16952</v>
      </c>
      <c r="E21">
        <v>840</v>
      </c>
      <c r="F21">
        <f t="shared" si="0"/>
        <v>1420</v>
      </c>
    </row>
    <row r="22" spans="1:6" x14ac:dyDescent="0.15">
      <c r="A22" t="s">
        <v>18</v>
      </c>
      <c r="B22">
        <v>30</v>
      </c>
      <c r="C22">
        <v>890</v>
      </c>
      <c r="D22">
        <v>26700</v>
      </c>
      <c r="E22">
        <v>800</v>
      </c>
      <c r="F22">
        <f t="shared" si="0"/>
        <v>1380</v>
      </c>
    </row>
    <row r="23" spans="1:6" x14ac:dyDescent="0.15">
      <c r="A23" t="s">
        <v>10</v>
      </c>
      <c r="B23">
        <v>35</v>
      </c>
      <c r="C23">
        <v>790</v>
      </c>
      <c r="D23">
        <v>27650</v>
      </c>
      <c r="E23">
        <v>800</v>
      </c>
      <c r="F23">
        <f t="shared" si="0"/>
        <v>1380</v>
      </c>
    </row>
    <row r="24" spans="1:6" x14ac:dyDescent="0.15">
      <c r="A24" t="s">
        <v>27</v>
      </c>
      <c r="B24">
        <v>16</v>
      </c>
      <c r="C24">
        <v>258</v>
      </c>
      <c r="D24">
        <v>4128</v>
      </c>
      <c r="E24">
        <v>780</v>
      </c>
      <c r="F24">
        <f t="shared" si="0"/>
        <v>1200</v>
      </c>
    </row>
    <row r="25" spans="1:6" x14ac:dyDescent="0.15">
      <c r="A25" t="s">
        <v>16</v>
      </c>
      <c r="B25">
        <v>21</v>
      </c>
      <c r="C25">
        <v>625</v>
      </c>
      <c r="D25">
        <v>13125</v>
      </c>
      <c r="E25">
        <v>680</v>
      </c>
      <c r="F25">
        <f t="shared" si="0"/>
        <v>1100</v>
      </c>
    </row>
    <row r="26" spans="1:6" x14ac:dyDescent="0.15">
      <c r="A26" t="s">
        <v>26</v>
      </c>
      <c r="B26">
        <v>14</v>
      </c>
      <c r="C26">
        <v>547</v>
      </c>
      <c r="D26">
        <v>7658</v>
      </c>
      <c r="E26">
        <v>680</v>
      </c>
      <c r="F26">
        <f t="shared" si="0"/>
        <v>1100</v>
      </c>
    </row>
    <row r="27" spans="1:6" x14ac:dyDescent="0.15">
      <c r="A27" t="s">
        <v>17</v>
      </c>
      <c r="B27">
        <v>26</v>
      </c>
      <c r="C27">
        <v>624</v>
      </c>
      <c r="D27">
        <v>16224</v>
      </c>
      <c r="E27">
        <v>650</v>
      </c>
      <c r="F27">
        <f t="shared" si="0"/>
        <v>1230</v>
      </c>
    </row>
    <row r="28" spans="1:6" x14ac:dyDescent="0.15">
      <c r="A28" t="s">
        <v>34</v>
      </c>
      <c r="B28">
        <v>23</v>
      </c>
      <c r="C28">
        <v>678</v>
      </c>
      <c r="D28">
        <v>15594</v>
      </c>
      <c r="E28">
        <v>650</v>
      </c>
      <c r="F28">
        <f t="shared" si="0"/>
        <v>1230</v>
      </c>
    </row>
    <row r="29" spans="1:6" x14ac:dyDescent="0.15">
      <c r="A29" t="s">
        <v>32</v>
      </c>
      <c r="B29">
        <v>35</v>
      </c>
      <c r="C29">
        <v>614</v>
      </c>
      <c r="D29">
        <v>21490</v>
      </c>
      <c r="E29">
        <v>630</v>
      </c>
      <c r="F29">
        <f t="shared" si="0"/>
        <v>1210</v>
      </c>
    </row>
    <row r="30" spans="1:6" x14ac:dyDescent="0.15">
      <c r="A30" t="s">
        <v>19</v>
      </c>
      <c r="B30">
        <v>25</v>
      </c>
      <c r="C30">
        <v>687</v>
      </c>
      <c r="D30">
        <v>17175</v>
      </c>
      <c r="E30">
        <v>620</v>
      </c>
      <c r="F30">
        <f t="shared" si="0"/>
        <v>1200</v>
      </c>
    </row>
    <row r="31" spans="1:6" x14ac:dyDescent="0.15">
      <c r="A31" t="s">
        <v>20</v>
      </c>
      <c r="B31">
        <v>22</v>
      </c>
      <c r="C31">
        <v>621</v>
      </c>
      <c r="D31">
        <v>13662</v>
      </c>
      <c r="E31">
        <v>620</v>
      </c>
      <c r="F31">
        <f t="shared" si="0"/>
        <v>1040</v>
      </c>
    </row>
    <row r="32" spans="1:6" x14ac:dyDescent="0.15">
      <c r="A32" t="s">
        <v>18</v>
      </c>
      <c r="B32">
        <v>15</v>
      </c>
      <c r="C32">
        <v>657</v>
      </c>
      <c r="D32">
        <v>9855</v>
      </c>
      <c r="E32">
        <v>578</v>
      </c>
      <c r="F32">
        <f t="shared" si="0"/>
        <v>998</v>
      </c>
    </row>
    <row r="33" spans="1:6" x14ac:dyDescent="0.15">
      <c r="A33" t="s">
        <v>25</v>
      </c>
      <c r="B33">
        <v>12</v>
      </c>
      <c r="C33">
        <v>698</v>
      </c>
      <c r="D33">
        <v>8376</v>
      </c>
      <c r="E33">
        <v>540</v>
      </c>
      <c r="F33">
        <f t="shared" si="0"/>
        <v>960</v>
      </c>
    </row>
    <row r="34" spans="1:6" x14ac:dyDescent="0.15">
      <c r="A34" t="s">
        <v>36</v>
      </c>
      <c r="B34">
        <v>26</v>
      </c>
      <c r="C34">
        <v>245</v>
      </c>
      <c r="D34">
        <v>6370</v>
      </c>
      <c r="E34">
        <v>540</v>
      </c>
      <c r="F34">
        <f t="shared" si="0"/>
        <v>960</v>
      </c>
    </row>
    <row r="35" spans="1:6" x14ac:dyDescent="0.15">
      <c r="A35" t="s">
        <v>11</v>
      </c>
      <c r="B35">
        <v>50</v>
      </c>
      <c r="C35">
        <v>800</v>
      </c>
      <c r="D35">
        <v>40000</v>
      </c>
      <c r="E35">
        <v>500</v>
      </c>
      <c r="F35">
        <f t="shared" si="0"/>
        <v>1080</v>
      </c>
    </row>
    <row r="36" spans="1:6" x14ac:dyDescent="0.15">
      <c r="A36" t="s">
        <v>28</v>
      </c>
      <c r="B36">
        <v>23</v>
      </c>
      <c r="C36">
        <v>632</v>
      </c>
      <c r="D36">
        <v>14536</v>
      </c>
      <c r="E36">
        <v>500</v>
      </c>
      <c r="F36">
        <f t="shared" si="0"/>
        <v>920</v>
      </c>
    </row>
    <row r="37" spans="1:6" x14ac:dyDescent="0.15">
      <c r="A37" t="s">
        <v>35</v>
      </c>
      <c r="B37">
        <v>21</v>
      </c>
      <c r="C37">
        <v>328</v>
      </c>
      <c r="D37">
        <v>6888</v>
      </c>
      <c r="E37">
        <v>500</v>
      </c>
      <c r="F37">
        <f t="shared" si="0"/>
        <v>920</v>
      </c>
    </row>
    <row r="38" spans="1:6" x14ac:dyDescent="0.15">
      <c r="A38" t="s">
        <v>19</v>
      </c>
      <c r="B38">
        <v>21</v>
      </c>
      <c r="C38">
        <v>790</v>
      </c>
      <c r="D38">
        <v>16590</v>
      </c>
      <c r="E38">
        <v>500</v>
      </c>
      <c r="F38">
        <f t="shared" si="0"/>
        <v>1080</v>
      </c>
    </row>
    <row r="39" spans="1:6" x14ac:dyDescent="0.15">
      <c r="A39" t="s">
        <v>29</v>
      </c>
      <c r="B39">
        <v>27</v>
      </c>
      <c r="C39">
        <v>697</v>
      </c>
      <c r="D39">
        <v>18819</v>
      </c>
      <c r="E39">
        <v>460</v>
      </c>
      <c r="F39">
        <f t="shared" si="0"/>
        <v>1040</v>
      </c>
    </row>
    <row r="40" spans="1:6" x14ac:dyDescent="0.15">
      <c r="A40" t="s">
        <v>6</v>
      </c>
      <c r="B40">
        <v>18</v>
      </c>
      <c r="C40">
        <v>890</v>
      </c>
      <c r="D40">
        <v>16020</v>
      </c>
      <c r="E40">
        <v>0</v>
      </c>
      <c r="F40">
        <f t="shared" si="0"/>
        <v>580</v>
      </c>
    </row>
  </sheetData>
  <sortState sortMethod="stroke" ref="A3:F40">
    <sortCondition descending="1" ref="E3:E40"/>
    <sortCondition descending="1" ref="A3:A40"/>
    <sortCondition descending="1" ref="F3:F40"/>
  </sortState>
  <phoneticPr fontId="4" type="noConversion"/>
  <pageMargins left="0.70866141732283472" right="0.70866141732283472" top="0.74803149606299213" bottom="0.74803149606299213" header="0.31496062992125984" footer="0.31496062992125984"/>
  <pageSetup paperSize="9" firstPageNumber="4" orientation="portrait" useFirstPageNumber="1" r:id="rId1"/>
  <headerFooter>
    <oddFooter>第 &amp;P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5" sqref="L25"/>
    </sheetView>
  </sheetViews>
  <sheetFormatPr defaultRowHeight="14.2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Sheet1</vt:lpstr>
      <vt:lpstr>Sheet2</vt:lpstr>
      <vt:lpstr>筛选</vt:lpstr>
      <vt:lpstr>排序</vt:lpstr>
      <vt:lpstr>图表</vt:lpstr>
      <vt:lpstr>筛选!Criteria</vt:lpstr>
      <vt:lpstr>筛选!提取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2018-09-21T08:48:09Z</dcterms:modified>
</cp:coreProperties>
</file>