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15" windowWidth="13230" windowHeight="5850"/>
  </bookViews>
  <sheets>
    <sheet name="商品销售" sheetId="1" r:id="rId1"/>
    <sheet name="销售汇总" sheetId="2" r:id="rId2"/>
    <sheet name="商品月份汇总" sheetId="3" r:id="rId3"/>
  </sheets>
  <calcPr calcId="144525"/>
</workbook>
</file>

<file path=xl/calcChain.xml><?xml version="1.0" encoding="utf-8"?>
<calcChain xmlns="http://schemas.openxmlformats.org/spreadsheetml/2006/main">
  <c r="G43" i="3" l="1"/>
  <c r="G42" i="3"/>
  <c r="G38" i="3"/>
  <c r="G34" i="3"/>
  <c r="G30" i="3"/>
  <c r="G26" i="3"/>
  <c r="G22" i="3"/>
  <c r="G18" i="3"/>
  <c r="G14" i="3"/>
  <c r="G10" i="3"/>
  <c r="G6" i="3"/>
  <c r="E3" i="2"/>
  <c r="E4" i="2"/>
  <c r="E5" i="2"/>
  <c r="E6" i="2"/>
  <c r="E7" i="2"/>
  <c r="E8" i="2"/>
  <c r="E9" i="2"/>
  <c r="E10" i="2"/>
  <c r="E11" i="2"/>
  <c r="E2" i="2"/>
  <c r="D4" i="2"/>
  <c r="D5" i="2"/>
  <c r="D6" i="2"/>
  <c r="D7" i="2"/>
  <c r="D8" i="2"/>
  <c r="D9" i="2"/>
  <c r="D10" i="2"/>
  <c r="D11" i="2"/>
  <c r="D3" i="2"/>
  <c r="D2" i="2"/>
  <c r="C4" i="2"/>
  <c r="C5" i="2"/>
  <c r="C6" i="2"/>
  <c r="C7" i="2"/>
  <c r="C8" i="2"/>
  <c r="C9" i="2"/>
  <c r="C10" i="2"/>
  <c r="C11" i="2"/>
  <c r="C3" i="2"/>
  <c r="C2" i="2"/>
  <c r="G3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" i="1"/>
</calcChain>
</file>

<file path=xl/sharedStrings.xml><?xml version="1.0" encoding="utf-8"?>
<sst xmlns="http://schemas.openxmlformats.org/spreadsheetml/2006/main" count="231" uniqueCount="120">
  <si>
    <t>商品销售统计表</t>
    <phoneticPr fontId="1" type="noConversion"/>
  </si>
  <si>
    <t>商品类别</t>
    <phoneticPr fontId="1" type="noConversion"/>
  </si>
  <si>
    <t>商品名</t>
    <phoneticPr fontId="1" type="noConversion"/>
  </si>
  <si>
    <t>单价</t>
    <phoneticPr fontId="1" type="noConversion"/>
  </si>
  <si>
    <t>数量</t>
    <phoneticPr fontId="1" type="noConversion"/>
  </si>
  <si>
    <t>日用品</t>
    <phoneticPr fontId="1" type="noConversion"/>
  </si>
  <si>
    <t>电器</t>
    <phoneticPr fontId="1" type="noConversion"/>
  </si>
  <si>
    <r>
      <t>电器</t>
    </r>
    <r>
      <rPr>
        <sz val="12"/>
        <rFont val="Times New Roman"/>
        <family val="1"/>
      </rPr>
      <t xml:space="preserve"> </t>
    </r>
    <phoneticPr fontId="1" type="noConversion"/>
  </si>
  <si>
    <t>女大衣</t>
    <phoneticPr fontId="1" type="noConversion"/>
  </si>
  <si>
    <t>热水瓶</t>
    <phoneticPr fontId="1" type="noConversion"/>
  </si>
  <si>
    <t>服装</t>
    <phoneticPr fontId="1" type="noConversion"/>
  </si>
  <si>
    <t>彩电</t>
    <phoneticPr fontId="1" type="noConversion"/>
  </si>
  <si>
    <r>
      <t>音响</t>
    </r>
    <r>
      <rPr>
        <sz val="12"/>
        <rFont val="Times New Roman"/>
        <family val="1"/>
      </rPr>
      <t xml:space="preserve"> </t>
    </r>
    <phoneticPr fontId="1" type="noConversion"/>
  </si>
  <si>
    <t>冰箱</t>
    <phoneticPr fontId="1" type="noConversion"/>
  </si>
  <si>
    <t>西装</t>
    <phoneticPr fontId="1" type="noConversion"/>
  </si>
  <si>
    <t>高压锅</t>
    <phoneticPr fontId="1" type="noConversion"/>
  </si>
  <si>
    <t>化妆品</t>
    <phoneticPr fontId="1" type="noConversion"/>
  </si>
  <si>
    <t>护肤霜</t>
    <phoneticPr fontId="1" type="noConversion"/>
  </si>
  <si>
    <t>洗发水</t>
    <phoneticPr fontId="1" type="noConversion"/>
  </si>
  <si>
    <t>空调</t>
    <phoneticPr fontId="1" type="noConversion"/>
  </si>
  <si>
    <t>月份</t>
    <phoneticPr fontId="1" type="noConversion"/>
  </si>
  <si>
    <t>商品编号</t>
    <phoneticPr fontId="1" type="noConversion"/>
  </si>
  <si>
    <t>001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</si>
  <si>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</si>
  <si>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</si>
  <si>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</si>
  <si>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</si>
  <si>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</si>
  <si>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</si>
  <si>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</si>
  <si>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</si>
  <si>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</si>
  <si>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一月份销售金额</t>
    <phoneticPr fontId="1" type="noConversion"/>
  </si>
  <si>
    <t>二月份销售金额</t>
    <phoneticPr fontId="1" type="noConversion"/>
  </si>
  <si>
    <t>三月份销售金额</t>
    <phoneticPr fontId="1" type="noConversion"/>
  </si>
  <si>
    <t>销售金额</t>
    <phoneticPr fontId="1" type="noConversion"/>
  </si>
  <si>
    <r>
      <t>0</t>
    </r>
    <r>
      <rPr>
        <sz val="12"/>
        <rFont val="宋体"/>
        <family val="3"/>
        <charset val="134"/>
      </rPr>
      <t>01</t>
    </r>
    <phoneticPr fontId="1" type="noConversion"/>
  </si>
  <si>
    <r>
      <t>0</t>
    </r>
    <r>
      <rPr>
        <sz val="12"/>
        <rFont val="宋体"/>
        <family val="3"/>
        <charset val="134"/>
      </rPr>
      <t>02</t>
    </r>
    <phoneticPr fontId="1" type="noConversion"/>
  </si>
  <si>
    <r>
      <t>003</t>
    </r>
    <r>
      <rPr>
        <sz val="12"/>
        <rFont val="宋体"/>
        <family val="3"/>
        <charset val="134"/>
      </rPr>
      <t/>
    </r>
  </si>
  <si>
    <r>
      <t>004</t>
    </r>
    <r>
      <rPr>
        <sz val="12"/>
        <rFont val="宋体"/>
        <family val="3"/>
        <charset val="134"/>
      </rPr>
      <t/>
    </r>
  </si>
  <si>
    <r>
      <t>005</t>
    </r>
    <r>
      <rPr>
        <sz val="12"/>
        <rFont val="宋体"/>
        <family val="3"/>
        <charset val="134"/>
      </rPr>
      <t/>
    </r>
  </si>
  <si>
    <r>
      <t>006</t>
    </r>
    <r>
      <rPr>
        <sz val="12"/>
        <rFont val="宋体"/>
        <family val="3"/>
        <charset val="134"/>
      </rPr>
      <t/>
    </r>
  </si>
  <si>
    <r>
      <t>007</t>
    </r>
    <r>
      <rPr>
        <sz val="12"/>
        <rFont val="宋体"/>
        <family val="3"/>
        <charset val="134"/>
      </rPr>
      <t/>
    </r>
  </si>
  <si>
    <r>
      <t>008</t>
    </r>
    <r>
      <rPr>
        <sz val="12"/>
        <rFont val="宋体"/>
        <family val="3"/>
        <charset val="134"/>
      </rPr>
      <t/>
    </r>
  </si>
  <si>
    <r>
      <t>009</t>
    </r>
    <r>
      <rPr>
        <sz val="12"/>
        <rFont val="宋体"/>
        <family val="3"/>
        <charset val="134"/>
      </rPr>
      <t/>
    </r>
  </si>
  <si>
    <r>
      <t>010</t>
    </r>
    <r>
      <rPr>
        <sz val="12"/>
        <rFont val="宋体"/>
        <family val="3"/>
        <charset val="134"/>
      </rPr>
      <t/>
    </r>
  </si>
  <si>
    <r>
      <t>011</t>
    </r>
    <r>
      <rPr>
        <sz val="12"/>
        <rFont val="宋体"/>
        <family val="3"/>
        <charset val="134"/>
      </rPr>
      <t/>
    </r>
  </si>
  <si>
    <r>
      <t>012</t>
    </r>
    <r>
      <rPr>
        <sz val="12"/>
        <rFont val="宋体"/>
        <family val="3"/>
        <charset val="134"/>
      </rPr>
      <t/>
    </r>
  </si>
  <si>
    <r>
      <t>013</t>
    </r>
    <r>
      <rPr>
        <sz val="12"/>
        <rFont val="宋体"/>
        <family val="3"/>
        <charset val="134"/>
      </rPr>
      <t/>
    </r>
  </si>
  <si>
    <r>
      <t>014</t>
    </r>
    <r>
      <rPr>
        <sz val="12"/>
        <rFont val="宋体"/>
        <family val="3"/>
        <charset val="134"/>
      </rPr>
      <t/>
    </r>
  </si>
  <si>
    <r>
      <t>015</t>
    </r>
    <r>
      <rPr>
        <sz val="12"/>
        <rFont val="宋体"/>
        <family val="3"/>
        <charset val="134"/>
      </rPr>
      <t/>
    </r>
  </si>
  <si>
    <r>
      <t>016</t>
    </r>
    <r>
      <rPr>
        <sz val="12"/>
        <rFont val="宋体"/>
        <family val="3"/>
        <charset val="134"/>
      </rPr>
      <t/>
    </r>
  </si>
  <si>
    <r>
      <t>017</t>
    </r>
    <r>
      <rPr>
        <sz val="12"/>
        <rFont val="宋体"/>
        <family val="3"/>
        <charset val="134"/>
      </rPr>
      <t/>
    </r>
  </si>
  <si>
    <r>
      <t>018</t>
    </r>
    <r>
      <rPr>
        <sz val="12"/>
        <rFont val="宋体"/>
        <family val="3"/>
        <charset val="134"/>
      </rPr>
      <t/>
    </r>
  </si>
  <si>
    <r>
      <t>019</t>
    </r>
    <r>
      <rPr>
        <sz val="12"/>
        <rFont val="宋体"/>
        <family val="3"/>
        <charset val="134"/>
      </rPr>
      <t/>
    </r>
  </si>
  <si>
    <r>
      <t>020</t>
    </r>
    <r>
      <rPr>
        <sz val="12"/>
        <rFont val="宋体"/>
        <family val="3"/>
        <charset val="134"/>
      </rPr>
      <t/>
    </r>
  </si>
  <si>
    <r>
      <t>021</t>
    </r>
    <r>
      <rPr>
        <sz val="12"/>
        <rFont val="宋体"/>
        <family val="3"/>
        <charset val="134"/>
      </rPr>
      <t/>
    </r>
  </si>
  <si>
    <r>
      <t>022</t>
    </r>
    <r>
      <rPr>
        <sz val="12"/>
        <rFont val="宋体"/>
        <family val="3"/>
        <charset val="134"/>
      </rPr>
      <t/>
    </r>
  </si>
  <si>
    <r>
      <t>023</t>
    </r>
    <r>
      <rPr>
        <sz val="12"/>
        <rFont val="宋体"/>
        <family val="3"/>
        <charset val="134"/>
      </rPr>
      <t/>
    </r>
  </si>
  <si>
    <r>
      <t>024</t>
    </r>
    <r>
      <rPr>
        <sz val="12"/>
        <rFont val="宋体"/>
        <family val="3"/>
        <charset val="134"/>
      </rPr>
      <t/>
    </r>
  </si>
  <si>
    <r>
      <t>025</t>
    </r>
    <r>
      <rPr>
        <sz val="12"/>
        <rFont val="宋体"/>
        <family val="3"/>
        <charset val="134"/>
      </rPr>
      <t/>
    </r>
  </si>
  <si>
    <r>
      <t>026</t>
    </r>
    <r>
      <rPr>
        <sz val="12"/>
        <rFont val="宋体"/>
        <family val="3"/>
        <charset val="134"/>
      </rPr>
      <t/>
    </r>
  </si>
  <si>
    <r>
      <t>027</t>
    </r>
    <r>
      <rPr>
        <sz val="12"/>
        <rFont val="宋体"/>
        <family val="3"/>
        <charset val="134"/>
      </rPr>
      <t/>
    </r>
  </si>
  <si>
    <r>
      <t>028</t>
    </r>
    <r>
      <rPr>
        <sz val="12"/>
        <rFont val="宋体"/>
        <family val="3"/>
        <charset val="134"/>
      </rPr>
      <t/>
    </r>
  </si>
  <si>
    <r>
      <t>029</t>
    </r>
    <r>
      <rPr>
        <sz val="12"/>
        <rFont val="宋体"/>
        <family val="3"/>
        <charset val="134"/>
      </rPr>
      <t/>
    </r>
  </si>
  <si>
    <r>
      <t>0</t>
    </r>
    <r>
      <rPr>
        <sz val="12"/>
        <rFont val="宋体"/>
        <family val="3"/>
        <charset val="134"/>
      </rPr>
      <t>30</t>
    </r>
    <phoneticPr fontId="1" type="noConversion"/>
  </si>
  <si>
    <t>商品编号</t>
  </si>
  <si>
    <t>商品名</t>
  </si>
  <si>
    <t>商品类别</t>
  </si>
  <si>
    <t>月份</t>
  </si>
  <si>
    <t>单价</t>
  </si>
  <si>
    <t>数量</t>
  </si>
  <si>
    <t>销售金额</t>
  </si>
  <si>
    <t>001</t>
  </si>
  <si>
    <t>高压锅</t>
  </si>
  <si>
    <t>日用品</t>
  </si>
  <si>
    <t>冰箱</t>
  </si>
  <si>
    <t>电器</t>
  </si>
  <si>
    <t xml:space="preserve">音响 </t>
  </si>
  <si>
    <t xml:space="preserve">电器 </t>
  </si>
  <si>
    <t>女大衣</t>
  </si>
  <si>
    <t>服装</t>
  </si>
  <si>
    <t>彩电</t>
  </si>
  <si>
    <t>热水瓶</t>
  </si>
  <si>
    <t>西装</t>
  </si>
  <si>
    <t>护肤霜</t>
  </si>
  <si>
    <t>化妆品</t>
  </si>
  <si>
    <t>空调</t>
  </si>
  <si>
    <t>洗发水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</si>
  <si>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</si>
  <si>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</si>
  <si>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</si>
  <si>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</si>
  <si>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</si>
  <si>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</si>
  <si>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</si>
  <si>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</si>
  <si>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</si>
  <si>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</si>
  <si>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</si>
  <si>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</si>
  <si>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</si>
  <si>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</si>
  <si>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</si>
  <si>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</si>
  <si>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</si>
  <si>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</si>
  <si>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</si>
  <si>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</si>
  <si>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冰箱 汇总</t>
  </si>
  <si>
    <t>彩电 汇总</t>
  </si>
  <si>
    <t>高压锅 汇总</t>
  </si>
  <si>
    <t>护肤霜 汇总</t>
  </si>
  <si>
    <t>空调 汇总</t>
  </si>
  <si>
    <t>女大衣 汇总</t>
  </si>
  <si>
    <t>热水瓶 汇总</t>
  </si>
  <si>
    <t>西装 汇总</t>
  </si>
  <si>
    <t>洗发水 汇总</t>
  </si>
  <si>
    <t>音响 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</si>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</sst>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7" formatCode="&quot;¥&quot;#,##0.00;&quot;¥&quot;\-#,##0.00"/>
  </numFmts>
  <fonts count="7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6"/>
      <color rgb="FFFF0000"/>
      <name val="宋体"/>
      <family val="3"/>
      <charset val="134"/>
    </font>
    <font>
      <sz val="16"/>
      <color rgb="FFFF0000"/>
      <name val="黑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FF0000"/>
      </left>
      <right style="thin">
        <color rgb="FF00B0F0"/>
      </right>
      <top style="thick">
        <color rgb="FFFF000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ck">
        <color rgb="FFFF0000"/>
      </top>
      <bottom style="thin">
        <color rgb="FF00B0F0"/>
      </bottom>
      <diagonal/>
    </border>
    <border>
      <left style="thin">
        <color rgb="FF00B0F0"/>
      </left>
      <right style="thick">
        <color rgb="FFFF0000"/>
      </right>
      <top style="thick">
        <color rgb="FFFF0000"/>
      </top>
      <bottom style="thin">
        <color rgb="FF00B0F0"/>
      </bottom>
      <diagonal/>
    </border>
    <border>
      <left style="thick">
        <color rgb="FFFF000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ck">
        <color rgb="FFFF0000"/>
      </right>
      <top style="thin">
        <color rgb="FF00B0F0"/>
      </top>
      <bottom style="thin">
        <color rgb="FF00B0F0"/>
      </bottom>
      <diagonal/>
    </border>
    <border>
      <left style="thick">
        <color rgb="FFFF0000"/>
      </left>
      <right style="thin">
        <color rgb="FF00B0F0"/>
      </right>
      <top style="thin">
        <color rgb="FF00B0F0"/>
      </top>
      <bottom style="thick">
        <color rgb="FFFF000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ck">
        <color rgb="FFFF0000"/>
      </bottom>
      <diagonal/>
    </border>
    <border>
      <left style="thin">
        <color rgb="FF00B0F0"/>
      </left>
      <right style="thick">
        <color rgb="FFFF0000"/>
      </right>
      <top style="thin">
        <color rgb="FF00B0F0"/>
      </top>
      <bottom style="thick">
        <color rgb="FFFF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quotePrefix="1"/>
    <xf numFmtId="0" fontId="3" fillId="0" borderId="0" xfId="0" applyFont="1"/>
    <xf numFmtId="0" fontId="4" fillId="0" borderId="0" xfId="0" applyFont="1" applyAlignment="1">
      <alignment horizontal="centerContinuous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7" fontId="0" fillId="0" borderId="5" xfId="0" applyNumberFormat="1" applyBorder="1"/>
    <xf numFmtId="7" fontId="0" fillId="0" borderId="8" xfId="0" applyNumberFormat="1" applyBorder="1"/>
    <xf numFmtId="7" fontId="0" fillId="0" borderId="6" xfId="0" applyNumberFormat="1" applyBorder="1"/>
    <xf numFmtId="7" fontId="0" fillId="0" borderId="9" xfId="0" applyNumberFormat="1" applyBorder="1"/>
    <xf numFmtId="49" fontId="5" fillId="0" borderId="4" xfId="0" quotePrefix="1" applyNumberFormat="1" applyFont="1" applyBorder="1"/>
    <xf numFmtId="49" fontId="5" fillId="0" borderId="7" xfId="0" quotePrefix="1" applyNumberFormat="1" applyFont="1" applyBorder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各商品一月份销售数量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商品销售!$F$2</c:f>
              <c:strCache>
                <c:ptCount val="1"/>
                <c:pt idx="0">
                  <c:v>数量</c:v>
                </c:pt>
              </c:strCache>
            </c:strRef>
          </c:tx>
          <c:invertIfNegative val="0"/>
          <c:cat>
            <c:strRef>
              <c:f>商品销售!$B$3:$B$12</c:f>
              <c:strCache>
                <c:ptCount val="10"/>
                <c:pt idx="0">
                  <c:v>高压锅</c:v>
                </c:pt>
                <c:pt idx="1">
                  <c:v>冰箱</c:v>
                </c:pt>
                <c:pt idx="2">
                  <c:v>音响 </c:v>
                </c:pt>
                <c:pt idx="3">
                  <c:v>女大衣</c:v>
                </c:pt>
                <c:pt idx="4">
                  <c:v>彩电</c:v>
                </c:pt>
                <c:pt idx="5">
                  <c:v>热水瓶</c:v>
                </c:pt>
                <c:pt idx="6">
                  <c:v>西装</c:v>
                </c:pt>
                <c:pt idx="7">
                  <c:v>护肤霜</c:v>
                </c:pt>
                <c:pt idx="8">
                  <c:v>空调</c:v>
                </c:pt>
                <c:pt idx="9">
                  <c:v>洗发水</c:v>
                </c:pt>
              </c:strCache>
            </c:strRef>
          </c:cat>
          <c:val>
            <c:numRef>
              <c:f>商品销售!$F$3:$F$12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15</c:v>
                </c:pt>
                <c:pt idx="3">
                  <c:v>60</c:v>
                </c:pt>
                <c:pt idx="4">
                  <c:v>50</c:v>
                </c:pt>
                <c:pt idx="5">
                  <c:v>40</c:v>
                </c:pt>
                <c:pt idx="6">
                  <c:v>85</c:v>
                </c:pt>
                <c:pt idx="7">
                  <c:v>12</c:v>
                </c:pt>
                <c:pt idx="8">
                  <c:v>60</c:v>
                </c:pt>
                <c:pt idx="9">
                  <c:v>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7122176"/>
        <c:axId val="77607296"/>
        <c:axId val="0"/>
      </c:bar3DChart>
      <c:catAx>
        <c:axId val="77122176"/>
        <c:scaling>
          <c:orientation val="minMax"/>
        </c:scaling>
        <c:delete val="0"/>
        <c:axPos val="b"/>
        <c:majorTickMark val="out"/>
        <c:minorTickMark val="none"/>
        <c:tickLblPos val="nextTo"/>
        <c:crossAx val="77607296"/>
        <c:crosses val="autoZero"/>
        <c:auto val="1"/>
        <c:lblAlgn val="ctr"/>
        <c:lblOffset val="100"/>
        <c:noMultiLvlLbl val="0"/>
      </c:catAx>
      <c:valAx>
        <c:axId val="77607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7122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309562</xdr:colOff>
      <xdr:row>3</xdr:row>
      <xdr:rowOff>95250</xdr:rowOff>
    </xdr:from>
    <xdr:to>
      <xdr:col>14</xdr:col>
      <xdr:colOff>80962</xdr:colOff>
      <xdr:row>18</xdr:row>
      <xdr:rowOff>85725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workbookViewId="0">
      <selection activeCell="J22" sqref="J22"/>
    </sheetView>
  </sheetViews>
  <sheetFormatPr defaultRowHeight="14.25" x14ac:dyDescent="0.15"/>
  <cols>
    <col min="5" max="5" width="10.5" bestFit="1" customWidth="1"/>
    <col min="7" max="7" width="13" customWidth="1"/>
  </cols>
  <sheetData>
    <row r="1" spans="1:7" s="2" customFormat="1" ht="27.95" customHeight="1" thickBot="1" x14ac:dyDescent="0.3">
      <c r="A1" s="3" t="s">
        <v>0</v>
      </c>
      <c r="B1" s="3"/>
      <c r="C1" s="3"/>
      <c r="D1" s="3"/>
      <c r="E1" s="3"/>
      <c r="F1" s="3"/>
      <c r="G1" s="3"/>
    </row>
    <row r="2" spans="1:7" ht="15" thickTop="1" x14ac:dyDescent="0.15">
      <c r="A2" s="4" t="s">
        <v>21</v>
      </c>
      <c r="B2" s="5" t="s">
        <v>2</v>
      </c>
      <c r="C2" s="5" t="s">
        <v>1</v>
      </c>
      <c r="D2" s="5" t="s">
        <v>20</v>
      </c>
      <c r="E2" s="5" t="s">
        <v>3</v>
      </c>
      <c r="F2" s="5" t="s">
        <v>4</v>
      </c>
      <c r="G2" s="6" t="s">
        <v>35</v>
      </c>
    </row>
    <row r="3" spans="1:7" x14ac:dyDescent="0.15">
      <c r="A3" s="13" t="s">
        <v>36</v>
      </c>
      <c r="B3" s="7" t="s">
        <v>15</v>
      </c>
      <c r="C3" s="7" t="s">
        <v>5</v>
      </c>
      <c r="D3" s="7">
        <v>1</v>
      </c>
      <c r="E3" s="9">
        <v>68</v>
      </c>
      <c r="F3" s="7">
        <v>20</v>
      </c>
      <c r="G3" s="11">
        <f>F3*E3</f>
        <v>1360</v>
      </c>
    </row>
    <row r="4" spans="1:7" x14ac:dyDescent="0.15">
      <c r="A4" s="13" t="s">
        <v>37</v>
      </c>
      <c r="B4" s="7" t="s">
        <v>13</v>
      </c>
      <c r="C4" s="7" t="s">
        <v>6</v>
      </c>
      <c r="D4" s="7">
        <v>1</v>
      </c>
      <c r="E4" s="9">
        <v>2780</v>
      </c>
      <c r="F4" s="7">
        <v>30</v>
      </c>
      <c r="G4" s="11">
        <f t="shared" ref="G4:G31" si="0">F4*E4</f>
        <v>83400</v>
      </c>
    </row>
    <row r="5" spans="1:7" ht="15.75" x14ac:dyDescent="0.25">
      <c r="A5" s="13" t="s">
        <v>38</v>
      </c>
      <c r="B5" s="7" t="s">
        <v>12</v>
      </c>
      <c r="C5" s="7" t="s">
        <v>7</v>
      </c>
      <c r="D5" s="7">
        <v>1</v>
      </c>
      <c r="E5" s="9">
        <v>4200</v>
      </c>
      <c r="F5" s="7">
        <v>15</v>
      </c>
      <c r="G5" s="11">
        <f t="shared" si="0"/>
        <v>63000</v>
      </c>
    </row>
    <row r="6" spans="1:7" x14ac:dyDescent="0.15">
      <c r="A6" s="13" t="s">
        <v>39</v>
      </c>
      <c r="B6" s="7" t="s">
        <v>8</v>
      </c>
      <c r="C6" s="7" t="s">
        <v>10</v>
      </c>
      <c r="D6" s="7">
        <v>1</v>
      </c>
      <c r="E6" s="9">
        <v>457</v>
      </c>
      <c r="F6" s="7">
        <v>60</v>
      </c>
      <c r="G6" s="11">
        <f t="shared" si="0"/>
        <v>27420</v>
      </c>
    </row>
    <row r="7" spans="1:7" x14ac:dyDescent="0.15">
      <c r="A7" s="13" t="s">
        <v>40</v>
      </c>
      <c r="B7" s="7" t="s">
        <v>11</v>
      </c>
      <c r="C7" s="7" t="s">
        <v>6</v>
      </c>
      <c r="D7" s="7">
        <v>1</v>
      </c>
      <c r="E7" s="9">
        <v>3800</v>
      </c>
      <c r="F7" s="7">
        <v>50</v>
      </c>
      <c r="G7" s="11">
        <f t="shared" si="0"/>
        <v>190000</v>
      </c>
    </row>
    <row r="8" spans="1:7" x14ac:dyDescent="0.15">
      <c r="A8" s="13" t="s">
        <v>41</v>
      </c>
      <c r="B8" s="7" t="s">
        <v>9</v>
      </c>
      <c r="C8" s="7" t="s">
        <v>5</v>
      </c>
      <c r="D8" s="7">
        <v>1</v>
      </c>
      <c r="E8" s="9">
        <v>32</v>
      </c>
      <c r="F8" s="7">
        <v>40</v>
      </c>
      <c r="G8" s="11">
        <f t="shared" si="0"/>
        <v>1280</v>
      </c>
    </row>
    <row r="9" spans="1:7" x14ac:dyDescent="0.15">
      <c r="A9" s="13" t="s">
        <v>42</v>
      </c>
      <c r="B9" s="7" t="s">
        <v>14</v>
      </c>
      <c r="C9" s="7" t="s">
        <v>10</v>
      </c>
      <c r="D9" s="7">
        <v>1</v>
      </c>
      <c r="E9" s="9">
        <v>382</v>
      </c>
      <c r="F9" s="7">
        <v>85</v>
      </c>
      <c r="G9" s="11">
        <f t="shared" si="0"/>
        <v>32470</v>
      </c>
    </row>
    <row r="10" spans="1:7" x14ac:dyDescent="0.15">
      <c r="A10" s="13" t="s">
        <v>43</v>
      </c>
      <c r="B10" s="7" t="s">
        <v>17</v>
      </c>
      <c r="C10" s="7" t="s">
        <v>16</v>
      </c>
      <c r="D10" s="7">
        <v>1</v>
      </c>
      <c r="E10" s="9">
        <v>80</v>
      </c>
      <c r="F10" s="7">
        <v>12</v>
      </c>
      <c r="G10" s="11">
        <f t="shared" si="0"/>
        <v>960</v>
      </c>
    </row>
    <row r="11" spans="1:7" x14ac:dyDescent="0.15">
      <c r="A11" s="13" t="s">
        <v>44</v>
      </c>
      <c r="B11" s="7" t="s">
        <v>19</v>
      </c>
      <c r="C11" s="7" t="s">
        <v>6</v>
      </c>
      <c r="D11" s="7">
        <v>1</v>
      </c>
      <c r="E11" s="9">
        <v>2800</v>
      </c>
      <c r="F11" s="7">
        <v>60</v>
      </c>
      <c r="G11" s="11">
        <f t="shared" si="0"/>
        <v>168000</v>
      </c>
    </row>
    <row r="12" spans="1:7" x14ac:dyDescent="0.15">
      <c r="A12" s="13" t="s">
        <v>45</v>
      </c>
      <c r="B12" s="7" t="s">
        <v>18</v>
      </c>
      <c r="C12" s="7" t="s">
        <v>16</v>
      </c>
      <c r="D12" s="7">
        <v>1</v>
      </c>
      <c r="E12" s="9">
        <v>65</v>
      </c>
      <c r="F12" s="7">
        <v>45</v>
      </c>
      <c r="G12" s="11">
        <f t="shared" si="0"/>
        <v>2925</v>
      </c>
    </row>
    <row r="13" spans="1:7" x14ac:dyDescent="0.15">
      <c r="A13" s="13" t="s">
        <v>46</v>
      </c>
      <c r="B13" s="7" t="s">
        <v>15</v>
      </c>
      <c r="C13" s="7" t="s">
        <v>5</v>
      </c>
      <c r="D13" s="7">
        <v>2</v>
      </c>
      <c r="E13" s="9">
        <v>68</v>
      </c>
      <c r="F13" s="7">
        <v>5</v>
      </c>
      <c r="G13" s="11">
        <f t="shared" si="0"/>
        <v>340</v>
      </c>
    </row>
    <row r="14" spans="1:7" x14ac:dyDescent="0.15">
      <c r="A14" s="13" t="s">
        <v>47</v>
      </c>
      <c r="B14" s="7" t="s">
        <v>13</v>
      </c>
      <c r="C14" s="7" t="s">
        <v>6</v>
      </c>
      <c r="D14" s="7">
        <v>2</v>
      </c>
      <c r="E14" s="9">
        <v>2780</v>
      </c>
      <c r="F14" s="7">
        <v>25</v>
      </c>
      <c r="G14" s="11">
        <f t="shared" si="0"/>
        <v>69500</v>
      </c>
    </row>
    <row r="15" spans="1:7" ht="15.75" x14ac:dyDescent="0.25">
      <c r="A15" s="13" t="s">
        <v>48</v>
      </c>
      <c r="B15" s="7" t="s">
        <v>12</v>
      </c>
      <c r="C15" s="7" t="s">
        <v>7</v>
      </c>
      <c r="D15" s="7">
        <v>2</v>
      </c>
      <c r="E15" s="9">
        <v>4200</v>
      </c>
      <c r="F15" s="7">
        <v>20</v>
      </c>
      <c r="G15" s="11">
        <f t="shared" si="0"/>
        <v>84000</v>
      </c>
    </row>
    <row r="16" spans="1:7" x14ac:dyDescent="0.15">
      <c r="A16" s="13" t="s">
        <v>49</v>
      </c>
      <c r="B16" s="7" t="s">
        <v>8</v>
      </c>
      <c r="C16" s="7" t="s">
        <v>10</v>
      </c>
      <c r="D16" s="7">
        <v>2</v>
      </c>
      <c r="E16" s="9">
        <v>457</v>
      </c>
      <c r="F16" s="7">
        <v>45</v>
      </c>
      <c r="G16" s="11">
        <f t="shared" si="0"/>
        <v>20565</v>
      </c>
    </row>
    <row r="17" spans="1:7" x14ac:dyDescent="0.15">
      <c r="A17" s="13" t="s">
        <v>50</v>
      </c>
      <c r="B17" s="7" t="s">
        <v>11</v>
      </c>
      <c r="C17" s="7" t="s">
        <v>6</v>
      </c>
      <c r="D17" s="7">
        <v>2</v>
      </c>
      <c r="E17" s="9">
        <v>3800</v>
      </c>
      <c r="F17" s="7">
        <v>37</v>
      </c>
      <c r="G17" s="11">
        <f t="shared" si="0"/>
        <v>140600</v>
      </c>
    </row>
    <row r="18" spans="1:7" x14ac:dyDescent="0.15">
      <c r="A18" s="13" t="s">
        <v>51</v>
      </c>
      <c r="B18" s="7" t="s">
        <v>9</v>
      </c>
      <c r="C18" s="7" t="s">
        <v>5</v>
      </c>
      <c r="D18" s="7">
        <v>2</v>
      </c>
      <c r="E18" s="9">
        <v>32</v>
      </c>
      <c r="F18" s="7">
        <v>10</v>
      </c>
      <c r="G18" s="11">
        <f t="shared" si="0"/>
        <v>320</v>
      </c>
    </row>
    <row r="19" spans="1:7" x14ac:dyDescent="0.15">
      <c r="A19" s="13" t="s">
        <v>52</v>
      </c>
      <c r="B19" s="7" t="s">
        <v>14</v>
      </c>
      <c r="C19" s="7" t="s">
        <v>10</v>
      </c>
      <c r="D19" s="7">
        <v>2</v>
      </c>
      <c r="E19" s="9">
        <v>382</v>
      </c>
      <c r="F19" s="7">
        <v>100</v>
      </c>
      <c r="G19" s="11">
        <f t="shared" si="0"/>
        <v>38200</v>
      </c>
    </row>
    <row r="20" spans="1:7" x14ac:dyDescent="0.15">
      <c r="A20" s="13" t="s">
        <v>53</v>
      </c>
      <c r="B20" s="7" t="s">
        <v>17</v>
      </c>
      <c r="C20" s="7" t="s">
        <v>16</v>
      </c>
      <c r="D20" s="7">
        <v>2</v>
      </c>
      <c r="E20" s="9">
        <v>80</v>
      </c>
      <c r="F20" s="7">
        <v>10</v>
      </c>
      <c r="G20" s="11">
        <f t="shared" si="0"/>
        <v>800</v>
      </c>
    </row>
    <row r="21" spans="1:7" x14ac:dyDescent="0.15">
      <c r="A21" s="13" t="s">
        <v>54</v>
      </c>
      <c r="B21" s="7" t="s">
        <v>19</v>
      </c>
      <c r="C21" s="7" t="s">
        <v>6</v>
      </c>
      <c r="D21" s="7">
        <v>2</v>
      </c>
      <c r="E21" s="9">
        <v>2800</v>
      </c>
      <c r="F21" s="7">
        <v>60</v>
      </c>
      <c r="G21" s="11">
        <f t="shared" si="0"/>
        <v>168000</v>
      </c>
    </row>
    <row r="22" spans="1:7" x14ac:dyDescent="0.15">
      <c r="A22" s="13" t="s">
        <v>55</v>
      </c>
      <c r="B22" s="7" t="s">
        <v>18</v>
      </c>
      <c r="C22" s="7" t="s">
        <v>16</v>
      </c>
      <c r="D22" s="7">
        <v>2</v>
      </c>
      <c r="E22" s="9">
        <v>65</v>
      </c>
      <c r="F22" s="7">
        <v>45</v>
      </c>
      <c r="G22" s="11">
        <f t="shared" si="0"/>
        <v>2925</v>
      </c>
    </row>
    <row r="23" spans="1:7" x14ac:dyDescent="0.15">
      <c r="A23" s="13" t="s">
        <v>56</v>
      </c>
      <c r="B23" s="7" t="s">
        <v>15</v>
      </c>
      <c r="C23" s="7" t="s">
        <v>5</v>
      </c>
      <c r="D23" s="7">
        <v>3</v>
      </c>
      <c r="E23" s="9">
        <v>68</v>
      </c>
      <c r="F23" s="7">
        <v>10</v>
      </c>
      <c r="G23" s="11">
        <f t="shared" si="0"/>
        <v>680</v>
      </c>
    </row>
    <row r="24" spans="1:7" x14ac:dyDescent="0.15">
      <c r="A24" s="13" t="s">
        <v>57</v>
      </c>
      <c r="B24" s="7" t="s">
        <v>13</v>
      </c>
      <c r="C24" s="7" t="s">
        <v>6</v>
      </c>
      <c r="D24" s="7">
        <v>3</v>
      </c>
      <c r="E24" s="9">
        <v>2780</v>
      </c>
      <c r="F24" s="7">
        <v>30</v>
      </c>
      <c r="G24" s="11">
        <f t="shared" si="0"/>
        <v>83400</v>
      </c>
    </row>
    <row r="25" spans="1:7" ht="15.75" x14ac:dyDescent="0.25">
      <c r="A25" s="13" t="s">
        <v>58</v>
      </c>
      <c r="B25" s="7" t="s">
        <v>12</v>
      </c>
      <c r="C25" s="7" t="s">
        <v>7</v>
      </c>
      <c r="D25" s="7">
        <v>3</v>
      </c>
      <c r="E25" s="9">
        <v>4200</v>
      </c>
      <c r="F25" s="7">
        <v>15</v>
      </c>
      <c r="G25" s="11">
        <f t="shared" si="0"/>
        <v>63000</v>
      </c>
    </row>
    <row r="26" spans="1:7" x14ac:dyDescent="0.15">
      <c r="A26" s="13" t="s">
        <v>59</v>
      </c>
      <c r="B26" s="7" t="s">
        <v>8</v>
      </c>
      <c r="C26" s="7" t="s">
        <v>10</v>
      </c>
      <c r="D26" s="7">
        <v>3</v>
      </c>
      <c r="E26" s="9">
        <v>457</v>
      </c>
      <c r="F26" s="7">
        <v>68</v>
      </c>
      <c r="G26" s="11">
        <f t="shared" si="0"/>
        <v>31076</v>
      </c>
    </row>
    <row r="27" spans="1:7" x14ac:dyDescent="0.15">
      <c r="A27" s="13" t="s">
        <v>60</v>
      </c>
      <c r="B27" s="7" t="s">
        <v>11</v>
      </c>
      <c r="C27" s="7" t="s">
        <v>6</v>
      </c>
      <c r="D27" s="7">
        <v>3</v>
      </c>
      <c r="E27" s="9">
        <v>3800</v>
      </c>
      <c r="F27" s="7">
        <v>45</v>
      </c>
      <c r="G27" s="11">
        <f t="shared" si="0"/>
        <v>171000</v>
      </c>
    </row>
    <row r="28" spans="1:7" x14ac:dyDescent="0.15">
      <c r="A28" s="13" t="s">
        <v>61</v>
      </c>
      <c r="B28" s="7" t="s">
        <v>9</v>
      </c>
      <c r="C28" s="7" t="s">
        <v>5</v>
      </c>
      <c r="D28" s="7">
        <v>3</v>
      </c>
      <c r="E28" s="9">
        <v>32</v>
      </c>
      <c r="F28" s="7">
        <v>26</v>
      </c>
      <c r="G28" s="11">
        <f t="shared" si="0"/>
        <v>832</v>
      </c>
    </row>
    <row r="29" spans="1:7" x14ac:dyDescent="0.15">
      <c r="A29" s="13" t="s">
        <v>62</v>
      </c>
      <c r="B29" s="7" t="s">
        <v>14</v>
      </c>
      <c r="C29" s="7" t="s">
        <v>10</v>
      </c>
      <c r="D29" s="7">
        <v>3</v>
      </c>
      <c r="E29" s="9">
        <v>382</v>
      </c>
      <c r="F29" s="7">
        <v>50</v>
      </c>
      <c r="G29" s="11">
        <f t="shared" si="0"/>
        <v>19100</v>
      </c>
    </row>
    <row r="30" spans="1:7" x14ac:dyDescent="0.15">
      <c r="A30" s="13" t="s">
        <v>63</v>
      </c>
      <c r="B30" s="7" t="s">
        <v>17</v>
      </c>
      <c r="C30" s="7" t="s">
        <v>16</v>
      </c>
      <c r="D30" s="7">
        <v>3</v>
      </c>
      <c r="E30" s="9">
        <v>80</v>
      </c>
      <c r="F30" s="7">
        <v>16</v>
      </c>
      <c r="G30" s="11">
        <f t="shared" si="0"/>
        <v>1280</v>
      </c>
    </row>
    <row r="31" spans="1:7" x14ac:dyDescent="0.15">
      <c r="A31" s="13" t="s">
        <v>64</v>
      </c>
      <c r="B31" s="7" t="s">
        <v>19</v>
      </c>
      <c r="C31" s="7" t="s">
        <v>6</v>
      </c>
      <c r="D31" s="7">
        <v>3</v>
      </c>
      <c r="E31" s="9">
        <v>2800</v>
      </c>
      <c r="F31" s="7">
        <v>26</v>
      </c>
      <c r="G31" s="11">
        <f t="shared" si="0"/>
        <v>72800</v>
      </c>
    </row>
    <row r="32" spans="1:7" ht="15" thickBot="1" x14ac:dyDescent="0.2">
      <c r="A32" s="14" t="s">
        <v>65</v>
      </c>
      <c r="B32" s="8" t="s">
        <v>18</v>
      </c>
      <c r="C32" s="8" t="s">
        <v>16</v>
      </c>
      <c r="D32" s="8">
        <v>3</v>
      </c>
      <c r="E32" s="10">
        <v>65</v>
      </c>
      <c r="F32" s="8">
        <v>32</v>
      </c>
      <c r="G32" s="12">
        <f>F32*E32</f>
        <v>2080</v>
      </c>
    </row>
    <row r="33" ht="15" thickTop="1" x14ac:dyDescent="0.15"/>
  </sheetData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B33" sqref="B33"/>
    </sheetView>
  </sheetViews>
  <sheetFormatPr defaultRowHeight="14.25" x14ac:dyDescent="0.15"/>
  <cols>
    <col min="3" max="5" width="16.125" bestFit="1" customWidth="1"/>
  </cols>
  <sheetData>
    <row r="1" spans="1:5" x14ac:dyDescent="0.15">
      <c r="A1" t="s">
        <v>21</v>
      </c>
      <c r="B1" t="s">
        <v>2</v>
      </c>
      <c r="C1" t="s">
        <v>32</v>
      </c>
      <c r="D1" t="s">
        <v>33</v>
      </c>
      <c r="E1" t="s">
        <v>34</v>
      </c>
    </row>
    <row r="2" spans="1:5" x14ac:dyDescent="0.15">
      <c r="A2" s="1" t="s">
        <v>22</v>
      </c>
      <c r="B2" t="s">
        <v>15</v>
      </c>
      <c r="C2">
        <f>SUMIF(商品销售!$B$3:$B$12,B2,商品销售!$G$3:$G$12)</f>
        <v>1360</v>
      </c>
      <c r="D2">
        <f>SUMIF(商品销售!$B$13:$B$22,B2,商品销售!$G$13:$G$22)</f>
        <v>340</v>
      </c>
      <c r="E2">
        <f>SUMIF(商品销售!$B$23:$B$32,B2,商品销售!$G$23:$G$32)</f>
        <v>680</v>
      </c>
    </row>
    <row r="3" spans="1:5" x14ac:dyDescent="0.15">
      <c r="A3" s="1" t="s">
        <v>23</v>
      </c>
      <c r="B3" t="s">
        <v>13</v>
      </c>
      <c r="C3">
        <f>SUMIF(商品销售!$B$3:$B$12,B3,商品销售!$G$3:$G$12)</f>
        <v>83400</v>
      </c>
      <c r="D3">
        <f>SUMIF(商品销售!$B$13:$B$22,B3,商品销售!$G$13:$G$22)</f>
        <v>69500</v>
      </c>
      <c r="E3">
        <f>SUMIF(商品销售!$B$23:$B$32,B3,商品销售!$G$23:$G$32)</f>
        <v>83400</v>
      </c>
    </row>
    <row r="4" spans="1:5" ht="15.75" x14ac:dyDescent="0.25">
      <c r="A4" s="1" t="s">
        <v>24</v>
      </c>
      <c r="B4" t="s">
        <v>12</v>
      </c>
      <c r="C4">
        <f>SUMIF(商品销售!$B$3:$B$12,B4,商品销售!$G$3:$G$12)</f>
        <v>63000</v>
      </c>
      <c r="D4">
        <f>SUMIF(商品销售!$B$13:$B$22,B4,商品销售!$G$13:$G$22)</f>
        <v>84000</v>
      </c>
      <c r="E4">
        <f>SUMIF(商品销售!$B$23:$B$32,B4,商品销售!$G$23:$G$32)</f>
        <v>63000</v>
      </c>
    </row>
    <row r="5" spans="1:5" x14ac:dyDescent="0.15">
      <c r="A5" s="1" t="s">
        <v>25</v>
      </c>
      <c r="B5" t="s">
        <v>8</v>
      </c>
      <c r="C5">
        <f>SUMIF(商品销售!$B$3:$B$12,B5,商品销售!$G$3:$G$12)</f>
        <v>27420</v>
      </c>
      <c r="D5">
        <f>SUMIF(商品销售!$B$13:$B$22,B5,商品销售!$G$13:$G$22)</f>
        <v>20565</v>
      </c>
      <c r="E5">
        <f>SUMIF(商品销售!$B$23:$B$32,B5,商品销售!$G$23:$G$32)</f>
        <v>31076</v>
      </c>
    </row>
    <row r="6" spans="1:5" x14ac:dyDescent="0.15">
      <c r="A6" s="1" t="s">
        <v>26</v>
      </c>
      <c r="B6" t="s">
        <v>11</v>
      </c>
      <c r="C6">
        <f>SUMIF(商品销售!$B$3:$B$12,B6,商品销售!$G$3:$G$12)</f>
        <v>190000</v>
      </c>
      <c r="D6">
        <f>SUMIF(商品销售!$B$13:$B$22,B6,商品销售!$G$13:$G$22)</f>
        <v>140600</v>
      </c>
      <c r="E6">
        <f>SUMIF(商品销售!$B$23:$B$32,B6,商品销售!$G$23:$G$32)</f>
        <v>171000</v>
      </c>
    </row>
    <row r="7" spans="1:5" x14ac:dyDescent="0.15">
      <c r="A7" s="1" t="s">
        <v>27</v>
      </c>
      <c r="B7" t="s">
        <v>9</v>
      </c>
      <c r="C7">
        <f>SUMIF(商品销售!$B$3:$B$12,B7,商品销售!$G$3:$G$12)</f>
        <v>1280</v>
      </c>
      <c r="D7">
        <f>SUMIF(商品销售!$B$13:$B$22,B7,商品销售!$G$13:$G$22)</f>
        <v>320</v>
      </c>
      <c r="E7">
        <f>SUMIF(商品销售!$B$23:$B$32,B7,商品销售!$G$23:$G$32)</f>
        <v>832</v>
      </c>
    </row>
    <row r="8" spans="1:5" x14ac:dyDescent="0.15">
      <c r="A8" s="1" t="s">
        <v>28</v>
      </c>
      <c r="B8" t="s">
        <v>14</v>
      </c>
      <c r="C8">
        <f>SUMIF(商品销售!$B$3:$B$12,B8,商品销售!$G$3:$G$12)</f>
        <v>32470</v>
      </c>
      <c r="D8">
        <f>SUMIF(商品销售!$B$13:$B$22,B8,商品销售!$G$13:$G$22)</f>
        <v>38200</v>
      </c>
      <c r="E8">
        <f>SUMIF(商品销售!$B$23:$B$32,B8,商品销售!$G$23:$G$32)</f>
        <v>19100</v>
      </c>
    </row>
    <row r="9" spans="1:5" x14ac:dyDescent="0.15">
      <c r="A9" s="1" t="s">
        <v>29</v>
      </c>
      <c r="B9" t="s">
        <v>17</v>
      </c>
      <c r="C9">
        <f>SUMIF(商品销售!$B$3:$B$12,B9,商品销售!$G$3:$G$12)</f>
        <v>960</v>
      </c>
      <c r="D9">
        <f>SUMIF(商品销售!$B$13:$B$22,B9,商品销售!$G$13:$G$22)</f>
        <v>800</v>
      </c>
      <c r="E9">
        <f>SUMIF(商品销售!$B$23:$B$32,B9,商品销售!$G$23:$G$32)</f>
        <v>1280</v>
      </c>
    </row>
    <row r="10" spans="1:5" x14ac:dyDescent="0.15">
      <c r="A10" s="1" t="s">
        <v>30</v>
      </c>
      <c r="B10" t="s">
        <v>19</v>
      </c>
      <c r="C10">
        <f>SUMIF(商品销售!$B$3:$B$12,B10,商品销售!$G$3:$G$12)</f>
        <v>168000</v>
      </c>
      <c r="D10">
        <f>SUMIF(商品销售!$B$13:$B$22,B10,商品销售!$G$13:$G$22)</f>
        <v>168000</v>
      </c>
      <c r="E10">
        <f>SUMIF(商品销售!$B$23:$B$32,B10,商品销售!$G$23:$G$32)</f>
        <v>72800</v>
      </c>
    </row>
    <row r="11" spans="1:5" x14ac:dyDescent="0.15">
      <c r="A11" s="1" t="s">
        <v>31</v>
      </c>
      <c r="B11" t="s">
        <v>18</v>
      </c>
      <c r="C11">
        <f>SUMIF(商品销售!$B$3:$B$12,B11,商品销售!$G$3:$G$12)</f>
        <v>2925</v>
      </c>
      <c r="D11">
        <f>SUMIF(商品销售!$B$13:$B$22,B11,商品销售!$G$13:$G$22)</f>
        <v>2925</v>
      </c>
      <c r="E11">
        <f>SUMIF(商品销售!$B$23:$B$32,B11,商品销售!$G$23:$G$32)</f>
        <v>2080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3"/>
  <sheetViews>
    <sheetView workbookViewId="0">
      <selection activeCell="F52" sqref="F52"/>
    </sheetView>
  </sheetViews>
  <sheetFormatPr defaultRowHeight="14.25" outlineLevelRow="2" x14ac:dyDescent="0.15"/>
  <cols>
    <col min="5" max="5" width="9" customWidth="1"/>
    <col min="7" max="7" width="9" customWidth="1"/>
  </cols>
  <sheetData>
    <row r="2" spans="1:7" x14ac:dyDescent="0.15">
      <c r="A2" t="s">
        <v>66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</row>
    <row r="3" spans="1:7" outlineLevel="2" x14ac:dyDescent="0.15">
      <c r="A3" t="s">
        <v>23</v>
      </c>
      <c r="B3" t="s">
        <v>76</v>
      </c>
      <c r="C3" t="s">
        <v>77</v>
      </c>
      <c r="D3">
        <v>1</v>
      </c>
      <c r="E3">
        <v>2780</v>
      </c>
      <c r="F3">
        <v>30</v>
      </c>
      <c r="G3">
        <v>83400</v>
      </c>
    </row>
    <row r="4" spans="1:7" outlineLevel="2" x14ac:dyDescent="0.15">
      <c r="A4" t="s">
        <v>90</v>
      </c>
      <c r="B4" t="s">
        <v>76</v>
      </c>
      <c r="C4" t="s">
        <v>77</v>
      </c>
      <c r="D4">
        <v>2</v>
      </c>
      <c r="E4">
        <v>2780</v>
      </c>
      <c r="F4">
        <v>25</v>
      </c>
      <c r="G4">
        <v>69500</v>
      </c>
    </row>
    <row r="5" spans="1:7" outlineLevel="2" x14ac:dyDescent="0.15">
      <c r="A5" t="s">
        <v>100</v>
      </c>
      <c r="B5" t="s">
        <v>76</v>
      </c>
      <c r="C5" t="s">
        <v>77</v>
      </c>
      <c r="D5">
        <v>3</v>
      </c>
      <c r="E5">
        <v>2780</v>
      </c>
      <c r="F5">
        <v>30</v>
      </c>
      <c r="G5">
        <v>83400</v>
      </c>
    </row>
    <row r="6" spans="1:7" outlineLevel="1" x14ac:dyDescent="0.15">
      <c r="B6" s="15" t="s">
        <v>109</v>
      </c>
      <c r="G6">
        <f>SUBTOTAL(9,G3:G5)</f>
        <v>236300</v>
      </c>
    </row>
    <row r="7" spans="1:7" outlineLevel="2" x14ac:dyDescent="0.15">
      <c r="A7" t="s">
        <v>26</v>
      </c>
      <c r="B7" t="s">
        <v>82</v>
      </c>
      <c r="C7" t="s">
        <v>77</v>
      </c>
      <c r="D7">
        <v>1</v>
      </c>
      <c r="E7">
        <v>3800</v>
      </c>
      <c r="F7">
        <v>50</v>
      </c>
      <c r="G7">
        <v>190000</v>
      </c>
    </row>
    <row r="8" spans="1:7" outlineLevel="2" x14ac:dyDescent="0.15">
      <c r="A8" t="s">
        <v>93</v>
      </c>
      <c r="B8" t="s">
        <v>82</v>
      </c>
      <c r="C8" t="s">
        <v>77</v>
      </c>
      <c r="D8">
        <v>2</v>
      </c>
      <c r="E8">
        <v>3800</v>
      </c>
      <c r="F8">
        <v>37</v>
      </c>
      <c r="G8">
        <v>140600</v>
      </c>
    </row>
    <row r="9" spans="1:7" outlineLevel="2" x14ac:dyDescent="0.15">
      <c r="A9" t="s">
        <v>103</v>
      </c>
      <c r="B9" t="s">
        <v>82</v>
      </c>
      <c r="C9" t="s">
        <v>77</v>
      </c>
      <c r="D9">
        <v>3</v>
      </c>
      <c r="E9">
        <v>3800</v>
      </c>
      <c r="F9">
        <v>45</v>
      </c>
      <c r="G9">
        <v>171000</v>
      </c>
    </row>
    <row r="10" spans="1:7" outlineLevel="1" x14ac:dyDescent="0.15">
      <c r="B10" s="15" t="s">
        <v>110</v>
      </c>
      <c r="G10">
        <f>SUBTOTAL(9,G7:G9)</f>
        <v>501600</v>
      </c>
    </row>
    <row r="11" spans="1:7" outlineLevel="2" x14ac:dyDescent="0.15">
      <c r="A11" t="s">
        <v>73</v>
      </c>
      <c r="B11" t="s">
        <v>74</v>
      </c>
      <c r="C11" t="s">
        <v>75</v>
      </c>
      <c r="D11">
        <v>1</v>
      </c>
      <c r="E11">
        <v>68</v>
      </c>
      <c r="F11">
        <v>20</v>
      </c>
      <c r="G11">
        <v>1360</v>
      </c>
    </row>
    <row r="12" spans="1:7" outlineLevel="2" x14ac:dyDescent="0.15">
      <c r="A12" t="s">
        <v>89</v>
      </c>
      <c r="B12" t="s">
        <v>74</v>
      </c>
      <c r="C12" t="s">
        <v>75</v>
      </c>
      <c r="D12">
        <v>2</v>
      </c>
      <c r="E12">
        <v>68</v>
      </c>
      <c r="F12">
        <v>5</v>
      </c>
      <c r="G12">
        <v>340</v>
      </c>
    </row>
    <row r="13" spans="1:7" outlineLevel="2" x14ac:dyDescent="0.15">
      <c r="A13" t="s">
        <v>99</v>
      </c>
      <c r="B13" t="s">
        <v>74</v>
      </c>
      <c r="C13" t="s">
        <v>75</v>
      </c>
      <c r="D13">
        <v>3</v>
      </c>
      <c r="E13">
        <v>68</v>
      </c>
      <c r="F13">
        <v>10</v>
      </c>
      <c r="G13">
        <v>680</v>
      </c>
    </row>
    <row r="14" spans="1:7" outlineLevel="1" x14ac:dyDescent="0.15">
      <c r="B14" s="15" t="s">
        <v>111</v>
      </c>
      <c r="G14">
        <f>SUBTOTAL(9,G11:G13)</f>
        <v>2380</v>
      </c>
    </row>
    <row r="15" spans="1:7" outlineLevel="2" x14ac:dyDescent="0.15">
      <c r="A15" t="s">
        <v>29</v>
      </c>
      <c r="B15" t="s">
        <v>85</v>
      </c>
      <c r="C15" t="s">
        <v>86</v>
      </c>
      <c r="D15">
        <v>1</v>
      </c>
      <c r="E15">
        <v>80</v>
      </c>
      <c r="F15">
        <v>12</v>
      </c>
      <c r="G15">
        <v>960</v>
      </c>
    </row>
    <row r="16" spans="1:7" outlineLevel="2" x14ac:dyDescent="0.15">
      <c r="A16" t="s">
        <v>96</v>
      </c>
      <c r="B16" t="s">
        <v>85</v>
      </c>
      <c r="C16" t="s">
        <v>86</v>
      </c>
      <c r="D16">
        <v>2</v>
      </c>
      <c r="E16">
        <v>80</v>
      </c>
      <c r="F16">
        <v>10</v>
      </c>
      <c r="G16">
        <v>800</v>
      </c>
    </row>
    <row r="17" spans="1:7" outlineLevel="2" x14ac:dyDescent="0.15">
      <c r="A17" t="s">
        <v>106</v>
      </c>
      <c r="B17" t="s">
        <v>85</v>
      </c>
      <c r="C17" t="s">
        <v>86</v>
      </c>
      <c r="D17">
        <v>3</v>
      </c>
      <c r="E17">
        <v>80</v>
      </c>
      <c r="F17">
        <v>16</v>
      </c>
      <c r="G17">
        <v>1280</v>
      </c>
    </row>
    <row r="18" spans="1:7" outlineLevel="1" x14ac:dyDescent="0.15">
      <c r="B18" s="15" t="s">
        <v>112</v>
      </c>
      <c r="G18">
        <f>SUBTOTAL(9,G15:G17)</f>
        <v>3040</v>
      </c>
    </row>
    <row r="19" spans="1:7" outlineLevel="2" x14ac:dyDescent="0.15">
      <c r="A19" t="s">
        <v>30</v>
      </c>
      <c r="B19" t="s">
        <v>87</v>
      </c>
      <c r="C19" t="s">
        <v>77</v>
      </c>
      <c r="D19">
        <v>1</v>
      </c>
      <c r="E19">
        <v>2800</v>
      </c>
      <c r="F19">
        <v>60</v>
      </c>
      <c r="G19">
        <v>168000</v>
      </c>
    </row>
    <row r="20" spans="1:7" outlineLevel="2" x14ac:dyDescent="0.15">
      <c r="A20" t="s">
        <v>97</v>
      </c>
      <c r="B20" t="s">
        <v>87</v>
      </c>
      <c r="C20" t="s">
        <v>77</v>
      </c>
      <c r="D20">
        <v>2</v>
      </c>
      <c r="E20">
        <v>2800</v>
      </c>
      <c r="F20">
        <v>60</v>
      </c>
      <c r="G20">
        <v>168000</v>
      </c>
    </row>
    <row r="21" spans="1:7" outlineLevel="2" x14ac:dyDescent="0.15">
      <c r="A21" t="s">
        <v>107</v>
      </c>
      <c r="B21" t="s">
        <v>87</v>
      </c>
      <c r="C21" t="s">
        <v>77</v>
      </c>
      <c r="D21">
        <v>3</v>
      </c>
      <c r="E21">
        <v>2800</v>
      </c>
      <c r="F21">
        <v>26</v>
      </c>
      <c r="G21">
        <v>72800</v>
      </c>
    </row>
    <row r="22" spans="1:7" outlineLevel="1" x14ac:dyDescent="0.15">
      <c r="B22" s="15" t="s">
        <v>113</v>
      </c>
      <c r="G22">
        <f>SUBTOTAL(9,G19:G21)</f>
        <v>408800</v>
      </c>
    </row>
    <row r="23" spans="1:7" outlineLevel="2" x14ac:dyDescent="0.15">
      <c r="A23" t="s">
        <v>25</v>
      </c>
      <c r="B23" t="s">
        <v>80</v>
      </c>
      <c r="C23" t="s">
        <v>81</v>
      </c>
      <c r="D23">
        <v>1</v>
      </c>
      <c r="E23">
        <v>457</v>
      </c>
      <c r="F23">
        <v>60</v>
      </c>
      <c r="G23">
        <v>27420</v>
      </c>
    </row>
    <row r="24" spans="1:7" outlineLevel="2" x14ac:dyDescent="0.15">
      <c r="A24" t="s">
        <v>92</v>
      </c>
      <c r="B24" t="s">
        <v>80</v>
      </c>
      <c r="C24" t="s">
        <v>81</v>
      </c>
      <c r="D24">
        <v>2</v>
      </c>
      <c r="E24">
        <v>457</v>
      </c>
      <c r="F24">
        <v>45</v>
      </c>
      <c r="G24">
        <v>20565</v>
      </c>
    </row>
    <row r="25" spans="1:7" outlineLevel="2" x14ac:dyDescent="0.15">
      <c r="A25" t="s">
        <v>102</v>
      </c>
      <c r="B25" t="s">
        <v>80</v>
      </c>
      <c r="C25" t="s">
        <v>81</v>
      </c>
      <c r="D25">
        <v>3</v>
      </c>
      <c r="E25">
        <v>457</v>
      </c>
      <c r="F25">
        <v>68</v>
      </c>
      <c r="G25">
        <v>31076</v>
      </c>
    </row>
    <row r="26" spans="1:7" outlineLevel="1" x14ac:dyDescent="0.15">
      <c r="B26" s="15" t="s">
        <v>114</v>
      </c>
      <c r="G26">
        <f>SUBTOTAL(9,G23:G25)</f>
        <v>79061</v>
      </c>
    </row>
    <row r="27" spans="1:7" outlineLevel="2" x14ac:dyDescent="0.15">
      <c r="A27" t="s">
        <v>27</v>
      </c>
      <c r="B27" t="s">
        <v>83</v>
      </c>
      <c r="C27" t="s">
        <v>75</v>
      </c>
      <c r="D27">
        <v>1</v>
      </c>
      <c r="E27">
        <v>32</v>
      </c>
      <c r="F27">
        <v>40</v>
      </c>
      <c r="G27">
        <v>1280</v>
      </c>
    </row>
    <row r="28" spans="1:7" outlineLevel="2" x14ac:dyDescent="0.15">
      <c r="A28" t="s">
        <v>94</v>
      </c>
      <c r="B28" t="s">
        <v>83</v>
      </c>
      <c r="C28" t="s">
        <v>75</v>
      </c>
      <c r="D28">
        <v>2</v>
      </c>
      <c r="E28">
        <v>32</v>
      </c>
      <c r="F28">
        <v>10</v>
      </c>
      <c r="G28">
        <v>320</v>
      </c>
    </row>
    <row r="29" spans="1:7" outlineLevel="2" x14ac:dyDescent="0.15">
      <c r="A29" t="s">
        <v>104</v>
      </c>
      <c r="B29" t="s">
        <v>83</v>
      </c>
      <c r="C29" t="s">
        <v>75</v>
      </c>
      <c r="D29">
        <v>3</v>
      </c>
      <c r="E29">
        <v>32</v>
      </c>
      <c r="F29">
        <v>26</v>
      </c>
      <c r="G29">
        <v>832</v>
      </c>
    </row>
    <row r="30" spans="1:7" outlineLevel="1" x14ac:dyDescent="0.15">
      <c r="B30" s="15" t="s">
        <v>115</v>
      </c>
      <c r="G30">
        <f>SUBTOTAL(9,G27:G29)</f>
        <v>2432</v>
      </c>
    </row>
    <row r="31" spans="1:7" outlineLevel="2" x14ac:dyDescent="0.15">
      <c r="A31" t="s">
        <v>28</v>
      </c>
      <c r="B31" t="s">
        <v>84</v>
      </c>
      <c r="C31" t="s">
        <v>81</v>
      </c>
      <c r="D31">
        <v>1</v>
      </c>
      <c r="E31">
        <v>382</v>
      </c>
      <c r="F31">
        <v>85</v>
      </c>
      <c r="G31">
        <v>32470</v>
      </c>
    </row>
    <row r="32" spans="1:7" outlineLevel="2" x14ac:dyDescent="0.15">
      <c r="A32" t="s">
        <v>95</v>
      </c>
      <c r="B32" t="s">
        <v>84</v>
      </c>
      <c r="C32" t="s">
        <v>81</v>
      </c>
      <c r="D32">
        <v>2</v>
      </c>
      <c r="E32">
        <v>382</v>
      </c>
      <c r="F32">
        <v>100</v>
      </c>
      <c r="G32">
        <v>38200</v>
      </c>
    </row>
    <row r="33" spans="1:7" outlineLevel="2" x14ac:dyDescent="0.15">
      <c r="A33" t="s">
        <v>105</v>
      </c>
      <c r="B33" t="s">
        <v>84</v>
      </c>
      <c r="C33" t="s">
        <v>81</v>
      </c>
      <c r="D33">
        <v>3</v>
      </c>
      <c r="E33">
        <v>382</v>
      </c>
      <c r="F33">
        <v>50</v>
      </c>
      <c r="G33">
        <v>19100</v>
      </c>
    </row>
    <row r="34" spans="1:7" outlineLevel="1" x14ac:dyDescent="0.15">
      <c r="B34" s="15" t="s">
        <v>116</v>
      </c>
      <c r="G34">
        <f>SUBTOTAL(9,G31:G33)</f>
        <v>89770</v>
      </c>
    </row>
    <row r="35" spans="1:7" outlineLevel="2" x14ac:dyDescent="0.15">
      <c r="A35" t="s">
        <v>31</v>
      </c>
      <c r="B35" t="s">
        <v>88</v>
      </c>
      <c r="C35" t="s">
        <v>86</v>
      </c>
      <c r="D35">
        <v>1</v>
      </c>
      <c r="E35">
        <v>65</v>
      </c>
      <c r="F35">
        <v>45</v>
      </c>
      <c r="G35">
        <v>2925</v>
      </c>
    </row>
    <row r="36" spans="1:7" outlineLevel="2" x14ac:dyDescent="0.15">
      <c r="A36" t="s">
        <v>98</v>
      </c>
      <c r="B36" t="s">
        <v>88</v>
      </c>
      <c r="C36" t="s">
        <v>86</v>
      </c>
      <c r="D36">
        <v>2</v>
      </c>
      <c r="E36">
        <v>65</v>
      </c>
      <c r="F36">
        <v>45</v>
      </c>
      <c r="G36">
        <v>2925</v>
      </c>
    </row>
    <row r="37" spans="1:7" outlineLevel="2" x14ac:dyDescent="0.15">
      <c r="A37" t="s">
        <v>108</v>
      </c>
      <c r="B37" t="s">
        <v>88</v>
      </c>
      <c r="C37" t="s">
        <v>86</v>
      </c>
      <c r="D37">
        <v>3</v>
      </c>
      <c r="E37">
        <v>65</v>
      </c>
      <c r="F37">
        <v>32</v>
      </c>
      <c r="G37">
        <v>2080</v>
      </c>
    </row>
    <row r="38" spans="1:7" outlineLevel="1" x14ac:dyDescent="0.15">
      <c r="B38" s="15" t="s">
        <v>117</v>
      </c>
      <c r="G38">
        <f>SUBTOTAL(9,G35:G37)</f>
        <v>7930</v>
      </c>
    </row>
    <row r="39" spans="1:7" outlineLevel="2" x14ac:dyDescent="0.15">
      <c r="A39" t="s">
        <v>24</v>
      </c>
      <c r="B39" t="s">
        <v>78</v>
      </c>
      <c r="C39" t="s">
        <v>79</v>
      </c>
      <c r="D39">
        <v>1</v>
      </c>
      <c r="E39">
        <v>4200</v>
      </c>
      <c r="F39">
        <v>15</v>
      </c>
      <c r="G39">
        <v>63000</v>
      </c>
    </row>
    <row r="40" spans="1:7" outlineLevel="2" x14ac:dyDescent="0.15">
      <c r="A40" t="s">
        <v>91</v>
      </c>
      <c r="B40" t="s">
        <v>78</v>
      </c>
      <c r="C40" t="s">
        <v>79</v>
      </c>
      <c r="D40">
        <v>2</v>
      </c>
      <c r="E40">
        <v>4200</v>
      </c>
      <c r="F40">
        <v>20</v>
      </c>
      <c r="G40">
        <v>84000</v>
      </c>
    </row>
    <row r="41" spans="1:7" outlineLevel="2" x14ac:dyDescent="0.15">
      <c r="A41" t="s">
        <v>101</v>
      </c>
      <c r="B41" t="s">
        <v>78</v>
      </c>
      <c r="C41" t="s">
        <v>79</v>
      </c>
      <c r="D41">
        <v>3</v>
      </c>
      <c r="E41">
        <v>4200</v>
      </c>
      <c r="F41">
        <v>15</v>
      </c>
      <c r="G41">
        <v>63000</v>
      </c>
    </row>
    <row r="42" spans="1:7" outlineLevel="1" x14ac:dyDescent="0.15">
      <c r="B42" s="15" t="s">
        <v>118</v>
      </c>
      <c r="G42">
        <f>SUBTOTAL(9,G39:G41)</f>
        <v>210000</v>
      </c>
    </row>
    <row r="43" spans="1:7" x14ac:dyDescent="0.15">
      <c r="B43" s="15" t="s">
        <v>119</v>
      </c>
      <c r="G43">
        <f>SUBTOTAL(9,G3:G41)</f>
        <v>1541313</v>
      </c>
    </row>
  </sheetData>
  <sortState ref="A3:G32">
    <sortCondition ref="B3:B32"/>
  </sortState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商品销售</vt:lpstr>
      <vt:lpstr>销售汇总</vt:lpstr>
      <vt:lpstr>商品月份汇总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wwjt</cp:lastModifiedBy>
  <dcterms:created xsi:type="dcterms:W3CDTF">2001-11-20T10:25:52Z</dcterms:created>
  <dcterms:modified xsi:type="dcterms:W3CDTF">2018-10-18T03:15:09Z</dcterms:modified>
</cp:coreProperties>
</file>