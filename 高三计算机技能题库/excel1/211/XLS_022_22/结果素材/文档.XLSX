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15" windowWidth="13230" windowHeight="5850" activeTab="3"/>
  </bookViews>
  <sheets>
    <sheet name="商品销售" sheetId="1" r:id="rId1"/>
    <sheet name="销售汇总" sheetId="2" r:id="rId2"/>
    <sheet name="奥运奖牌" sheetId="3" r:id="rId3"/>
    <sheet name="优秀团队" sheetId="4" r:id="rId4"/>
  </sheets>
  <definedNames>
    <definedName name="_xlnm.Extract" localSheetId="3">优秀团队!$A$1:$E$1</definedName>
  </definedNames>
  <calcPr calcId="144525"/>
</workbook>
</file>

<file path=xl/calcChain.xml><?xml version="1.0" encoding="utf-8"?>
<calcChain xmlns="http://schemas.openxmlformats.org/spreadsheetml/2006/main">
  <c r="E4" i="3" l="1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3" i="3"/>
  <c r="E3" i="2"/>
  <c r="E4" i="2"/>
  <c r="E5" i="2"/>
  <c r="E6" i="2"/>
  <c r="E7" i="2"/>
  <c r="E8" i="2"/>
  <c r="E9" i="2"/>
  <c r="E10" i="2"/>
  <c r="E11" i="2"/>
  <c r="E2" i="2"/>
  <c r="D3" i="2"/>
  <c r="D4" i="2"/>
  <c r="D5" i="2"/>
  <c r="D6" i="2"/>
  <c r="D7" i="2"/>
  <c r="D8" i="2"/>
  <c r="D9" i="2"/>
  <c r="D10" i="2"/>
  <c r="D11" i="2"/>
  <c r="D2" i="2"/>
  <c r="C3" i="2"/>
  <c r="C4" i="2"/>
  <c r="C5" i="2"/>
  <c r="C6" i="2"/>
  <c r="C7" i="2"/>
  <c r="C8" i="2"/>
  <c r="C9" i="2"/>
  <c r="C10" i="2"/>
  <c r="C11" i="2"/>
  <c r="C2" i="2"/>
  <c r="G4" i="1" l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" i="1"/>
</calcChain>
</file>

<file path=xl/sharedStrings.xml><?xml version="1.0" encoding="utf-8"?>
<sst xmlns="http://schemas.openxmlformats.org/spreadsheetml/2006/main" count="166" uniqueCount="67">
  <si>
    <t>商品销售统计表</t>
    <phoneticPr fontId="1" type="noConversion"/>
  </si>
  <si>
    <t>商品类别</t>
    <phoneticPr fontId="1" type="noConversion"/>
  </si>
  <si>
    <t>商品名</t>
    <phoneticPr fontId="1" type="noConversion"/>
  </si>
  <si>
    <t>单价</t>
    <phoneticPr fontId="1" type="noConversion"/>
  </si>
  <si>
    <t>数量</t>
    <phoneticPr fontId="1" type="noConversion"/>
  </si>
  <si>
    <t>日用品</t>
    <phoneticPr fontId="1" type="noConversion"/>
  </si>
  <si>
    <t>电器</t>
    <phoneticPr fontId="1" type="noConversion"/>
  </si>
  <si>
    <r>
      <t>电器</t>
    </r>
    <r>
      <rPr>
        <sz val="12"/>
        <rFont val="Times New Roman"/>
        <family val="1"/>
      </rPr>
      <t xml:space="preserve"> </t>
    </r>
    <phoneticPr fontId="1" type="noConversion"/>
  </si>
  <si>
    <t>女大衣</t>
    <phoneticPr fontId="1" type="noConversion"/>
  </si>
  <si>
    <t>热水瓶</t>
    <phoneticPr fontId="1" type="noConversion"/>
  </si>
  <si>
    <t>服装</t>
    <phoneticPr fontId="1" type="noConversion"/>
  </si>
  <si>
    <t>彩电</t>
    <phoneticPr fontId="1" type="noConversion"/>
  </si>
  <si>
    <r>
      <t>音响</t>
    </r>
    <r>
      <rPr>
        <sz val="12"/>
        <rFont val="Times New Roman"/>
        <family val="1"/>
      </rPr>
      <t xml:space="preserve"> </t>
    </r>
    <phoneticPr fontId="1" type="noConversion"/>
  </si>
  <si>
    <t>冰箱</t>
    <phoneticPr fontId="1" type="noConversion"/>
  </si>
  <si>
    <t>西装</t>
    <phoneticPr fontId="1" type="noConversion"/>
  </si>
  <si>
    <t>高压锅</t>
    <phoneticPr fontId="1" type="noConversion"/>
  </si>
  <si>
    <t>化妆品</t>
    <phoneticPr fontId="1" type="noConversion"/>
  </si>
  <si>
    <t>护肤霜</t>
    <phoneticPr fontId="1" type="noConversion"/>
  </si>
  <si>
    <t>洗发水</t>
    <phoneticPr fontId="1" type="noConversion"/>
  </si>
  <si>
    <t>空调</t>
    <phoneticPr fontId="1" type="noConversion"/>
  </si>
  <si>
    <t>月份</t>
    <phoneticPr fontId="1" type="noConversion"/>
  </si>
  <si>
    <t>商品编号</t>
    <phoneticPr fontId="1" type="noConversion"/>
  </si>
  <si>
    <t>001</t>
    <phoneticPr fontId="1" type="noConversion"/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</si>
  <si>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</si>
  <si>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</si>
  <si>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</si>
  <si>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</si>
  <si>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</si>
  <si>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</si>
  <si>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</si>
  <si>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</si>
  <si>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</si>
  <si>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一月份销售金额</t>
    <phoneticPr fontId="1" type="noConversion"/>
  </si>
  <si>
    <t>二月份销售金额</t>
    <phoneticPr fontId="1" type="noConversion"/>
  </si>
  <si>
    <t>三月份销售金额</t>
    <phoneticPr fontId="1" type="noConversion"/>
  </si>
  <si>
    <t>销售金额</t>
    <phoneticPr fontId="1" type="noConversion"/>
  </si>
  <si>
    <t>国家</t>
    <phoneticPr fontId="1" type="noConversion"/>
  </si>
  <si>
    <t>金牌</t>
    <phoneticPr fontId="1" type="noConversion"/>
  </si>
  <si>
    <t>银牌</t>
    <phoneticPr fontId="1" type="noConversion"/>
  </si>
  <si>
    <t>铜牌</t>
    <phoneticPr fontId="1" type="noConversion"/>
  </si>
  <si>
    <t>总奖牌数</t>
    <phoneticPr fontId="1" type="noConversion"/>
  </si>
  <si>
    <t>澳大利亚</t>
  </si>
  <si>
    <t>巴西</t>
  </si>
  <si>
    <t>波兰</t>
  </si>
  <si>
    <t>德国</t>
  </si>
  <si>
    <t>俄罗斯</t>
  </si>
  <si>
    <t>法国</t>
  </si>
  <si>
    <t>古巴</t>
  </si>
  <si>
    <t>韩国</t>
  </si>
  <si>
    <t>荷兰</t>
  </si>
  <si>
    <t>加拿大</t>
  </si>
  <si>
    <t>罗马尼亚</t>
  </si>
  <si>
    <t>美国</t>
  </si>
  <si>
    <t>日本</t>
  </si>
  <si>
    <t>瑞典</t>
  </si>
  <si>
    <t>土耳其</t>
  </si>
  <si>
    <t>乌克兰</t>
  </si>
  <si>
    <t>西班牙</t>
  </si>
  <si>
    <t>希腊</t>
  </si>
  <si>
    <t>匈牙利</t>
  </si>
  <si>
    <t>意大利</t>
  </si>
  <si>
    <t>英国</t>
  </si>
  <si>
    <t>中国</t>
  </si>
  <si>
    <t>奥运奖牌榜</t>
    <phoneticPr fontId="1" type="noConversion"/>
  </si>
  <si>
    <t>金牌</t>
    <phoneticPr fontId="6" type="noConversion"/>
  </si>
  <si>
    <t>银牌</t>
    <phoneticPr fontId="6" type="noConversion"/>
  </si>
  <si>
    <t>&gt;=10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</si>
</sst>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&quot;¥&quot;#,##0.0;&quot;¥&quot;\-#,##0.0"/>
  </numFmts>
  <fonts count="7">
    <font>
      <sz val="12"/>
      <name val="宋体"/>
      <charset val="134"/>
    </font>
    <font>
      <sz val="9"/>
      <name val="宋体"/>
      <charset val="134"/>
    </font>
    <font>
      <sz val="12"/>
      <name val="Times New Roman"/>
      <family val="1"/>
    </font>
    <font>
      <sz val="11"/>
      <name val="宋体"/>
      <charset val="134"/>
    </font>
    <font>
      <sz val="14"/>
      <name val="宋体"/>
      <charset val="134"/>
    </font>
    <font>
      <b/>
      <sz val="16"/>
      <color rgb="FFFF0000"/>
      <name val="黑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quotePrefix="1"/>
    <xf numFmtId="0" fontId="3" fillId="0" borderId="0" xfId="0" applyNumberFormat="1" applyFont="1" applyFill="1" applyBorder="1" applyAlignment="1">
      <alignment wrapText="1"/>
    </xf>
    <xf numFmtId="0" fontId="5" fillId="0" borderId="0" xfId="0" applyFont="1" applyAlignment="1">
      <alignment horizontal="centerContinuous" vertical="center"/>
    </xf>
    <xf numFmtId="0" fontId="0" fillId="0" borderId="0" xfId="0" applyAlignment="1">
      <alignment vertical="center"/>
    </xf>
    <xf numFmtId="176" fontId="0" fillId="0" borderId="0" xfId="0" applyNumberFormat="1"/>
    <xf numFmtId="0" fontId="4" fillId="0" borderId="0" xfId="0" applyNumberFormat="1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销售汇总!$D$1</c:f>
              <c:strCache>
                <c:ptCount val="1"/>
                <c:pt idx="0">
                  <c:v>二月份销售金额</c:v>
                </c:pt>
              </c:strCache>
            </c:strRef>
          </c:tx>
          <c:marker>
            <c:symbol val="none"/>
          </c:marker>
          <c:cat>
            <c:strRef>
              <c:f>销售汇总!$B$2:$B$11</c:f>
              <c:strCache>
                <c:ptCount val="10"/>
                <c:pt idx="0">
                  <c:v>高压锅</c:v>
                </c:pt>
                <c:pt idx="1">
                  <c:v>冰箱</c:v>
                </c:pt>
                <c:pt idx="2">
                  <c:v>音响 </c:v>
                </c:pt>
                <c:pt idx="3">
                  <c:v>女大衣</c:v>
                </c:pt>
                <c:pt idx="4">
                  <c:v>彩电</c:v>
                </c:pt>
                <c:pt idx="5">
                  <c:v>热水瓶</c:v>
                </c:pt>
                <c:pt idx="6">
                  <c:v>西装</c:v>
                </c:pt>
                <c:pt idx="7">
                  <c:v>护肤霜</c:v>
                </c:pt>
                <c:pt idx="8">
                  <c:v>空调</c:v>
                </c:pt>
                <c:pt idx="9">
                  <c:v>洗发水</c:v>
                </c:pt>
              </c:strCache>
            </c:strRef>
          </c:cat>
          <c:val>
            <c:numRef>
              <c:f>销售汇总!$D$2:$D$11</c:f>
              <c:numCache>
                <c:formatCode>General</c:formatCode>
                <c:ptCount val="10"/>
                <c:pt idx="0">
                  <c:v>340</c:v>
                </c:pt>
                <c:pt idx="1">
                  <c:v>69500</c:v>
                </c:pt>
                <c:pt idx="2">
                  <c:v>84000</c:v>
                </c:pt>
                <c:pt idx="3">
                  <c:v>20565</c:v>
                </c:pt>
                <c:pt idx="4">
                  <c:v>140600</c:v>
                </c:pt>
                <c:pt idx="5">
                  <c:v>320</c:v>
                </c:pt>
                <c:pt idx="6">
                  <c:v>38200</c:v>
                </c:pt>
                <c:pt idx="7">
                  <c:v>800</c:v>
                </c:pt>
                <c:pt idx="8">
                  <c:v>168000</c:v>
                </c:pt>
                <c:pt idx="9">
                  <c:v>2925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销售汇总!$E$1</c:f>
              <c:strCache>
                <c:ptCount val="1"/>
                <c:pt idx="0">
                  <c:v>三月份销售金额</c:v>
                </c:pt>
              </c:strCache>
            </c:strRef>
          </c:tx>
          <c:marker>
            <c:symbol val="none"/>
          </c:marker>
          <c:cat>
            <c:strRef>
              <c:f>销售汇总!$B$2:$B$11</c:f>
              <c:strCache>
                <c:ptCount val="10"/>
                <c:pt idx="0">
                  <c:v>高压锅</c:v>
                </c:pt>
                <c:pt idx="1">
                  <c:v>冰箱</c:v>
                </c:pt>
                <c:pt idx="2">
                  <c:v>音响 </c:v>
                </c:pt>
                <c:pt idx="3">
                  <c:v>女大衣</c:v>
                </c:pt>
                <c:pt idx="4">
                  <c:v>彩电</c:v>
                </c:pt>
                <c:pt idx="5">
                  <c:v>热水瓶</c:v>
                </c:pt>
                <c:pt idx="6">
                  <c:v>西装</c:v>
                </c:pt>
                <c:pt idx="7">
                  <c:v>护肤霜</c:v>
                </c:pt>
                <c:pt idx="8">
                  <c:v>空调</c:v>
                </c:pt>
                <c:pt idx="9">
                  <c:v>洗发水</c:v>
                </c:pt>
              </c:strCache>
            </c:strRef>
          </c:cat>
          <c:val>
            <c:numRef>
              <c:f>销售汇总!$E$2:$E$11</c:f>
              <c:numCache>
                <c:formatCode>General</c:formatCode>
                <c:ptCount val="10"/>
                <c:pt idx="0">
                  <c:v>680</c:v>
                </c:pt>
                <c:pt idx="1">
                  <c:v>83400</c:v>
                </c:pt>
                <c:pt idx="2">
                  <c:v>63000</c:v>
                </c:pt>
                <c:pt idx="3">
                  <c:v>31076</c:v>
                </c:pt>
                <c:pt idx="4">
                  <c:v>171000</c:v>
                </c:pt>
                <c:pt idx="5">
                  <c:v>832</c:v>
                </c:pt>
                <c:pt idx="6">
                  <c:v>19100</c:v>
                </c:pt>
                <c:pt idx="7">
                  <c:v>1280</c:v>
                </c:pt>
                <c:pt idx="8">
                  <c:v>72800</c:v>
                </c:pt>
                <c:pt idx="9">
                  <c:v>2080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739328"/>
        <c:axId val="80864000"/>
      </c:lineChart>
      <c:catAx>
        <c:axId val="80739328"/>
        <c:scaling>
          <c:orientation val="minMax"/>
        </c:scaling>
        <c:delete val="0"/>
        <c:axPos val="b"/>
        <c:majorTickMark val="out"/>
        <c:minorTickMark val="none"/>
        <c:tickLblPos val="nextTo"/>
        <c:crossAx val="80864000"/>
        <c:crosses val="autoZero"/>
        <c:auto val="1"/>
        <c:lblAlgn val="ctr"/>
        <c:lblOffset val="100"/>
        <c:noMultiLvlLbl val="0"/>
      </c:catAx>
      <c:valAx>
        <c:axId val="808640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8073932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314325</xdr:colOff>
      <xdr:row>3</xdr:row>
      <xdr:rowOff>138112</xdr:rowOff>
    </xdr:from>
    <xdr:to>
      <xdr:col>12</xdr:col>
      <xdr:colOff>85725</xdr:colOff>
      <xdr:row>18</xdr:row>
      <xdr:rowOff>147637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topLeftCell="A10" workbookViewId="0">
      <selection activeCell="G13" sqref="G13"/>
    </sheetView>
  </sheetViews>
  <sheetFormatPr defaultRowHeight="14.25"/>
  <cols>
    <col min="7" max="7" width="13" customWidth="1"/>
  </cols>
  <sheetData>
    <row r="1" spans="1:7" s="4" customFormat="1" ht="30" customHeight="1">
      <c r="A1" s="3" t="s">
        <v>0</v>
      </c>
      <c r="B1" s="3"/>
      <c r="C1" s="3"/>
      <c r="D1" s="3"/>
      <c r="E1" s="3"/>
      <c r="F1" s="3"/>
      <c r="G1" s="3"/>
    </row>
    <row r="2" spans="1:7">
      <c r="A2" t="s">
        <v>21</v>
      </c>
      <c r="B2" t="s">
        <v>2</v>
      </c>
      <c r="C2" t="s">
        <v>1</v>
      </c>
      <c r="D2" t="s">
        <v>20</v>
      </c>
      <c r="E2" t="s">
        <v>3</v>
      </c>
      <c r="F2" t="s">
        <v>4</v>
      </c>
      <c r="G2" t="s">
        <v>35</v>
      </c>
    </row>
    <row r="3" spans="1:7">
      <c r="A3" s="1" t="s">
        <v>22</v>
      </c>
      <c r="B3" t="s">
        <v>15</v>
      </c>
      <c r="C3" t="s">
        <v>5</v>
      </c>
      <c r="D3">
        <v>1</v>
      </c>
      <c r="E3">
        <v>68</v>
      </c>
      <c r="F3">
        <v>10</v>
      </c>
      <c r="G3" s="5">
        <f>E3*F3</f>
        <v>680</v>
      </c>
    </row>
    <row r="4" spans="1:7">
      <c r="A4" s="1" t="s">
        <v>23</v>
      </c>
      <c r="B4" t="s">
        <v>13</v>
      </c>
      <c r="C4" t="s">
        <v>6</v>
      </c>
      <c r="D4">
        <v>1</v>
      </c>
      <c r="E4">
        <v>2780</v>
      </c>
      <c r="F4">
        <v>30</v>
      </c>
      <c r="G4" s="5">
        <f t="shared" ref="G4:G32" si="0">E4*F4</f>
        <v>83400</v>
      </c>
    </row>
    <row r="5" spans="1:7" ht="15.75">
      <c r="A5" s="1" t="s">
        <v>24</v>
      </c>
      <c r="B5" t="s">
        <v>12</v>
      </c>
      <c r="C5" t="s">
        <v>7</v>
      </c>
      <c r="D5">
        <v>1</v>
      </c>
      <c r="E5">
        <v>4200</v>
      </c>
      <c r="F5">
        <v>15</v>
      </c>
      <c r="G5" s="5">
        <f t="shared" si="0"/>
        <v>63000</v>
      </c>
    </row>
    <row r="6" spans="1:7">
      <c r="A6" s="1" t="s">
        <v>25</v>
      </c>
      <c r="B6" t="s">
        <v>8</v>
      </c>
      <c r="C6" t="s">
        <v>10</v>
      </c>
      <c r="D6">
        <v>1</v>
      </c>
      <c r="E6">
        <v>457</v>
      </c>
      <c r="F6">
        <v>60</v>
      </c>
      <c r="G6" s="5">
        <f t="shared" si="0"/>
        <v>27420</v>
      </c>
    </row>
    <row r="7" spans="1:7">
      <c r="A7" s="1" t="s">
        <v>26</v>
      </c>
      <c r="B7" t="s">
        <v>11</v>
      </c>
      <c r="C7" t="s">
        <v>6</v>
      </c>
      <c r="D7">
        <v>1</v>
      </c>
      <c r="E7">
        <v>3800</v>
      </c>
      <c r="F7">
        <v>50</v>
      </c>
      <c r="G7" s="5">
        <f t="shared" si="0"/>
        <v>190000</v>
      </c>
    </row>
    <row r="8" spans="1:7">
      <c r="A8" s="1" t="s">
        <v>27</v>
      </c>
      <c r="B8" t="s">
        <v>9</v>
      </c>
      <c r="C8" t="s">
        <v>5</v>
      </c>
      <c r="D8">
        <v>1</v>
      </c>
      <c r="E8">
        <v>32</v>
      </c>
      <c r="F8">
        <v>40</v>
      </c>
      <c r="G8" s="5">
        <f t="shared" si="0"/>
        <v>1280</v>
      </c>
    </row>
    <row r="9" spans="1:7">
      <c r="A9" s="1" t="s">
        <v>28</v>
      </c>
      <c r="B9" t="s">
        <v>14</v>
      </c>
      <c r="C9" t="s">
        <v>10</v>
      </c>
      <c r="D9">
        <v>1</v>
      </c>
      <c r="E9">
        <v>382</v>
      </c>
      <c r="F9">
        <v>85</v>
      </c>
      <c r="G9" s="5">
        <f t="shared" si="0"/>
        <v>32470</v>
      </c>
    </row>
    <row r="10" spans="1:7">
      <c r="A10" s="1" t="s">
        <v>29</v>
      </c>
      <c r="B10" t="s">
        <v>17</v>
      </c>
      <c r="C10" t="s">
        <v>16</v>
      </c>
      <c r="D10">
        <v>1</v>
      </c>
      <c r="E10">
        <v>80</v>
      </c>
      <c r="F10">
        <v>12</v>
      </c>
      <c r="G10" s="5">
        <f t="shared" si="0"/>
        <v>960</v>
      </c>
    </row>
    <row r="11" spans="1:7">
      <c r="A11" s="1" t="s">
        <v>30</v>
      </c>
      <c r="B11" t="s">
        <v>19</v>
      </c>
      <c r="C11" t="s">
        <v>6</v>
      </c>
      <c r="D11">
        <v>1</v>
      </c>
      <c r="E11">
        <v>2800</v>
      </c>
      <c r="F11">
        <v>60</v>
      </c>
      <c r="G11" s="5">
        <f t="shared" si="0"/>
        <v>168000</v>
      </c>
    </row>
    <row r="12" spans="1:7">
      <c r="A12" s="1" t="s">
        <v>31</v>
      </c>
      <c r="B12" t="s">
        <v>18</v>
      </c>
      <c r="C12" t="s">
        <v>16</v>
      </c>
      <c r="D12">
        <v>1</v>
      </c>
      <c r="E12">
        <v>65</v>
      </c>
      <c r="F12">
        <v>45</v>
      </c>
      <c r="G12" s="5">
        <f t="shared" si="0"/>
        <v>2925</v>
      </c>
    </row>
    <row r="13" spans="1:7">
      <c r="A13" s="1" t="s">
        <v>22</v>
      </c>
      <c r="B13" t="s">
        <v>15</v>
      </c>
      <c r="C13" t="s">
        <v>5</v>
      </c>
      <c r="D13">
        <v>2</v>
      </c>
      <c r="E13">
        <v>68</v>
      </c>
      <c r="F13">
        <v>5</v>
      </c>
      <c r="G13" s="5">
        <f t="shared" si="0"/>
        <v>340</v>
      </c>
    </row>
    <row r="14" spans="1:7">
      <c r="A14" s="1" t="s">
        <v>23</v>
      </c>
      <c r="B14" t="s">
        <v>13</v>
      </c>
      <c r="C14" t="s">
        <v>6</v>
      </c>
      <c r="D14">
        <v>2</v>
      </c>
      <c r="E14">
        <v>2780</v>
      </c>
      <c r="F14">
        <v>25</v>
      </c>
      <c r="G14" s="5">
        <f t="shared" si="0"/>
        <v>69500</v>
      </c>
    </row>
    <row r="15" spans="1:7" ht="15.75">
      <c r="A15" s="1" t="s">
        <v>24</v>
      </c>
      <c r="B15" t="s">
        <v>12</v>
      </c>
      <c r="C15" t="s">
        <v>7</v>
      </c>
      <c r="D15">
        <v>2</v>
      </c>
      <c r="E15">
        <v>4200</v>
      </c>
      <c r="F15">
        <v>20</v>
      </c>
      <c r="G15" s="5">
        <f t="shared" si="0"/>
        <v>84000</v>
      </c>
    </row>
    <row r="16" spans="1:7">
      <c r="A16" s="1" t="s">
        <v>25</v>
      </c>
      <c r="B16" t="s">
        <v>8</v>
      </c>
      <c r="C16" t="s">
        <v>10</v>
      </c>
      <c r="D16">
        <v>2</v>
      </c>
      <c r="E16">
        <v>457</v>
      </c>
      <c r="F16">
        <v>45</v>
      </c>
      <c r="G16" s="5">
        <f t="shared" si="0"/>
        <v>20565</v>
      </c>
    </row>
    <row r="17" spans="1:7">
      <c r="A17" s="1" t="s">
        <v>26</v>
      </c>
      <c r="B17" t="s">
        <v>11</v>
      </c>
      <c r="C17" t="s">
        <v>6</v>
      </c>
      <c r="D17">
        <v>2</v>
      </c>
      <c r="E17">
        <v>3800</v>
      </c>
      <c r="F17">
        <v>37</v>
      </c>
      <c r="G17" s="5">
        <f t="shared" si="0"/>
        <v>140600</v>
      </c>
    </row>
    <row r="18" spans="1:7">
      <c r="A18" s="1" t="s">
        <v>27</v>
      </c>
      <c r="B18" t="s">
        <v>9</v>
      </c>
      <c r="C18" t="s">
        <v>5</v>
      </c>
      <c r="D18">
        <v>2</v>
      </c>
      <c r="E18">
        <v>32</v>
      </c>
      <c r="F18">
        <v>10</v>
      </c>
      <c r="G18" s="5">
        <f t="shared" si="0"/>
        <v>320</v>
      </c>
    </row>
    <row r="19" spans="1:7">
      <c r="A19" s="1" t="s">
        <v>28</v>
      </c>
      <c r="B19" t="s">
        <v>14</v>
      </c>
      <c r="C19" t="s">
        <v>10</v>
      </c>
      <c r="D19">
        <v>2</v>
      </c>
      <c r="E19">
        <v>382</v>
      </c>
      <c r="F19">
        <v>100</v>
      </c>
      <c r="G19" s="5">
        <f t="shared" si="0"/>
        <v>38200</v>
      </c>
    </row>
    <row r="20" spans="1:7">
      <c r="A20" s="1" t="s">
        <v>29</v>
      </c>
      <c r="B20" t="s">
        <v>17</v>
      </c>
      <c r="C20" t="s">
        <v>16</v>
      </c>
      <c r="D20">
        <v>2</v>
      </c>
      <c r="E20">
        <v>80</v>
      </c>
      <c r="F20">
        <v>10</v>
      </c>
      <c r="G20" s="5">
        <f t="shared" si="0"/>
        <v>800</v>
      </c>
    </row>
    <row r="21" spans="1:7">
      <c r="A21" s="1" t="s">
        <v>30</v>
      </c>
      <c r="B21" t="s">
        <v>19</v>
      </c>
      <c r="C21" t="s">
        <v>6</v>
      </c>
      <c r="D21">
        <v>2</v>
      </c>
      <c r="E21">
        <v>2800</v>
      </c>
      <c r="F21">
        <v>60</v>
      </c>
      <c r="G21" s="5">
        <f t="shared" si="0"/>
        <v>168000</v>
      </c>
    </row>
    <row r="22" spans="1:7">
      <c r="A22" s="1" t="s">
        <v>31</v>
      </c>
      <c r="B22" t="s">
        <v>18</v>
      </c>
      <c r="C22" t="s">
        <v>16</v>
      </c>
      <c r="D22">
        <v>2</v>
      </c>
      <c r="E22">
        <v>65</v>
      </c>
      <c r="F22">
        <v>45</v>
      </c>
      <c r="G22" s="5">
        <f t="shared" si="0"/>
        <v>2925</v>
      </c>
    </row>
    <row r="23" spans="1:7">
      <c r="A23" s="1" t="s">
        <v>22</v>
      </c>
      <c r="B23" t="s">
        <v>15</v>
      </c>
      <c r="C23" t="s">
        <v>5</v>
      </c>
      <c r="D23">
        <v>3</v>
      </c>
      <c r="E23">
        <v>68</v>
      </c>
      <c r="F23">
        <v>10</v>
      </c>
      <c r="G23" s="5">
        <f t="shared" si="0"/>
        <v>680</v>
      </c>
    </row>
    <row r="24" spans="1:7">
      <c r="A24" s="1" t="s">
        <v>23</v>
      </c>
      <c r="B24" t="s">
        <v>13</v>
      </c>
      <c r="C24" t="s">
        <v>6</v>
      </c>
      <c r="D24">
        <v>3</v>
      </c>
      <c r="E24">
        <v>2780</v>
      </c>
      <c r="F24">
        <v>30</v>
      </c>
      <c r="G24" s="5">
        <f t="shared" si="0"/>
        <v>83400</v>
      </c>
    </row>
    <row r="25" spans="1:7" ht="15.75">
      <c r="A25" s="1" t="s">
        <v>24</v>
      </c>
      <c r="B25" t="s">
        <v>12</v>
      </c>
      <c r="C25" t="s">
        <v>7</v>
      </c>
      <c r="D25">
        <v>3</v>
      </c>
      <c r="E25">
        <v>4200</v>
      </c>
      <c r="F25">
        <v>15</v>
      </c>
      <c r="G25" s="5">
        <f t="shared" si="0"/>
        <v>63000</v>
      </c>
    </row>
    <row r="26" spans="1:7">
      <c r="A26" s="1" t="s">
        <v>25</v>
      </c>
      <c r="B26" t="s">
        <v>8</v>
      </c>
      <c r="C26" t="s">
        <v>10</v>
      </c>
      <c r="D26">
        <v>3</v>
      </c>
      <c r="E26">
        <v>457</v>
      </c>
      <c r="F26">
        <v>68</v>
      </c>
      <c r="G26" s="5">
        <f t="shared" si="0"/>
        <v>31076</v>
      </c>
    </row>
    <row r="27" spans="1:7">
      <c r="A27" s="1" t="s">
        <v>26</v>
      </c>
      <c r="B27" t="s">
        <v>11</v>
      </c>
      <c r="C27" t="s">
        <v>6</v>
      </c>
      <c r="D27">
        <v>3</v>
      </c>
      <c r="E27">
        <v>3800</v>
      </c>
      <c r="F27">
        <v>45</v>
      </c>
      <c r="G27" s="5">
        <f t="shared" si="0"/>
        <v>171000</v>
      </c>
    </row>
    <row r="28" spans="1:7">
      <c r="A28" s="1" t="s">
        <v>27</v>
      </c>
      <c r="B28" t="s">
        <v>9</v>
      </c>
      <c r="C28" t="s">
        <v>5</v>
      </c>
      <c r="D28">
        <v>3</v>
      </c>
      <c r="E28">
        <v>32</v>
      </c>
      <c r="F28">
        <v>26</v>
      </c>
      <c r="G28" s="5">
        <f t="shared" si="0"/>
        <v>832</v>
      </c>
    </row>
    <row r="29" spans="1:7">
      <c r="A29" s="1" t="s">
        <v>28</v>
      </c>
      <c r="B29" t="s">
        <v>14</v>
      </c>
      <c r="C29" t="s">
        <v>10</v>
      </c>
      <c r="D29">
        <v>3</v>
      </c>
      <c r="E29">
        <v>382</v>
      </c>
      <c r="F29">
        <v>50</v>
      </c>
      <c r="G29" s="5">
        <f t="shared" si="0"/>
        <v>19100</v>
      </c>
    </row>
    <row r="30" spans="1:7">
      <c r="A30" s="1" t="s">
        <v>29</v>
      </c>
      <c r="B30" t="s">
        <v>17</v>
      </c>
      <c r="C30" t="s">
        <v>16</v>
      </c>
      <c r="D30">
        <v>3</v>
      </c>
      <c r="E30">
        <v>80</v>
      </c>
      <c r="F30">
        <v>16</v>
      </c>
      <c r="G30" s="5">
        <f t="shared" si="0"/>
        <v>1280</v>
      </c>
    </row>
    <row r="31" spans="1:7">
      <c r="A31" s="1" t="s">
        <v>30</v>
      </c>
      <c r="B31" t="s">
        <v>19</v>
      </c>
      <c r="C31" t="s">
        <v>6</v>
      </c>
      <c r="D31">
        <v>3</v>
      </c>
      <c r="E31">
        <v>2800</v>
      </c>
      <c r="F31">
        <v>26</v>
      </c>
      <c r="G31" s="5">
        <f t="shared" si="0"/>
        <v>72800</v>
      </c>
    </row>
    <row r="32" spans="1:7">
      <c r="A32" s="1" t="s">
        <v>31</v>
      </c>
      <c r="B32" t="s">
        <v>18</v>
      </c>
      <c r="C32" t="s">
        <v>16</v>
      </c>
      <c r="D32">
        <v>3</v>
      </c>
      <c r="E32">
        <v>65</v>
      </c>
      <c r="F32">
        <v>32</v>
      </c>
      <c r="G32" s="5">
        <f t="shared" si="0"/>
        <v>2080</v>
      </c>
    </row>
  </sheetData>
  <phoneticPr fontId="1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E20" sqref="E20"/>
    </sheetView>
  </sheetViews>
  <sheetFormatPr defaultRowHeight="14.25"/>
  <cols>
    <col min="3" max="5" width="16.125" bestFit="1" customWidth="1"/>
  </cols>
  <sheetData>
    <row r="1" spans="1:5">
      <c r="A1" t="s">
        <v>21</v>
      </c>
      <c r="B1" t="s">
        <v>2</v>
      </c>
      <c r="C1" t="s">
        <v>32</v>
      </c>
      <c r="D1" t="s">
        <v>33</v>
      </c>
      <c r="E1" t="s">
        <v>34</v>
      </c>
    </row>
    <row r="2" spans="1:5">
      <c r="A2" s="1" t="s">
        <v>22</v>
      </c>
      <c r="B2" t="s">
        <v>15</v>
      </c>
      <c r="C2">
        <f>商品销售!G3</f>
        <v>680</v>
      </c>
      <c r="D2">
        <f>商品销售!G13</f>
        <v>340</v>
      </c>
      <c r="E2">
        <f>商品销售!G23</f>
        <v>680</v>
      </c>
    </row>
    <row r="3" spans="1:5">
      <c r="A3" s="1" t="s">
        <v>23</v>
      </c>
      <c r="B3" t="s">
        <v>13</v>
      </c>
      <c r="C3">
        <f>商品销售!G4</f>
        <v>83400</v>
      </c>
      <c r="D3">
        <f>商品销售!G14</f>
        <v>69500</v>
      </c>
      <c r="E3">
        <f>商品销售!G24</f>
        <v>83400</v>
      </c>
    </row>
    <row r="4" spans="1:5" ht="15.75">
      <c r="A4" s="1" t="s">
        <v>24</v>
      </c>
      <c r="B4" t="s">
        <v>12</v>
      </c>
      <c r="C4">
        <f>商品销售!G5</f>
        <v>63000</v>
      </c>
      <c r="D4">
        <f>商品销售!G15</f>
        <v>84000</v>
      </c>
      <c r="E4">
        <f>商品销售!G25</f>
        <v>63000</v>
      </c>
    </row>
    <row r="5" spans="1:5">
      <c r="A5" s="1" t="s">
        <v>25</v>
      </c>
      <c r="B5" t="s">
        <v>8</v>
      </c>
      <c r="C5">
        <f>商品销售!G6</f>
        <v>27420</v>
      </c>
      <c r="D5">
        <f>商品销售!G16</f>
        <v>20565</v>
      </c>
      <c r="E5">
        <f>商品销售!G26</f>
        <v>31076</v>
      </c>
    </row>
    <row r="6" spans="1:5">
      <c r="A6" s="1" t="s">
        <v>26</v>
      </c>
      <c r="B6" t="s">
        <v>11</v>
      </c>
      <c r="C6">
        <f>商品销售!G7</f>
        <v>190000</v>
      </c>
      <c r="D6">
        <f>商品销售!G17</f>
        <v>140600</v>
      </c>
      <c r="E6">
        <f>商品销售!G27</f>
        <v>171000</v>
      </c>
    </row>
    <row r="7" spans="1:5">
      <c r="A7" s="1" t="s">
        <v>27</v>
      </c>
      <c r="B7" t="s">
        <v>9</v>
      </c>
      <c r="C7">
        <f>商品销售!G8</f>
        <v>1280</v>
      </c>
      <c r="D7">
        <f>商品销售!G18</f>
        <v>320</v>
      </c>
      <c r="E7">
        <f>商品销售!G28</f>
        <v>832</v>
      </c>
    </row>
    <row r="8" spans="1:5">
      <c r="A8" s="1" t="s">
        <v>28</v>
      </c>
      <c r="B8" t="s">
        <v>14</v>
      </c>
      <c r="C8">
        <f>商品销售!G9</f>
        <v>32470</v>
      </c>
      <c r="D8">
        <f>商品销售!G19</f>
        <v>38200</v>
      </c>
      <c r="E8">
        <f>商品销售!G29</f>
        <v>19100</v>
      </c>
    </row>
    <row r="9" spans="1:5">
      <c r="A9" s="1" t="s">
        <v>29</v>
      </c>
      <c r="B9" t="s">
        <v>17</v>
      </c>
      <c r="C9">
        <f>商品销售!G10</f>
        <v>960</v>
      </c>
      <c r="D9">
        <f>商品销售!G20</f>
        <v>800</v>
      </c>
      <c r="E9">
        <f>商品销售!G30</f>
        <v>1280</v>
      </c>
    </row>
    <row r="10" spans="1:5">
      <c r="A10" s="1" t="s">
        <v>30</v>
      </c>
      <c r="B10" t="s">
        <v>19</v>
      </c>
      <c r="C10">
        <f>商品销售!G11</f>
        <v>168000</v>
      </c>
      <c r="D10">
        <f>商品销售!G21</f>
        <v>168000</v>
      </c>
      <c r="E10">
        <f>商品销售!G31</f>
        <v>72800</v>
      </c>
    </row>
    <row r="11" spans="1:5">
      <c r="A11" s="1" t="s">
        <v>31</v>
      </c>
      <c r="B11" t="s">
        <v>18</v>
      </c>
      <c r="C11">
        <f>商品销售!G12</f>
        <v>2925</v>
      </c>
      <c r="D11">
        <f>商品销售!G22</f>
        <v>2925</v>
      </c>
      <c r="E11">
        <f>商品销售!G32</f>
        <v>2080</v>
      </c>
    </row>
  </sheetData>
  <phoneticPr fontId="1" type="noConversion"/>
  <pageMargins left="0.75" right="0.75" top="1" bottom="1" header="0.5" footer="0.5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topLeftCell="A11" workbookViewId="0">
      <selection activeCell="H22" sqref="H22"/>
    </sheetView>
  </sheetViews>
  <sheetFormatPr defaultRowHeight="14.25"/>
  <sheetData>
    <row r="1" spans="1:5" ht="33.75" customHeight="1">
      <c r="A1" s="6" t="s">
        <v>63</v>
      </c>
      <c r="B1" s="6"/>
      <c r="C1" s="6"/>
      <c r="D1" s="6"/>
      <c r="E1" s="6"/>
    </row>
    <row r="2" spans="1:5">
      <c r="A2" s="2" t="s">
        <v>36</v>
      </c>
      <c r="B2" s="2" t="s">
        <v>37</v>
      </c>
      <c r="C2" s="2" t="s">
        <v>38</v>
      </c>
      <c r="D2" s="2" t="s">
        <v>39</v>
      </c>
      <c r="E2" s="2" t="s">
        <v>40</v>
      </c>
    </row>
    <row r="3" spans="1:5">
      <c r="A3" s="2" t="s">
        <v>52</v>
      </c>
      <c r="B3" s="2">
        <v>35</v>
      </c>
      <c r="C3" s="2">
        <v>39</v>
      </c>
      <c r="D3" s="2">
        <v>29</v>
      </c>
      <c r="E3" s="2">
        <f>SUM(B3:D3)</f>
        <v>103</v>
      </c>
    </row>
    <row r="4" spans="1:5">
      <c r="A4" s="2" t="s">
        <v>62</v>
      </c>
      <c r="B4" s="2">
        <v>32</v>
      </c>
      <c r="C4" s="2">
        <v>17</v>
      </c>
      <c r="D4" s="2">
        <v>14</v>
      </c>
      <c r="E4" s="2">
        <f t="shared" ref="E4:E24" si="0">SUM(B4:D4)</f>
        <v>63</v>
      </c>
    </row>
    <row r="5" spans="1:5">
      <c r="A5" s="2" t="s">
        <v>45</v>
      </c>
      <c r="B5" s="2">
        <v>27</v>
      </c>
      <c r="C5" s="2">
        <v>27</v>
      </c>
      <c r="D5" s="2">
        <v>38</v>
      </c>
      <c r="E5" s="2">
        <f t="shared" si="0"/>
        <v>92</v>
      </c>
    </row>
    <row r="6" spans="1:5">
      <c r="A6" s="2" t="s">
        <v>41</v>
      </c>
      <c r="B6" s="2">
        <v>17</v>
      </c>
      <c r="C6" s="2">
        <v>16</v>
      </c>
      <c r="D6" s="2">
        <v>16</v>
      </c>
      <c r="E6" s="2">
        <f t="shared" si="0"/>
        <v>49</v>
      </c>
    </row>
    <row r="7" spans="1:5">
      <c r="A7" s="2" t="s">
        <v>53</v>
      </c>
      <c r="B7" s="2">
        <v>16</v>
      </c>
      <c r="C7" s="2">
        <v>9</v>
      </c>
      <c r="D7" s="2">
        <v>12</v>
      </c>
      <c r="E7" s="2">
        <f t="shared" si="0"/>
        <v>37</v>
      </c>
    </row>
    <row r="8" spans="1:5">
      <c r="A8" s="2" t="s">
        <v>44</v>
      </c>
      <c r="B8" s="2">
        <v>14</v>
      </c>
      <c r="C8" s="2">
        <v>16</v>
      </c>
      <c r="D8" s="2">
        <v>18</v>
      </c>
      <c r="E8" s="2">
        <f t="shared" si="0"/>
        <v>48</v>
      </c>
    </row>
    <row r="9" spans="1:5">
      <c r="A9" s="2" t="s">
        <v>46</v>
      </c>
      <c r="B9" s="2">
        <v>11</v>
      </c>
      <c r="C9" s="2">
        <v>9</v>
      </c>
      <c r="D9" s="2">
        <v>13</v>
      </c>
      <c r="E9" s="2">
        <f t="shared" si="0"/>
        <v>33</v>
      </c>
    </row>
    <row r="10" spans="1:5">
      <c r="A10" s="2" t="s">
        <v>60</v>
      </c>
      <c r="B10" s="2">
        <v>10</v>
      </c>
      <c r="C10" s="2">
        <v>11</v>
      </c>
      <c r="D10" s="2">
        <v>11</v>
      </c>
      <c r="E10" s="2">
        <f t="shared" si="0"/>
        <v>32</v>
      </c>
    </row>
    <row r="11" spans="1:5">
      <c r="A11" s="2" t="s">
        <v>48</v>
      </c>
      <c r="B11" s="2">
        <v>9</v>
      </c>
      <c r="C11" s="2">
        <v>12</v>
      </c>
      <c r="D11" s="2">
        <v>9</v>
      </c>
      <c r="E11" s="2">
        <f t="shared" si="0"/>
        <v>30</v>
      </c>
    </row>
    <row r="12" spans="1:5">
      <c r="A12" s="2" t="s">
        <v>61</v>
      </c>
      <c r="B12" s="2">
        <v>9</v>
      </c>
      <c r="C12" s="2">
        <v>9</v>
      </c>
      <c r="D12" s="2">
        <v>12</v>
      </c>
      <c r="E12" s="2">
        <f t="shared" si="0"/>
        <v>30</v>
      </c>
    </row>
    <row r="13" spans="1:5">
      <c r="A13" s="2" t="s">
        <v>47</v>
      </c>
      <c r="B13" s="2">
        <v>9</v>
      </c>
      <c r="C13" s="2">
        <v>7</v>
      </c>
      <c r="D13" s="2">
        <v>11</v>
      </c>
      <c r="E13" s="2">
        <f t="shared" si="0"/>
        <v>27</v>
      </c>
    </row>
    <row r="14" spans="1:5">
      <c r="A14" s="2" t="s">
        <v>56</v>
      </c>
      <c r="B14" s="2">
        <v>9</v>
      </c>
      <c r="C14" s="2">
        <v>5</v>
      </c>
      <c r="D14" s="2">
        <v>8</v>
      </c>
      <c r="E14" s="2">
        <f t="shared" si="0"/>
        <v>22</v>
      </c>
    </row>
    <row r="15" spans="1:5">
      <c r="A15" s="2" t="s">
        <v>59</v>
      </c>
      <c r="B15" s="2">
        <v>8</v>
      </c>
      <c r="C15" s="2">
        <v>6</v>
      </c>
      <c r="D15" s="2">
        <v>3</v>
      </c>
      <c r="E15" s="2">
        <f t="shared" si="0"/>
        <v>17</v>
      </c>
    </row>
    <row r="16" spans="1:5">
      <c r="A16" s="2" t="s">
        <v>51</v>
      </c>
      <c r="B16" s="2">
        <v>8</v>
      </c>
      <c r="C16" s="2">
        <v>5</v>
      </c>
      <c r="D16" s="2">
        <v>6</v>
      </c>
      <c r="E16" s="2">
        <f t="shared" si="0"/>
        <v>19</v>
      </c>
    </row>
    <row r="17" spans="1:5">
      <c r="A17" s="2" t="s">
        <v>58</v>
      </c>
      <c r="B17" s="2">
        <v>6</v>
      </c>
      <c r="C17" s="2">
        <v>6</v>
      </c>
      <c r="D17" s="2">
        <v>4</v>
      </c>
      <c r="E17" s="2">
        <f t="shared" si="0"/>
        <v>16</v>
      </c>
    </row>
    <row r="18" spans="1:5">
      <c r="A18" s="2" t="s">
        <v>49</v>
      </c>
      <c r="B18" s="2">
        <v>4</v>
      </c>
      <c r="C18" s="2">
        <v>9</v>
      </c>
      <c r="D18" s="2">
        <v>9</v>
      </c>
      <c r="E18" s="2">
        <f t="shared" si="0"/>
        <v>22</v>
      </c>
    </row>
    <row r="19" spans="1:5">
      <c r="A19" s="2" t="s">
        <v>42</v>
      </c>
      <c r="B19" s="2">
        <v>4</v>
      </c>
      <c r="C19" s="2">
        <v>3</v>
      </c>
      <c r="D19" s="2">
        <v>3</v>
      </c>
      <c r="E19" s="2">
        <f t="shared" si="0"/>
        <v>10</v>
      </c>
    </row>
    <row r="20" spans="1:5">
      <c r="A20" s="2" t="s">
        <v>54</v>
      </c>
      <c r="B20" s="2">
        <v>4</v>
      </c>
      <c r="C20" s="2">
        <v>1</v>
      </c>
      <c r="D20" s="2">
        <v>2</v>
      </c>
      <c r="E20" s="2">
        <f t="shared" si="0"/>
        <v>7</v>
      </c>
    </row>
    <row r="21" spans="1:5">
      <c r="A21" s="2" t="s">
        <v>57</v>
      </c>
      <c r="B21" s="2">
        <v>3</v>
      </c>
      <c r="C21" s="2">
        <v>11</v>
      </c>
      <c r="D21" s="2">
        <v>5</v>
      </c>
      <c r="E21" s="2">
        <f t="shared" si="0"/>
        <v>19</v>
      </c>
    </row>
    <row r="22" spans="1:5">
      <c r="A22" s="2" t="s">
        <v>50</v>
      </c>
      <c r="B22" s="2">
        <v>3</v>
      </c>
      <c r="C22" s="2">
        <v>6</v>
      </c>
      <c r="D22" s="2">
        <v>3</v>
      </c>
      <c r="E22" s="2">
        <f t="shared" si="0"/>
        <v>12</v>
      </c>
    </row>
    <row r="23" spans="1:5">
      <c r="A23" s="2" t="s">
        <v>55</v>
      </c>
      <c r="B23" s="2">
        <v>3</v>
      </c>
      <c r="C23" s="2">
        <v>3</v>
      </c>
      <c r="D23" s="2">
        <v>4</v>
      </c>
      <c r="E23" s="2">
        <f t="shared" si="0"/>
        <v>10</v>
      </c>
    </row>
    <row r="24" spans="1:5">
      <c r="A24" s="2" t="s">
        <v>43</v>
      </c>
      <c r="B24" s="2">
        <v>3</v>
      </c>
      <c r="C24" s="2">
        <v>2</v>
      </c>
      <c r="D24" s="2">
        <v>5</v>
      </c>
      <c r="E24" s="2">
        <f t="shared" si="0"/>
        <v>10</v>
      </c>
    </row>
    <row r="26" spans="1:5">
      <c r="B26" t="s">
        <v>64</v>
      </c>
      <c r="C26" t="s">
        <v>65</v>
      </c>
    </row>
    <row r="27" spans="1:5">
      <c r="B27" t="s">
        <v>66</v>
      </c>
      <c r="C27" t="s">
        <v>66</v>
      </c>
    </row>
  </sheetData>
  <sortState ref="A3:E24">
    <sortCondition descending="1" ref="B3:B24"/>
    <sortCondition descending="1" ref="C3:C24"/>
  </sortState>
  <mergeCells count="1">
    <mergeCell ref="A1:E1"/>
  </mergeCells>
  <phoneticPr fontId="1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tabSelected="1" workbookViewId="0"/>
  </sheetViews>
  <sheetFormatPr defaultRowHeight="14.25"/>
  <sheetData>
    <row r="1" spans="1:5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</row>
    <row r="2" spans="1:5">
      <c r="A2" s="2" t="s">
        <v>52</v>
      </c>
      <c r="B2" s="2">
        <v>35</v>
      </c>
      <c r="C2" s="2">
        <v>39</v>
      </c>
      <c r="D2" s="2">
        <v>29</v>
      </c>
      <c r="E2" s="2">
        <v>103</v>
      </c>
    </row>
    <row r="3" spans="1:5">
      <c r="A3" s="2" t="s">
        <v>62</v>
      </c>
      <c r="B3" s="2">
        <v>32</v>
      </c>
      <c r="C3" s="2">
        <v>17</v>
      </c>
      <c r="D3" s="2">
        <v>14</v>
      </c>
      <c r="E3" s="2">
        <v>63</v>
      </c>
    </row>
    <row r="4" spans="1:5">
      <c r="A4" s="2" t="s">
        <v>45</v>
      </c>
      <c r="B4" s="2">
        <v>27</v>
      </c>
      <c r="C4" s="2">
        <v>27</v>
      </c>
      <c r="D4" s="2">
        <v>38</v>
      </c>
      <c r="E4" s="2">
        <v>92</v>
      </c>
    </row>
    <row r="5" spans="1:5">
      <c r="A5" s="2" t="s">
        <v>41</v>
      </c>
      <c r="B5" s="2">
        <v>17</v>
      </c>
      <c r="C5" s="2">
        <v>16</v>
      </c>
      <c r="D5" s="2">
        <v>16</v>
      </c>
      <c r="E5" s="2">
        <v>49</v>
      </c>
    </row>
    <row r="6" spans="1:5">
      <c r="A6" s="2" t="s">
        <v>44</v>
      </c>
      <c r="B6" s="2">
        <v>14</v>
      </c>
      <c r="C6" s="2">
        <v>16</v>
      </c>
      <c r="D6" s="2">
        <v>18</v>
      </c>
      <c r="E6" s="2">
        <v>48</v>
      </c>
    </row>
    <row r="7" spans="1:5">
      <c r="A7" s="2" t="s">
        <v>60</v>
      </c>
      <c r="B7" s="2">
        <v>10</v>
      </c>
      <c r="C7" s="2">
        <v>11</v>
      </c>
      <c r="D7" s="2">
        <v>11</v>
      </c>
      <c r="E7" s="2">
        <v>32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1</vt:i4>
      </vt:variant>
    </vt:vector>
  </HeadingPairs>
  <TitlesOfParts>
    <vt:vector size="5" baseType="lpstr">
      <vt:lpstr>商品销售</vt:lpstr>
      <vt:lpstr>销售汇总</vt:lpstr>
      <vt:lpstr>奥运奖牌</vt:lpstr>
      <vt:lpstr>优秀团队</vt:lpstr>
      <vt:lpstr>优秀团队!提取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SD</cp:lastModifiedBy>
  <dcterms:created xsi:type="dcterms:W3CDTF">2001-11-20T10:25:52Z</dcterms:created>
  <dcterms:modified xsi:type="dcterms:W3CDTF">2018-10-18T08:18:36Z</dcterms:modified>
</cp:coreProperties>
</file>