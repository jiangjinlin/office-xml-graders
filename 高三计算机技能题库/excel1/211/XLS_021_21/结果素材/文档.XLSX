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3230" windowHeight="5850" activeTab="6"/>
  </bookViews>
  <sheets>
    <sheet name="商品目录" sheetId="2" r:id="rId1"/>
    <sheet name="1月份" sheetId="3" r:id="rId2"/>
    <sheet name="2月份" sheetId="4" r:id="rId3"/>
    <sheet name="3月份" sheetId="5" r:id="rId4"/>
    <sheet name="一季度" sheetId="7" r:id="rId5"/>
    <sheet name="分类统计" sheetId="6" r:id="rId6"/>
    <sheet name="电器" sheetId="8" r:id="rId7"/>
  </sheets>
  <definedNames>
    <definedName name="_xlnm.Criteria" localSheetId="6">电器!$J$1:$K$2</definedName>
    <definedName name="_xlnm.Extract" localSheetId="6">电器!$B$2:$G$2</definedName>
  </definedNames>
  <calcPr calcId="144525"/>
</workbook>
</file>

<file path=xl/calcChain.xml><?xml version="1.0" encoding="utf-8"?>
<calcChain xmlns="http://schemas.openxmlformats.org/spreadsheetml/2006/main">
  <c r="C4" i="6" l="1"/>
  <c r="C5" i="6"/>
  <c r="C6" i="6"/>
  <c r="C3" i="6"/>
  <c r="E7" i="7"/>
  <c r="E5" i="7"/>
  <c r="E9" i="7"/>
  <c r="E10" i="7"/>
  <c r="E6" i="7"/>
  <c r="E11" i="7"/>
  <c r="E3" i="7"/>
  <c r="E8" i="7"/>
  <c r="E4" i="7"/>
  <c r="E2" i="7"/>
</calcChain>
</file>

<file path=xl/sharedStrings.xml><?xml version="1.0" encoding="utf-8"?>
<sst xmlns="http://schemas.openxmlformats.org/spreadsheetml/2006/main" count="312" uniqueCount="76">
  <si>
    <t>商品类别</t>
    <phoneticPr fontId="1" type="noConversion"/>
  </si>
  <si>
    <t>商品名</t>
    <phoneticPr fontId="1" type="noConversion"/>
  </si>
  <si>
    <t>日用品</t>
    <phoneticPr fontId="1" type="noConversion"/>
  </si>
  <si>
    <t>电器</t>
    <phoneticPr fontId="1" type="noConversion"/>
  </si>
  <si>
    <t>女大衣</t>
    <phoneticPr fontId="1" type="noConversion"/>
  </si>
  <si>
    <t>热水瓶</t>
    <phoneticPr fontId="1" type="noConversion"/>
  </si>
  <si>
    <t>服装</t>
    <phoneticPr fontId="1" type="noConversion"/>
  </si>
  <si>
    <t>彩电</t>
    <phoneticPr fontId="1" type="noConversion"/>
  </si>
  <si>
    <t>冰箱</t>
    <phoneticPr fontId="1" type="noConversion"/>
  </si>
  <si>
    <t>西装</t>
    <phoneticPr fontId="1" type="noConversion"/>
  </si>
  <si>
    <t>高压锅</t>
    <phoneticPr fontId="1" type="noConversion"/>
  </si>
  <si>
    <t>化妆品</t>
    <phoneticPr fontId="1" type="noConversion"/>
  </si>
  <si>
    <t>护肤霜</t>
    <phoneticPr fontId="1" type="noConversion"/>
  </si>
  <si>
    <t>洗发水</t>
    <phoneticPr fontId="1" type="noConversion"/>
  </si>
  <si>
    <t>空调</t>
    <phoneticPr fontId="1" type="noConversion"/>
  </si>
  <si>
    <t>商品编号</t>
    <phoneticPr fontId="1" type="noConversion"/>
  </si>
  <si>
    <t>001</t>
    <phoneticPr fontId="1" type="noConversion"/>
  </si>
  <si>
    <t>003</t>
  </si>
  <si>
    <t>004</t>
  </si>
  <si>
    <t>销售数量</t>
    <phoneticPr fontId="1" type="noConversion"/>
  </si>
  <si>
    <t>类别编号</t>
    <phoneticPr fontId="1" type="noConversion"/>
  </si>
  <si>
    <t>002</t>
    <phoneticPr fontId="1" type="noConversion"/>
  </si>
  <si>
    <t>一季度分类统计</t>
    <phoneticPr fontId="1" type="noConversion"/>
  </si>
  <si>
    <t>001</t>
    <phoneticPr fontId="1" type="noConversion"/>
  </si>
  <si>
    <t>002</t>
    <phoneticPr fontId="1" type="noConversion"/>
  </si>
  <si>
    <t>日用品</t>
    <phoneticPr fontId="1" type="noConversion"/>
  </si>
  <si>
    <t>类别名称</t>
    <phoneticPr fontId="1" type="noConversion"/>
  </si>
  <si>
    <t>004</t>
    <phoneticPr fontId="1" type="noConversion"/>
  </si>
  <si>
    <t>003</t>
    <phoneticPr fontId="1" type="noConversion"/>
  </si>
  <si>
    <t>001003</t>
    <phoneticPr fontId="1" type="noConversion"/>
  </si>
  <si>
    <t>003001</t>
    <phoneticPr fontId="1" type="noConversion"/>
  </si>
  <si>
    <t>001002</t>
    <phoneticPr fontId="1" type="noConversion"/>
  </si>
  <si>
    <t>001001</t>
    <phoneticPr fontId="1" type="noConversion"/>
  </si>
  <si>
    <t>002002</t>
    <phoneticPr fontId="1" type="noConversion"/>
  </si>
  <si>
    <t>002001</t>
    <phoneticPr fontId="1" type="noConversion"/>
  </si>
  <si>
    <t>003002</t>
    <phoneticPr fontId="1" type="noConversion"/>
  </si>
  <si>
    <t>004001</t>
    <phoneticPr fontId="1" type="noConversion"/>
  </si>
  <si>
    <t>单价</t>
    <phoneticPr fontId="1" type="noConversion"/>
  </si>
  <si>
    <t>类别编号</t>
  </si>
  <si>
    <t>商品类别</t>
  </si>
  <si>
    <t>商品编号</t>
  </si>
  <si>
    <t>商品名</t>
  </si>
  <si>
    <t>001</t>
  </si>
  <si>
    <t>001001</t>
  </si>
  <si>
    <t>电器</t>
  </si>
  <si>
    <t>001002</t>
  </si>
  <si>
    <t>彩电</t>
  </si>
  <si>
    <t>001003</t>
  </si>
  <si>
    <t>空调</t>
  </si>
  <si>
    <t>冰箱</t>
  </si>
  <si>
    <t>002</t>
  </si>
  <si>
    <t>服装</t>
  </si>
  <si>
    <t>002001</t>
  </si>
  <si>
    <t>西装</t>
  </si>
  <si>
    <t>002002</t>
  </si>
  <si>
    <t>女大衣</t>
  </si>
  <si>
    <t>化妆品</t>
  </si>
  <si>
    <t>003001</t>
  </si>
  <si>
    <t>洗发水</t>
  </si>
  <si>
    <t>003002</t>
  </si>
  <si>
    <t>护肤霜</t>
  </si>
  <si>
    <t>日用品</t>
  </si>
  <si>
    <t>004001</t>
  </si>
  <si>
    <t>热水瓶</t>
  </si>
  <si>
    <t>高压锅</t>
  </si>
  <si>
    <t>销售量</t>
    <phoneticPr fontId="1" type="noConversion"/>
  </si>
  <si>
    <t>计量单位</t>
    <phoneticPr fontId="1" type="noConversion"/>
  </si>
  <si>
    <t>台</t>
    <phoneticPr fontId="1" type="noConversion"/>
  </si>
  <si>
    <t>件</t>
    <phoneticPr fontId="1" type="noConversion"/>
  </si>
  <si>
    <t>瓶</t>
    <phoneticPr fontId="1" type="noConversion"/>
  </si>
  <si>
    <t>个</t>
    <phoneticPr fontId="1" type="noConversion"/>
  </si>
  <si>
    <t>音响</t>
  </si>
  <si>
    <t>商品类别</t>
    <phoneticPr fontId="3" type="noConversion"/>
  </si>
  <si>
    <t>销售量</t>
    <phoneticPr fontId="3" type="noConversion"/>
  </si>
  <si>
    <t>电器</t>
    <phoneticPr fontId="3" type="noConversion"/>
  </si>
  <si>
    <t>&gt;100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</si>
</sst>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charset val="134"/>
    </font>
    <font>
      <sz val="16"/>
      <color rgb="FF7030A0"/>
      <name val="黑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销售数量分类比较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分类统计!$C$2</c:f>
              <c:strCache>
                <c:ptCount val="1"/>
                <c:pt idx="0">
                  <c:v>销售数量</c:v>
                </c:pt>
              </c:strCache>
            </c:strRef>
          </c:tx>
          <c:invertIfNegative val="0"/>
          <c:cat>
            <c:strRef>
              <c:f>分类统计!$B$3:$B$6</c:f>
              <c:strCache>
                <c:ptCount val="4"/>
                <c:pt idx="0">
                  <c:v>电器</c:v>
                </c:pt>
                <c:pt idx="1">
                  <c:v>服装</c:v>
                </c:pt>
                <c:pt idx="2">
                  <c:v>化妆品</c:v>
                </c:pt>
                <c:pt idx="3">
                  <c:v>日用品</c:v>
                </c:pt>
              </c:strCache>
            </c:strRef>
          </c:cat>
          <c:val>
            <c:numRef>
              <c:f>分类统计!$C$3:$C$6</c:f>
              <c:numCache>
                <c:formatCode>General</c:formatCode>
                <c:ptCount val="4"/>
                <c:pt idx="0">
                  <c:v>373</c:v>
                </c:pt>
                <c:pt idx="1">
                  <c:v>263</c:v>
                </c:pt>
                <c:pt idx="2">
                  <c:v>233</c:v>
                </c:pt>
                <c:pt idx="3">
                  <c:v>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032832"/>
        <c:axId val="33055104"/>
        <c:axId val="0"/>
      </c:bar3DChart>
      <c:catAx>
        <c:axId val="33032832"/>
        <c:scaling>
          <c:orientation val="minMax"/>
        </c:scaling>
        <c:delete val="0"/>
        <c:axPos val="b"/>
        <c:majorTickMark val="out"/>
        <c:minorTickMark val="none"/>
        <c:tickLblPos val="nextTo"/>
        <c:crossAx val="33055104"/>
        <c:crosses val="autoZero"/>
        <c:auto val="1"/>
        <c:lblAlgn val="ctr"/>
        <c:lblOffset val="100"/>
        <c:noMultiLvlLbl val="0"/>
      </c:catAx>
      <c:valAx>
        <c:axId val="3305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32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4</xdr:row>
      <xdr:rowOff>33337</xdr:rowOff>
    </xdr:from>
    <xdr:to>
      <xdr:col>11</xdr:col>
      <xdr:colOff>304800</xdr:colOff>
      <xdr:row>19</xdr:row>
      <xdr:rowOff>61912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I9" sqref="I9"/>
    </sheetView>
  </sheetViews>
  <sheetFormatPr defaultRowHeight="14.25" x14ac:dyDescent="0.15"/>
  <cols>
    <col min="1" max="6" width="12.625" customWidth="1"/>
  </cols>
  <sheetData>
    <row r="1" spans="1:6" ht="32.1" customHeight="1" thickTop="1" x14ac:dyDescent="0.15">
      <c r="A1" s="4" t="s">
        <v>20</v>
      </c>
      <c r="B1" s="5" t="s">
        <v>0</v>
      </c>
      <c r="C1" s="5" t="s">
        <v>15</v>
      </c>
      <c r="D1" s="5" t="s">
        <v>1</v>
      </c>
      <c r="E1" s="5" t="s">
        <v>37</v>
      </c>
      <c r="F1" s="6" t="s">
        <v>66</v>
      </c>
    </row>
    <row r="2" spans="1:6" ht="32.1" customHeight="1" x14ac:dyDescent="0.15">
      <c r="A2" s="7" t="s">
        <v>23</v>
      </c>
      <c r="B2" s="8" t="s">
        <v>44</v>
      </c>
      <c r="C2" s="9" t="s">
        <v>32</v>
      </c>
      <c r="D2" s="8" t="s">
        <v>71</v>
      </c>
      <c r="E2" s="8">
        <v>1500</v>
      </c>
      <c r="F2" s="10" t="s">
        <v>67</v>
      </c>
    </row>
    <row r="3" spans="1:6" ht="32.1" customHeight="1" x14ac:dyDescent="0.15">
      <c r="A3" s="7" t="s">
        <v>23</v>
      </c>
      <c r="B3" s="8" t="s">
        <v>3</v>
      </c>
      <c r="C3" s="9" t="s">
        <v>31</v>
      </c>
      <c r="D3" s="8" t="s">
        <v>7</v>
      </c>
      <c r="E3" s="8">
        <v>3800</v>
      </c>
      <c r="F3" s="10" t="s">
        <v>67</v>
      </c>
    </row>
    <row r="4" spans="1:6" ht="32.1" customHeight="1" x14ac:dyDescent="0.15">
      <c r="A4" s="7" t="s">
        <v>23</v>
      </c>
      <c r="B4" s="8" t="s">
        <v>3</v>
      </c>
      <c r="C4" s="9" t="s">
        <v>29</v>
      </c>
      <c r="D4" s="8" t="s">
        <v>14</v>
      </c>
      <c r="E4" s="8">
        <v>4800</v>
      </c>
      <c r="F4" s="10" t="s">
        <v>67</v>
      </c>
    </row>
    <row r="5" spans="1:6" ht="32.1" customHeight="1" x14ac:dyDescent="0.15">
      <c r="A5" s="7" t="s">
        <v>23</v>
      </c>
      <c r="B5" s="8" t="s">
        <v>3</v>
      </c>
      <c r="C5" s="9" t="s">
        <v>29</v>
      </c>
      <c r="D5" s="8" t="s">
        <v>8</v>
      </c>
      <c r="E5" s="8">
        <v>3200</v>
      </c>
      <c r="F5" s="10" t="s">
        <v>67</v>
      </c>
    </row>
    <row r="6" spans="1:6" ht="32.1" customHeight="1" x14ac:dyDescent="0.15">
      <c r="A6" s="7" t="s">
        <v>24</v>
      </c>
      <c r="B6" s="8" t="s">
        <v>6</v>
      </c>
      <c r="C6" s="9" t="s">
        <v>34</v>
      </c>
      <c r="D6" s="8" t="s">
        <v>9</v>
      </c>
      <c r="E6" s="8">
        <v>380</v>
      </c>
      <c r="F6" s="10" t="s">
        <v>68</v>
      </c>
    </row>
    <row r="7" spans="1:6" ht="32.1" customHeight="1" x14ac:dyDescent="0.15">
      <c r="A7" s="7" t="s">
        <v>24</v>
      </c>
      <c r="B7" s="8" t="s">
        <v>6</v>
      </c>
      <c r="C7" s="9" t="s">
        <v>33</v>
      </c>
      <c r="D7" s="8" t="s">
        <v>4</v>
      </c>
      <c r="E7" s="8">
        <v>480</v>
      </c>
      <c r="F7" s="10" t="s">
        <v>68</v>
      </c>
    </row>
    <row r="8" spans="1:6" ht="32.1" customHeight="1" x14ac:dyDescent="0.15">
      <c r="A8" s="7" t="s">
        <v>28</v>
      </c>
      <c r="B8" s="8" t="s">
        <v>11</v>
      </c>
      <c r="C8" s="9" t="s">
        <v>30</v>
      </c>
      <c r="D8" s="8" t="s">
        <v>13</v>
      </c>
      <c r="E8" s="8">
        <v>60</v>
      </c>
      <c r="F8" s="10" t="s">
        <v>69</v>
      </c>
    </row>
    <row r="9" spans="1:6" ht="32.1" customHeight="1" x14ac:dyDescent="0.15">
      <c r="A9" s="7" t="s">
        <v>28</v>
      </c>
      <c r="B9" s="8" t="s">
        <v>11</v>
      </c>
      <c r="C9" s="9" t="s">
        <v>35</v>
      </c>
      <c r="D9" s="8" t="s">
        <v>12</v>
      </c>
      <c r="E9" s="8">
        <v>80</v>
      </c>
      <c r="F9" s="10" t="s">
        <v>69</v>
      </c>
    </row>
    <row r="10" spans="1:6" ht="32.1" customHeight="1" x14ac:dyDescent="0.15">
      <c r="A10" s="7" t="s">
        <v>27</v>
      </c>
      <c r="B10" s="8" t="s">
        <v>2</v>
      </c>
      <c r="C10" s="9" t="s">
        <v>36</v>
      </c>
      <c r="D10" s="8" t="s">
        <v>5</v>
      </c>
      <c r="E10" s="8">
        <v>30</v>
      </c>
      <c r="F10" s="10" t="s">
        <v>70</v>
      </c>
    </row>
    <row r="11" spans="1:6" ht="32.1" customHeight="1" thickBot="1" x14ac:dyDescent="0.2">
      <c r="A11" s="11" t="s">
        <v>27</v>
      </c>
      <c r="B11" s="12" t="s">
        <v>2</v>
      </c>
      <c r="C11" s="13" t="s">
        <v>36</v>
      </c>
      <c r="D11" s="12" t="s">
        <v>10</v>
      </c>
      <c r="E11" s="12">
        <v>70</v>
      </c>
      <c r="F11" s="14" t="s">
        <v>70</v>
      </c>
    </row>
    <row r="12" spans="1:6" ht="15" thickTop="1" x14ac:dyDescent="0.15"/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" sqref="F1:F11"/>
    </sheetView>
  </sheetViews>
  <sheetFormatPr defaultRowHeight="14.25" x14ac:dyDescent="0.15"/>
  <sheetData>
    <row r="1" spans="1:6" x14ac:dyDescent="0.15">
      <c r="A1" t="s">
        <v>20</v>
      </c>
      <c r="B1" t="s">
        <v>0</v>
      </c>
      <c r="C1" t="s">
        <v>15</v>
      </c>
      <c r="D1" t="s">
        <v>1</v>
      </c>
      <c r="E1" t="s">
        <v>19</v>
      </c>
      <c r="F1" t="s">
        <v>66</v>
      </c>
    </row>
    <row r="2" spans="1:6" x14ac:dyDescent="0.15">
      <c r="A2" s="1" t="s">
        <v>23</v>
      </c>
      <c r="B2" t="s">
        <v>44</v>
      </c>
      <c r="C2" s="1" t="s">
        <v>32</v>
      </c>
      <c r="D2" t="s">
        <v>71</v>
      </c>
      <c r="E2">
        <v>15</v>
      </c>
      <c r="F2" s="2" t="s">
        <v>67</v>
      </c>
    </row>
    <row r="3" spans="1:6" x14ac:dyDescent="0.15">
      <c r="A3" s="1" t="s">
        <v>23</v>
      </c>
      <c r="B3" t="s">
        <v>3</v>
      </c>
      <c r="C3" s="1" t="s">
        <v>31</v>
      </c>
      <c r="D3" t="s">
        <v>7</v>
      </c>
      <c r="E3">
        <v>50</v>
      </c>
      <c r="F3" s="2" t="s">
        <v>67</v>
      </c>
    </row>
    <row r="4" spans="1:6" x14ac:dyDescent="0.15">
      <c r="A4" s="1" t="s">
        <v>23</v>
      </c>
      <c r="B4" t="s">
        <v>3</v>
      </c>
      <c r="C4" s="1" t="s">
        <v>29</v>
      </c>
      <c r="D4" t="s">
        <v>14</v>
      </c>
      <c r="E4">
        <v>60</v>
      </c>
      <c r="F4" s="2" t="s">
        <v>67</v>
      </c>
    </row>
    <row r="5" spans="1:6" x14ac:dyDescent="0.15">
      <c r="A5" s="1" t="s">
        <v>23</v>
      </c>
      <c r="B5" t="s">
        <v>3</v>
      </c>
      <c r="C5" s="1" t="s">
        <v>29</v>
      </c>
      <c r="D5" t="s">
        <v>8</v>
      </c>
      <c r="E5">
        <v>30</v>
      </c>
      <c r="F5" s="2" t="s">
        <v>67</v>
      </c>
    </row>
    <row r="6" spans="1:6" x14ac:dyDescent="0.15">
      <c r="A6" s="1" t="s">
        <v>24</v>
      </c>
      <c r="B6" t="s">
        <v>6</v>
      </c>
      <c r="C6" s="1" t="s">
        <v>34</v>
      </c>
      <c r="D6" t="s">
        <v>9</v>
      </c>
      <c r="E6">
        <v>85</v>
      </c>
      <c r="F6" s="2" t="s">
        <v>68</v>
      </c>
    </row>
    <row r="7" spans="1:6" x14ac:dyDescent="0.15">
      <c r="A7" s="1" t="s">
        <v>24</v>
      </c>
      <c r="B7" t="s">
        <v>6</v>
      </c>
      <c r="C7" s="1" t="s">
        <v>33</v>
      </c>
      <c r="D7" t="s">
        <v>4</v>
      </c>
      <c r="E7">
        <v>60</v>
      </c>
      <c r="F7" s="2" t="s">
        <v>68</v>
      </c>
    </row>
    <row r="8" spans="1:6" x14ac:dyDescent="0.15">
      <c r="A8" s="1" t="s">
        <v>28</v>
      </c>
      <c r="B8" t="s">
        <v>11</v>
      </c>
      <c r="C8" s="1" t="s">
        <v>30</v>
      </c>
      <c r="D8" t="s">
        <v>13</v>
      </c>
      <c r="E8">
        <v>45</v>
      </c>
      <c r="F8" s="2" t="s">
        <v>69</v>
      </c>
    </row>
    <row r="9" spans="1:6" x14ac:dyDescent="0.15">
      <c r="A9" s="1" t="s">
        <v>28</v>
      </c>
      <c r="B9" t="s">
        <v>11</v>
      </c>
      <c r="C9" s="1" t="s">
        <v>35</v>
      </c>
      <c r="D9" t="s">
        <v>12</v>
      </c>
      <c r="E9">
        <v>12</v>
      </c>
      <c r="F9" s="2" t="s">
        <v>69</v>
      </c>
    </row>
    <row r="10" spans="1:6" x14ac:dyDescent="0.15">
      <c r="A10" s="1" t="s">
        <v>27</v>
      </c>
      <c r="B10" t="s">
        <v>2</v>
      </c>
      <c r="C10" s="1" t="s">
        <v>36</v>
      </c>
      <c r="D10" t="s">
        <v>5</v>
      </c>
      <c r="E10">
        <v>40</v>
      </c>
      <c r="F10" s="2" t="s">
        <v>70</v>
      </c>
    </row>
    <row r="11" spans="1:6" x14ac:dyDescent="0.15">
      <c r="A11" s="1" t="s">
        <v>27</v>
      </c>
      <c r="B11" t="s">
        <v>2</v>
      </c>
      <c r="C11" s="1" t="s">
        <v>36</v>
      </c>
      <c r="D11" t="s">
        <v>10</v>
      </c>
      <c r="E11">
        <v>10</v>
      </c>
      <c r="F11" s="2" t="s">
        <v>70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" sqref="F1:F11"/>
    </sheetView>
  </sheetViews>
  <sheetFormatPr defaultRowHeight="14.25" x14ac:dyDescent="0.15"/>
  <sheetData>
    <row r="1" spans="1:6" x14ac:dyDescent="0.15">
      <c r="A1" t="s">
        <v>20</v>
      </c>
      <c r="B1" t="s">
        <v>0</v>
      </c>
      <c r="C1" t="s">
        <v>15</v>
      </c>
      <c r="D1" t="s">
        <v>1</v>
      </c>
      <c r="E1" t="s">
        <v>19</v>
      </c>
      <c r="F1" t="s">
        <v>66</v>
      </c>
    </row>
    <row r="2" spans="1:6" x14ac:dyDescent="0.15">
      <c r="A2" s="1" t="s">
        <v>23</v>
      </c>
      <c r="B2" t="s">
        <v>44</v>
      </c>
      <c r="C2" s="1" t="s">
        <v>32</v>
      </c>
      <c r="D2" t="s">
        <v>71</v>
      </c>
      <c r="E2">
        <v>5</v>
      </c>
      <c r="F2" s="2" t="s">
        <v>67</v>
      </c>
    </row>
    <row r="3" spans="1:6" x14ac:dyDescent="0.15">
      <c r="A3" s="1" t="s">
        <v>23</v>
      </c>
      <c r="B3" t="s">
        <v>3</v>
      </c>
      <c r="C3" s="1" t="s">
        <v>31</v>
      </c>
      <c r="D3" t="s">
        <v>7</v>
      </c>
      <c r="E3">
        <v>25</v>
      </c>
      <c r="F3" s="2" t="s">
        <v>67</v>
      </c>
    </row>
    <row r="4" spans="1:6" x14ac:dyDescent="0.15">
      <c r="A4" s="1" t="s">
        <v>23</v>
      </c>
      <c r="B4" t="s">
        <v>3</v>
      </c>
      <c r="C4" s="1" t="s">
        <v>29</v>
      </c>
      <c r="D4" t="s">
        <v>14</v>
      </c>
      <c r="E4">
        <v>20</v>
      </c>
      <c r="F4" s="2" t="s">
        <v>67</v>
      </c>
    </row>
    <row r="5" spans="1:6" x14ac:dyDescent="0.15">
      <c r="A5" s="1" t="s">
        <v>23</v>
      </c>
      <c r="B5" t="s">
        <v>3</v>
      </c>
      <c r="C5" s="1" t="s">
        <v>29</v>
      </c>
      <c r="D5" t="s">
        <v>8</v>
      </c>
      <c r="E5">
        <v>45</v>
      </c>
      <c r="F5" s="2" t="s">
        <v>67</v>
      </c>
    </row>
    <row r="6" spans="1:6" x14ac:dyDescent="0.15">
      <c r="A6" s="1" t="s">
        <v>24</v>
      </c>
      <c r="B6" t="s">
        <v>6</v>
      </c>
      <c r="C6" s="1" t="s">
        <v>34</v>
      </c>
      <c r="D6" t="s">
        <v>9</v>
      </c>
      <c r="E6">
        <v>37</v>
      </c>
      <c r="F6" s="2" t="s">
        <v>68</v>
      </c>
    </row>
    <row r="7" spans="1:6" x14ac:dyDescent="0.15">
      <c r="A7" s="1" t="s">
        <v>24</v>
      </c>
      <c r="B7" t="s">
        <v>6</v>
      </c>
      <c r="C7" s="1" t="s">
        <v>33</v>
      </c>
      <c r="D7" t="s">
        <v>4</v>
      </c>
      <c r="E7">
        <v>10</v>
      </c>
      <c r="F7" s="2" t="s">
        <v>68</v>
      </c>
    </row>
    <row r="8" spans="1:6" x14ac:dyDescent="0.15">
      <c r="A8" s="1" t="s">
        <v>28</v>
      </c>
      <c r="B8" t="s">
        <v>11</v>
      </c>
      <c r="C8" s="1" t="s">
        <v>30</v>
      </c>
      <c r="D8" t="s">
        <v>13</v>
      </c>
      <c r="E8">
        <v>100</v>
      </c>
      <c r="F8" s="2" t="s">
        <v>69</v>
      </c>
    </row>
    <row r="9" spans="1:6" x14ac:dyDescent="0.15">
      <c r="A9" s="1" t="s">
        <v>28</v>
      </c>
      <c r="B9" t="s">
        <v>11</v>
      </c>
      <c r="C9" s="1" t="s">
        <v>35</v>
      </c>
      <c r="D9" t="s">
        <v>12</v>
      </c>
      <c r="E9">
        <v>10</v>
      </c>
      <c r="F9" s="2" t="s">
        <v>69</v>
      </c>
    </row>
    <row r="10" spans="1:6" x14ac:dyDescent="0.15">
      <c r="A10" s="1" t="s">
        <v>27</v>
      </c>
      <c r="B10" t="s">
        <v>2</v>
      </c>
      <c r="C10" s="1" t="s">
        <v>36</v>
      </c>
      <c r="D10" t="s">
        <v>5</v>
      </c>
      <c r="E10">
        <v>60</v>
      </c>
      <c r="F10" s="2" t="s">
        <v>70</v>
      </c>
    </row>
    <row r="11" spans="1:6" x14ac:dyDescent="0.15">
      <c r="A11" s="1" t="s">
        <v>27</v>
      </c>
      <c r="B11" t="s">
        <v>2</v>
      </c>
      <c r="C11" s="1" t="s">
        <v>36</v>
      </c>
      <c r="D11" t="s">
        <v>10</v>
      </c>
      <c r="E11">
        <v>45</v>
      </c>
      <c r="F11" s="2" t="s">
        <v>70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21" sqref="J21"/>
    </sheetView>
  </sheetViews>
  <sheetFormatPr defaultRowHeight="14.25" x14ac:dyDescent="0.15"/>
  <sheetData>
    <row r="1" spans="1:6" x14ac:dyDescent="0.15">
      <c r="A1" t="s">
        <v>20</v>
      </c>
      <c r="B1" t="s">
        <v>0</v>
      </c>
      <c r="C1" t="s">
        <v>15</v>
      </c>
      <c r="D1" t="s">
        <v>1</v>
      </c>
      <c r="E1" t="s">
        <v>19</v>
      </c>
      <c r="F1" t="s">
        <v>66</v>
      </c>
    </row>
    <row r="2" spans="1:6" x14ac:dyDescent="0.15">
      <c r="A2" s="1" t="s">
        <v>23</v>
      </c>
      <c r="B2" t="s">
        <v>44</v>
      </c>
      <c r="C2" s="1" t="s">
        <v>32</v>
      </c>
      <c r="D2" t="s">
        <v>71</v>
      </c>
      <c r="E2">
        <v>10</v>
      </c>
      <c r="F2" s="2" t="s">
        <v>67</v>
      </c>
    </row>
    <row r="3" spans="1:6" x14ac:dyDescent="0.15">
      <c r="A3" s="1" t="s">
        <v>23</v>
      </c>
      <c r="B3" t="s">
        <v>3</v>
      </c>
      <c r="C3" s="1" t="s">
        <v>31</v>
      </c>
      <c r="D3" t="s">
        <v>7</v>
      </c>
      <c r="E3">
        <v>30</v>
      </c>
      <c r="F3" s="2" t="s">
        <v>67</v>
      </c>
    </row>
    <row r="4" spans="1:6" x14ac:dyDescent="0.15">
      <c r="A4" s="1" t="s">
        <v>23</v>
      </c>
      <c r="B4" t="s">
        <v>3</v>
      </c>
      <c r="C4" s="1" t="s">
        <v>29</v>
      </c>
      <c r="D4" t="s">
        <v>14</v>
      </c>
      <c r="E4">
        <v>15</v>
      </c>
      <c r="F4" s="2" t="s">
        <v>67</v>
      </c>
    </row>
    <row r="5" spans="1:6" x14ac:dyDescent="0.15">
      <c r="A5" s="1" t="s">
        <v>23</v>
      </c>
      <c r="B5" t="s">
        <v>3</v>
      </c>
      <c r="C5" s="1" t="s">
        <v>29</v>
      </c>
      <c r="D5" t="s">
        <v>8</v>
      </c>
      <c r="E5">
        <v>68</v>
      </c>
      <c r="F5" s="2" t="s">
        <v>67</v>
      </c>
    </row>
    <row r="6" spans="1:6" x14ac:dyDescent="0.15">
      <c r="A6" s="1" t="s">
        <v>24</v>
      </c>
      <c r="B6" t="s">
        <v>6</v>
      </c>
      <c r="C6" s="1" t="s">
        <v>34</v>
      </c>
      <c r="D6" t="s">
        <v>9</v>
      </c>
      <c r="E6">
        <v>45</v>
      </c>
      <c r="F6" s="2" t="s">
        <v>68</v>
      </c>
    </row>
    <row r="7" spans="1:6" x14ac:dyDescent="0.15">
      <c r="A7" s="1" t="s">
        <v>24</v>
      </c>
      <c r="B7" t="s">
        <v>6</v>
      </c>
      <c r="C7" s="1" t="s">
        <v>33</v>
      </c>
      <c r="D7" t="s">
        <v>4</v>
      </c>
      <c r="E7">
        <v>26</v>
      </c>
      <c r="F7" s="2" t="s">
        <v>68</v>
      </c>
    </row>
    <row r="8" spans="1:6" x14ac:dyDescent="0.15">
      <c r="A8" s="1" t="s">
        <v>28</v>
      </c>
      <c r="B8" t="s">
        <v>11</v>
      </c>
      <c r="C8" s="1" t="s">
        <v>30</v>
      </c>
      <c r="D8" t="s">
        <v>13</v>
      </c>
      <c r="E8">
        <v>50</v>
      </c>
      <c r="F8" s="2" t="s">
        <v>69</v>
      </c>
    </row>
    <row r="9" spans="1:6" x14ac:dyDescent="0.15">
      <c r="A9" s="1" t="s">
        <v>28</v>
      </c>
      <c r="B9" t="s">
        <v>11</v>
      </c>
      <c r="C9" s="1" t="s">
        <v>35</v>
      </c>
      <c r="D9" t="s">
        <v>12</v>
      </c>
      <c r="E9">
        <v>16</v>
      </c>
      <c r="F9" s="2" t="s">
        <v>69</v>
      </c>
    </row>
    <row r="10" spans="1:6" x14ac:dyDescent="0.15">
      <c r="A10" s="1" t="s">
        <v>27</v>
      </c>
      <c r="B10" t="s">
        <v>2</v>
      </c>
      <c r="C10" s="1" t="s">
        <v>36</v>
      </c>
      <c r="D10" t="s">
        <v>5</v>
      </c>
      <c r="E10">
        <v>26</v>
      </c>
      <c r="F10" s="2" t="s">
        <v>70</v>
      </c>
    </row>
    <row r="11" spans="1:6" x14ac:dyDescent="0.15">
      <c r="A11" s="1" t="s">
        <v>27</v>
      </c>
      <c r="B11" t="s">
        <v>2</v>
      </c>
      <c r="C11" s="1" t="s">
        <v>36</v>
      </c>
      <c r="D11" t="s">
        <v>10</v>
      </c>
      <c r="E11">
        <v>32</v>
      </c>
      <c r="F11" s="2" t="s">
        <v>70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I20" sqref="I20"/>
    </sheetView>
  </sheetViews>
  <sheetFormatPr defaultRowHeight="14.25" x14ac:dyDescent="0.15"/>
  <sheetData>
    <row r="1" spans="1:6" x14ac:dyDescent="0.15">
      <c r="A1" t="s">
        <v>38</v>
      </c>
      <c r="B1" t="s">
        <v>39</v>
      </c>
      <c r="C1" t="s">
        <v>40</v>
      </c>
      <c r="D1" t="s">
        <v>41</v>
      </c>
      <c r="E1" t="s">
        <v>65</v>
      </c>
      <c r="F1" t="s">
        <v>66</v>
      </c>
    </row>
    <row r="2" spans="1:6" x14ac:dyDescent="0.15">
      <c r="A2" t="s">
        <v>42</v>
      </c>
      <c r="B2" t="s">
        <v>44</v>
      </c>
      <c r="C2" t="s">
        <v>43</v>
      </c>
      <c r="D2" t="s">
        <v>71</v>
      </c>
      <c r="E2">
        <f>'1月份'!E2+'2月份'!E2+'3月份'!E2</f>
        <v>30</v>
      </c>
      <c r="F2" s="2" t="s">
        <v>67</v>
      </c>
    </row>
    <row r="3" spans="1:6" x14ac:dyDescent="0.15">
      <c r="A3" t="s">
        <v>17</v>
      </c>
      <c r="B3" t="s">
        <v>56</v>
      </c>
      <c r="C3" t="s">
        <v>59</v>
      </c>
      <c r="D3" t="s">
        <v>60</v>
      </c>
      <c r="E3">
        <f>'1月份'!E9+'2月份'!E9+'3月份'!E9</f>
        <v>38</v>
      </c>
      <c r="F3" s="2" t="s">
        <v>69</v>
      </c>
    </row>
    <row r="4" spans="1:6" x14ac:dyDescent="0.15">
      <c r="A4" t="s">
        <v>18</v>
      </c>
      <c r="B4" t="s">
        <v>61</v>
      </c>
      <c r="C4" t="s">
        <v>62</v>
      </c>
      <c r="D4" t="s">
        <v>64</v>
      </c>
      <c r="E4">
        <f>'1月份'!E11+'2月份'!E11+'3月份'!E11</f>
        <v>87</v>
      </c>
      <c r="F4" s="2" t="s">
        <v>70</v>
      </c>
    </row>
    <row r="5" spans="1:6" x14ac:dyDescent="0.15">
      <c r="A5" t="s">
        <v>42</v>
      </c>
      <c r="B5" t="s">
        <v>44</v>
      </c>
      <c r="C5" t="s">
        <v>47</v>
      </c>
      <c r="D5" t="s">
        <v>48</v>
      </c>
      <c r="E5">
        <f>'1月份'!E4+'2月份'!E4+'3月份'!E4</f>
        <v>95</v>
      </c>
      <c r="F5" s="2" t="s">
        <v>67</v>
      </c>
    </row>
    <row r="6" spans="1:6" x14ac:dyDescent="0.15">
      <c r="A6" t="s">
        <v>50</v>
      </c>
      <c r="B6" t="s">
        <v>51</v>
      </c>
      <c r="C6" t="s">
        <v>54</v>
      </c>
      <c r="D6" t="s">
        <v>55</v>
      </c>
      <c r="E6">
        <f>'1月份'!E7+'2月份'!E7+'3月份'!E7</f>
        <v>96</v>
      </c>
      <c r="F6" s="2" t="s">
        <v>68</v>
      </c>
    </row>
    <row r="7" spans="1:6" x14ac:dyDescent="0.15">
      <c r="A7" t="s">
        <v>42</v>
      </c>
      <c r="B7" t="s">
        <v>44</v>
      </c>
      <c r="C7" t="s">
        <v>45</v>
      </c>
      <c r="D7" t="s">
        <v>46</v>
      </c>
      <c r="E7">
        <f>'1月份'!E3+'2月份'!E3+'3月份'!E3</f>
        <v>105</v>
      </c>
      <c r="F7" s="2" t="s">
        <v>67</v>
      </c>
    </row>
    <row r="8" spans="1:6" x14ac:dyDescent="0.15">
      <c r="A8" t="s">
        <v>18</v>
      </c>
      <c r="B8" t="s">
        <v>61</v>
      </c>
      <c r="C8" t="s">
        <v>62</v>
      </c>
      <c r="D8" t="s">
        <v>63</v>
      </c>
      <c r="E8">
        <f>'1月份'!E10+'2月份'!E10+'3月份'!E10</f>
        <v>126</v>
      </c>
      <c r="F8" s="2" t="s">
        <v>70</v>
      </c>
    </row>
    <row r="9" spans="1:6" x14ac:dyDescent="0.15">
      <c r="A9" t="s">
        <v>42</v>
      </c>
      <c r="B9" t="s">
        <v>44</v>
      </c>
      <c r="C9" t="s">
        <v>47</v>
      </c>
      <c r="D9" t="s">
        <v>49</v>
      </c>
      <c r="E9">
        <f>'1月份'!E5+'2月份'!E5+'3月份'!E5</f>
        <v>143</v>
      </c>
      <c r="F9" s="2" t="s">
        <v>67</v>
      </c>
    </row>
    <row r="10" spans="1:6" x14ac:dyDescent="0.15">
      <c r="A10" t="s">
        <v>50</v>
      </c>
      <c r="B10" t="s">
        <v>51</v>
      </c>
      <c r="C10" t="s">
        <v>52</v>
      </c>
      <c r="D10" t="s">
        <v>53</v>
      </c>
      <c r="E10">
        <f>'1月份'!E6+'2月份'!E6+'3月份'!E6</f>
        <v>167</v>
      </c>
      <c r="F10" s="2" t="s">
        <v>68</v>
      </c>
    </row>
    <row r="11" spans="1:6" x14ac:dyDescent="0.15">
      <c r="A11" t="s">
        <v>17</v>
      </c>
      <c r="B11" t="s">
        <v>56</v>
      </c>
      <c r="C11" t="s">
        <v>57</v>
      </c>
      <c r="D11" t="s">
        <v>58</v>
      </c>
      <c r="E11">
        <f>'1月份'!E8+'2月份'!E8+'3月份'!E8</f>
        <v>195</v>
      </c>
      <c r="F11" s="2" t="s">
        <v>69</v>
      </c>
    </row>
  </sheetData>
  <sortState ref="A2:F11">
    <sortCondition ref="E2:E11"/>
  </sortState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P11" sqref="P11"/>
    </sheetView>
  </sheetViews>
  <sheetFormatPr defaultRowHeight="14.25" x14ac:dyDescent="0.15"/>
  <sheetData>
    <row r="1" spans="1:3" ht="22.5" customHeight="1" x14ac:dyDescent="0.15">
      <c r="A1" s="3" t="s">
        <v>22</v>
      </c>
      <c r="B1" s="3"/>
      <c r="C1" s="3"/>
    </row>
    <row r="2" spans="1:3" x14ac:dyDescent="0.15">
      <c r="A2" t="s">
        <v>20</v>
      </c>
      <c r="B2" t="s">
        <v>26</v>
      </c>
      <c r="C2" t="s">
        <v>19</v>
      </c>
    </row>
    <row r="3" spans="1:3" x14ac:dyDescent="0.15">
      <c r="A3" s="1" t="s">
        <v>16</v>
      </c>
      <c r="B3" t="s">
        <v>3</v>
      </c>
      <c r="C3">
        <f>SUMIF(一季度!$B$2:$B$11,B3,一季度!$E$2:$E$11)</f>
        <v>373</v>
      </c>
    </row>
    <row r="4" spans="1:3" x14ac:dyDescent="0.15">
      <c r="A4" s="1" t="s">
        <v>21</v>
      </c>
      <c r="B4" t="s">
        <v>6</v>
      </c>
      <c r="C4">
        <f>SUMIF(一季度!$B$2:$B$11,B4,一季度!$E$2:$E$11)</f>
        <v>263</v>
      </c>
    </row>
    <row r="5" spans="1:3" x14ac:dyDescent="0.15">
      <c r="A5" s="1" t="s">
        <v>17</v>
      </c>
      <c r="B5" t="s">
        <v>11</v>
      </c>
      <c r="C5">
        <f>SUMIF(一季度!$B$2:$B$11,B5,一季度!$E$2:$E$11)</f>
        <v>233</v>
      </c>
    </row>
    <row r="6" spans="1:3" x14ac:dyDescent="0.15">
      <c r="A6" s="1" t="s">
        <v>18</v>
      </c>
      <c r="B6" t="s">
        <v>25</v>
      </c>
      <c r="C6">
        <f>SUMIF(一季度!$B$2:$B$11,B6,一季度!$E$2:$E$11)</f>
        <v>213</v>
      </c>
    </row>
  </sheetData>
  <mergeCells count="1">
    <mergeCell ref="A1:C1"/>
  </mergeCells>
  <phoneticPr fontId="1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"/>
  <sheetViews>
    <sheetView tabSelected="1" workbookViewId="0">
      <selection activeCell="I21" sqref="I21"/>
    </sheetView>
  </sheetViews>
  <sheetFormatPr defaultRowHeight="14.25" x14ac:dyDescent="0.15"/>
  <sheetData>
    <row r="1" spans="2:11" x14ac:dyDescent="0.15">
      <c r="J1" t="s">
        <v>72</v>
      </c>
      <c r="K1" t="s">
        <v>73</v>
      </c>
    </row>
    <row r="2" spans="2:11" x14ac:dyDescent="0.15">
      <c r="B2" t="s">
        <v>38</v>
      </c>
      <c r="C2" t="s">
        <v>39</v>
      </c>
      <c r="D2" t="s">
        <v>40</v>
      </c>
      <c r="E2" t="s">
        <v>41</v>
      </c>
      <c r="F2" t="s">
        <v>65</v>
      </c>
      <c r="G2" t="s">
        <v>66</v>
      </c>
      <c r="J2" t="s">
        <v>74</v>
      </c>
      <c r="K2" t="s">
        <v>75</v>
      </c>
    </row>
    <row r="3" spans="2:11" x14ac:dyDescent="0.15">
      <c r="B3" t="s">
        <v>42</v>
      </c>
      <c r="C3" t="s">
        <v>44</v>
      </c>
      <c r="D3" t="s">
        <v>45</v>
      </c>
      <c r="E3" t="s">
        <v>46</v>
      </c>
      <c r="F3">
        <v>105</v>
      </c>
      <c r="G3" s="2" t="s">
        <v>67</v>
      </c>
    </row>
    <row r="4" spans="2:11" x14ac:dyDescent="0.15">
      <c r="B4" t="s">
        <v>42</v>
      </c>
      <c r="C4" t="s">
        <v>44</v>
      </c>
      <c r="D4" t="s">
        <v>47</v>
      </c>
      <c r="E4" t="s">
        <v>49</v>
      </c>
      <c r="F4">
        <v>143</v>
      </c>
      <c r="G4" s="2" t="s">
        <v>67</v>
      </c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firstPageNumber="100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商品目录</vt:lpstr>
      <vt:lpstr>1月份</vt:lpstr>
      <vt:lpstr>2月份</vt:lpstr>
      <vt:lpstr>3月份</vt:lpstr>
      <vt:lpstr>一季度</vt:lpstr>
      <vt:lpstr>分类统计</vt:lpstr>
      <vt:lpstr>电器</vt:lpstr>
      <vt:lpstr>电器!Criteria</vt:lpstr>
      <vt:lpstr>电器!提取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SD</cp:lastModifiedBy>
  <dcterms:created xsi:type="dcterms:W3CDTF">2001-11-20T10:25:52Z</dcterms:created>
  <dcterms:modified xsi:type="dcterms:W3CDTF">2018-10-17T08:16:15Z</dcterms:modified>
</cp:coreProperties>
</file>