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7515" windowHeight="6030" activeTab="4"/>
  </bookViews>
  <sheets>
    <sheet name="2008" sheetId="1" r:id="rId1"/>
    <sheet name="2009" sheetId="2" r:id="rId2"/>
    <sheet name="差额" sheetId="3" r:id="rId3"/>
    <sheet name="Sheet4" sheetId="5" r:id="rId4"/>
    <sheet name="Sheet5" sheetId="4" r:id="rId5"/>
  </sheets>
  <definedNames>
    <definedName name="_xlnm.Criteria" localSheetId="4">Sheet5!$A$1:$B$2</definedName>
    <definedName name="_xlnm.Extract" localSheetId="4">Sheet5!$B$4:$F$4</definedName>
  </definedNames>
  <calcPr calcId="144525"/>
</workbook>
</file>

<file path=xl/calcChain.xml><?xml version="1.0" encoding="utf-8"?>
<calcChain xmlns="http://schemas.openxmlformats.org/spreadsheetml/2006/main">
  <c r="F9" i="5" l="1"/>
  <c r="F11" i="5"/>
  <c r="F8" i="5"/>
  <c r="F7" i="5"/>
  <c r="F4" i="5"/>
  <c r="F6" i="5"/>
  <c r="F3" i="5"/>
  <c r="F5" i="5"/>
  <c r="F10" i="5"/>
  <c r="C2" i="3"/>
  <c r="D2" i="3"/>
  <c r="E2" i="3"/>
  <c r="F2" i="3"/>
  <c r="G2" i="3"/>
  <c r="H2" i="3"/>
  <c r="I2" i="3"/>
  <c r="J2" i="3"/>
  <c r="K2" i="3"/>
  <c r="L2" i="3"/>
  <c r="M2" i="3"/>
  <c r="B2" i="3"/>
  <c r="C3" i="2"/>
  <c r="D3" i="2"/>
  <c r="E3" i="2"/>
  <c r="F3" i="2"/>
  <c r="G3" i="2"/>
  <c r="H3" i="2"/>
  <c r="I3" i="2"/>
  <c r="J3" i="2"/>
  <c r="K3" i="2"/>
  <c r="L3" i="2"/>
  <c r="M3" i="2"/>
  <c r="B3" i="2"/>
  <c r="C3" i="1" l="1"/>
  <c r="D3" i="1"/>
  <c r="E3" i="1"/>
  <c r="F3" i="1"/>
  <c r="G3" i="1"/>
  <c r="H3" i="1"/>
  <c r="I3" i="1"/>
  <c r="J3" i="1"/>
  <c r="K3" i="1"/>
  <c r="L3" i="1"/>
  <c r="M3" i="1"/>
  <c r="B3" i="1"/>
</calcChain>
</file>

<file path=xl/sharedStrings.xml><?xml version="1.0" encoding="utf-8"?>
<sst xmlns="http://schemas.openxmlformats.org/spreadsheetml/2006/main" count="69" uniqueCount="51">
  <si>
    <t>项目 Item</t>
  </si>
  <si>
    <r>
      <t>一、各项存款</t>
    </r>
    <r>
      <rPr>
        <sz val="10"/>
        <rFont val="Times New Roman"/>
        <family val="1"/>
      </rPr>
      <t xml:space="preserve"> Total Deposits</t>
    </r>
  </si>
  <si>
    <r>
      <t>二、发行金融债券</t>
    </r>
    <r>
      <rPr>
        <sz val="10"/>
        <rFont val="Times New Roman"/>
        <family val="1"/>
      </rPr>
      <t xml:space="preserve"> Financial Bond Issue</t>
    </r>
  </si>
  <si>
    <r>
      <t>四、同业往来</t>
    </r>
    <r>
      <rPr>
        <sz val="10"/>
        <rFont val="Times New Roman"/>
        <family val="1"/>
      </rPr>
      <t xml:space="preserve"> Business with Counterpart</t>
    </r>
  </si>
  <si>
    <r>
      <t>五、其他</t>
    </r>
    <r>
      <rPr>
        <sz val="10"/>
        <rFont val="Times New Roman"/>
        <family val="1"/>
      </rPr>
      <t xml:space="preserve"> Other Items</t>
    </r>
  </si>
  <si>
    <t>三、向中央银行借款</t>
    <phoneticPr fontId="4" type="noConversion"/>
  </si>
  <si>
    <r>
      <t>三、向中央银行借款</t>
    </r>
    <r>
      <rPr>
        <sz val="10"/>
        <rFont val="Times New Roman"/>
        <family val="1"/>
      </rPr>
      <t xml:space="preserve"> </t>
    </r>
    <phoneticPr fontId="4" type="noConversion"/>
  </si>
  <si>
    <t>1.企业活期存款 Demand Deposits</t>
    <phoneticPr fontId="4" type="noConversion"/>
  </si>
  <si>
    <t>2.企业定期存款 Time Deposits</t>
    <phoneticPr fontId="4" type="noConversion"/>
  </si>
  <si>
    <t xml:space="preserve">5.农业存款 Rural Deposits </t>
    <phoneticPr fontId="4" type="noConversion"/>
  </si>
  <si>
    <t>6.其他类存款 Other Deposits</t>
    <phoneticPr fontId="4" type="noConversion"/>
  </si>
  <si>
    <t>1.企业活期存款 Demand Deposits</t>
    <phoneticPr fontId="4" type="noConversion"/>
  </si>
  <si>
    <t>2.企业定期存款 Time Deposits</t>
    <phoneticPr fontId="4" type="noConversion"/>
  </si>
  <si>
    <t xml:space="preserve">5.农业存款 Rural Deposits </t>
    <phoneticPr fontId="4" type="noConversion"/>
  </si>
  <si>
    <r>
      <t>6.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其他类存款 Other Deposits</t>
    </r>
    <phoneticPr fontId="4" type="noConversion"/>
  </si>
  <si>
    <t>一月</t>
    <phoneticPr fontId="4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</si>
  <si>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</si>
  <si>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</si>
  <si>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</si>
  <si>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</si>
  <si>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</si>
  <si>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</si>
  <si>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</si>
  <si>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</si>
  <si>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</si>
  <si>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</si>
  <si>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</si>
  <si>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3.活期储蓄 Demand Deposits</t>
    <phoneticPr fontId="4" type="noConversion"/>
  </si>
  <si>
    <t>4.定期储蓄 Time Deposits</t>
    <phoneticPr fontId="4" type="noConversion"/>
  </si>
  <si>
    <t>天地公司2008年资金往来</t>
    <phoneticPr fontId="4" type="noConversion"/>
  </si>
  <si>
    <t>天地公司2009年资金往来</t>
    <phoneticPr fontId="4" type="noConversion"/>
  </si>
  <si>
    <t>1949年～1990年中国人口增长统计表（万人）</t>
    <phoneticPr fontId="4" type="noConversion"/>
  </si>
  <si>
    <t>年份</t>
    <phoneticPr fontId="4" type="noConversion"/>
  </si>
  <si>
    <t>总人口</t>
    <phoneticPr fontId="4" type="noConversion"/>
  </si>
  <si>
    <t>出生率（‰）</t>
    <phoneticPr fontId="4" type="noConversion"/>
  </si>
  <si>
    <t>死亡率（‰）</t>
    <phoneticPr fontId="4" type="noConversion"/>
  </si>
  <si>
    <t>自然增长率（‰）</t>
    <phoneticPr fontId="4" type="noConversion"/>
  </si>
  <si>
    <t>1949年</t>
    <phoneticPr fontId="4" type="noConversion"/>
  </si>
  <si>
    <t>1957年</t>
    <phoneticPr fontId="4" type="noConversion"/>
  </si>
  <si>
    <t>1965年</t>
    <phoneticPr fontId="4" type="noConversion"/>
  </si>
  <si>
    <t>1970年</t>
    <phoneticPr fontId="4" type="noConversion"/>
  </si>
  <si>
    <t>1975年</t>
    <phoneticPr fontId="4" type="noConversion"/>
  </si>
  <si>
    <r>
      <t>1980</t>
    </r>
    <r>
      <rPr>
        <sz val="12"/>
        <rFont val="宋体"/>
        <charset val="134"/>
      </rPr>
      <t>年</t>
    </r>
    <phoneticPr fontId="4" type="noConversion"/>
  </si>
  <si>
    <t>1982年</t>
    <phoneticPr fontId="4" type="noConversion"/>
  </si>
  <si>
    <t>1985年</t>
    <phoneticPr fontId="4" type="noConversion"/>
  </si>
  <si>
    <t>1990年</t>
    <phoneticPr fontId="4" type="noConversion"/>
  </si>
  <si>
    <t>生率大于20‰且自然增长率低于20‰的中国人口增长统计表（万人）</t>
  </si>
  <si>
    <t>出生率（‰）</t>
    <phoneticPr fontId="8" type="noConversion"/>
  </si>
  <si>
    <t>自然增长率（‰）</t>
    <phoneticPr fontId="8" type="noConversion"/>
  </si>
  <si>
    <t>&gt;20</t>
    <phoneticPr fontId="8" type="noConversion"/>
  </si>
  <si>
    <t>&lt;20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</si>
</sst>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 "/>
  </numFmts>
  <fonts count="9" x14ac:knownFonts="1">
    <font>
      <sz val="12"/>
      <name val="宋体"/>
      <charset val="134"/>
    </font>
    <font>
      <sz val="10"/>
      <name val="Times New Roman"/>
      <family val="1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Arial"/>
      <family val="2"/>
    </font>
    <font>
      <b/>
      <sz val="16"/>
      <color rgb="FF0070C0"/>
      <name val="黑体"/>
      <family val="3"/>
      <charset val="134"/>
    </font>
    <font>
      <b/>
      <sz val="12"/>
      <color rgb="FF00B05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6" fillId="0" borderId="0" xfId="0" applyFont="1" applyAlignment="1">
      <alignment horizontal="centerContinuous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各项存款</a:t>
            </a:r>
            <a:endParaRPr lang="en-US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差额!$A$2</c:f>
              <c:strCache>
                <c:ptCount val="1"/>
                <c:pt idx="0">
                  <c:v>一、各项存款 Total Deposits</c:v>
                </c:pt>
              </c:strCache>
            </c:strRef>
          </c:tx>
          <c:marker>
            <c:symbol val="none"/>
          </c:marker>
          <c:cat>
            <c:strRef>
              <c:f>差额!$B$1:$M$1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差额!$B$2:$M$2</c:f>
              <c:numCache>
                <c:formatCode>General</c:formatCode>
                <c:ptCount val="12"/>
                <c:pt idx="0">
                  <c:v>19778.960000000014</c:v>
                </c:pt>
                <c:pt idx="1">
                  <c:v>20973.01999999999</c:v>
                </c:pt>
                <c:pt idx="2">
                  <c:v>24124.869999999995</c:v>
                </c:pt>
                <c:pt idx="3">
                  <c:v>25628.53</c:v>
                </c:pt>
                <c:pt idx="4">
                  <c:v>27053.489999999991</c:v>
                </c:pt>
                <c:pt idx="5">
                  <c:v>30143.419999999984</c:v>
                </c:pt>
                <c:pt idx="6">
                  <c:v>30140.920000000013</c:v>
                </c:pt>
                <c:pt idx="7">
                  <c:v>27504.26999999999</c:v>
                </c:pt>
                <c:pt idx="8">
                  <c:v>32841.03</c:v>
                </c:pt>
                <c:pt idx="9">
                  <c:v>25766.639999999999</c:v>
                </c:pt>
                <c:pt idx="10">
                  <c:v>29847.160000000018</c:v>
                </c:pt>
                <c:pt idx="11">
                  <c:v>29800.790000000008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99392"/>
        <c:axId val="81101952"/>
      </c:lineChart>
      <c:catAx>
        <c:axId val="81099392"/>
        <c:scaling>
          <c:orientation val="minMax"/>
        </c:scaling>
        <c:delete val="0"/>
        <c:axPos val="b"/>
        <c:majorTickMark val="out"/>
        <c:minorTickMark val="none"/>
        <c:tickLblPos val="nextTo"/>
        <c:crossAx val="81101952"/>
        <c:crosses val="autoZero"/>
        <c:auto val="1"/>
        <c:lblAlgn val="ctr"/>
        <c:lblOffset val="100"/>
        <c:noMultiLvlLbl val="0"/>
      </c:catAx>
      <c:valAx>
        <c:axId val="8110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099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42862</xdr:rowOff>
    </xdr:from>
    <xdr:to>
      <xdr:col>8</xdr:col>
      <xdr:colOff>504825</xdr:colOff>
      <xdr:row>20</xdr:row>
      <xdr:rowOff>71437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M3" sqref="B3:M3"/>
    </sheetView>
  </sheetViews>
  <sheetFormatPr defaultRowHeight="14.25" x14ac:dyDescent="0.15"/>
  <cols>
    <col min="1" max="1" width="35.875" bestFit="1" customWidth="1"/>
  </cols>
  <sheetData>
    <row r="1" spans="1:13" ht="24.95" customHeight="1" x14ac:dyDescent="0.1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15">
      <c r="A2" s="1" t="s">
        <v>0</v>
      </c>
      <c r="B2" s="3">
        <v>2008.01</v>
      </c>
      <c r="C2" s="3">
        <v>2008.02</v>
      </c>
      <c r="D2" s="4">
        <v>2008.03</v>
      </c>
      <c r="E2" s="5">
        <v>2008.04</v>
      </c>
      <c r="F2" s="5">
        <v>2008.05</v>
      </c>
      <c r="G2" s="5">
        <v>2008.06</v>
      </c>
      <c r="H2" s="5">
        <v>2008.07</v>
      </c>
      <c r="I2" s="5">
        <v>2008.08</v>
      </c>
      <c r="J2" s="5">
        <v>2008.09</v>
      </c>
      <c r="K2" s="5">
        <v>2008.1</v>
      </c>
      <c r="L2" s="6">
        <v>2008.11</v>
      </c>
      <c r="M2" s="4">
        <v>2008.12</v>
      </c>
    </row>
    <row r="3" spans="1:13" x14ac:dyDescent="0.15">
      <c r="A3" s="2" t="s">
        <v>1</v>
      </c>
      <c r="B3" s="17">
        <f>SUM(B4:B9)</f>
        <v>64936.419999999991</v>
      </c>
      <c r="C3" s="17">
        <f t="shared" ref="C3:M3" si="0">SUM(C4:C9)</f>
        <v>67249.320000000007</v>
      </c>
      <c r="D3" s="17">
        <f t="shared" si="0"/>
        <v>70355.010000000009</v>
      </c>
      <c r="E3" s="17">
        <f t="shared" si="0"/>
        <v>70968.81</v>
      </c>
      <c r="F3" s="17">
        <f t="shared" si="0"/>
        <v>71794.38</v>
      </c>
      <c r="G3" s="17">
        <f t="shared" si="0"/>
        <v>74411.200000000012</v>
      </c>
      <c r="H3" s="17">
        <f t="shared" si="0"/>
        <v>73092.23</v>
      </c>
      <c r="I3" s="17">
        <f t="shared" si="0"/>
        <v>74969.740000000005</v>
      </c>
      <c r="J3" s="17">
        <f t="shared" si="0"/>
        <v>74006.62</v>
      </c>
      <c r="K3" s="17">
        <f t="shared" si="0"/>
        <v>74510.03</v>
      </c>
      <c r="L3" s="17">
        <f t="shared" si="0"/>
        <v>75677.180000000008</v>
      </c>
      <c r="M3" s="17">
        <f t="shared" si="0"/>
        <v>79752.160000000003</v>
      </c>
    </row>
    <row r="4" spans="1:13" x14ac:dyDescent="0.15">
      <c r="A4" s="2" t="s">
        <v>7</v>
      </c>
      <c r="B4" s="7">
        <v>21840.98</v>
      </c>
      <c r="C4" s="8">
        <v>22395.89</v>
      </c>
      <c r="D4" s="8">
        <v>23102.57</v>
      </c>
      <c r="E4" s="8">
        <v>23155.43</v>
      </c>
      <c r="F4" s="8">
        <v>23452.23</v>
      </c>
      <c r="G4" s="8">
        <v>23679.72</v>
      </c>
      <c r="H4" s="8">
        <v>22760.38</v>
      </c>
      <c r="I4" s="8">
        <v>23314.22</v>
      </c>
      <c r="J4" s="8">
        <v>22295.88</v>
      </c>
      <c r="K4" s="8">
        <v>22630.86</v>
      </c>
      <c r="L4" s="8">
        <v>22726.83</v>
      </c>
      <c r="M4" s="9">
        <v>24535.4</v>
      </c>
    </row>
    <row r="5" spans="1:13" x14ac:dyDescent="0.15">
      <c r="A5" s="2" t="s">
        <v>8</v>
      </c>
      <c r="B5" s="7">
        <v>14612.77</v>
      </c>
      <c r="C5" s="8">
        <v>15224.78</v>
      </c>
      <c r="D5" s="8">
        <v>16710.25</v>
      </c>
      <c r="E5" s="8">
        <v>16713.400000000001</v>
      </c>
      <c r="F5" s="8">
        <v>16616.990000000002</v>
      </c>
      <c r="G5" s="8">
        <v>17498.169999999998</v>
      </c>
      <c r="H5" s="8">
        <v>17303.93</v>
      </c>
      <c r="I5" s="8">
        <v>17736.78</v>
      </c>
      <c r="J5" s="8">
        <v>19120.53</v>
      </c>
      <c r="K5" s="8">
        <v>17873.009999999998</v>
      </c>
      <c r="L5" s="8">
        <v>18362.04</v>
      </c>
      <c r="M5" s="9">
        <v>18884.52</v>
      </c>
    </row>
    <row r="6" spans="1:13" x14ac:dyDescent="0.15">
      <c r="A6" s="2" t="s">
        <v>27</v>
      </c>
      <c r="B6" s="7">
        <v>6047.98</v>
      </c>
      <c r="C6" s="8">
        <v>6270.94</v>
      </c>
      <c r="D6" s="8">
        <v>6299.9</v>
      </c>
      <c r="E6" s="8">
        <v>6121.63</v>
      </c>
      <c r="F6" s="8">
        <v>6108.89</v>
      </c>
      <c r="G6" s="8">
        <v>6409.16</v>
      </c>
      <c r="H6" s="8">
        <v>6201.47</v>
      </c>
      <c r="I6" s="8">
        <v>6228.01</v>
      </c>
      <c r="J6" s="8">
        <v>6355.25</v>
      </c>
      <c r="K6" s="8">
        <v>6328.5</v>
      </c>
      <c r="L6" s="8">
        <v>6306.61</v>
      </c>
      <c r="M6" s="9">
        <v>6926.29</v>
      </c>
    </row>
    <row r="7" spans="1:13" x14ac:dyDescent="0.15">
      <c r="A7" s="2" t="s">
        <v>28</v>
      </c>
      <c r="B7" s="7">
        <v>7037.95</v>
      </c>
      <c r="C7" s="8">
        <v>7694.54</v>
      </c>
      <c r="D7" s="8">
        <v>8270.91</v>
      </c>
      <c r="E7" s="8">
        <v>8516.82</v>
      </c>
      <c r="F7" s="8">
        <v>8610.81</v>
      </c>
      <c r="G7" s="8">
        <v>9025.0400000000009</v>
      </c>
      <c r="H7" s="8">
        <v>9082.7099999999991</v>
      </c>
      <c r="I7" s="8">
        <v>9461.4699999999993</v>
      </c>
      <c r="J7" s="8">
        <v>10160.450000000001</v>
      </c>
      <c r="K7" s="8">
        <v>10317.75</v>
      </c>
      <c r="L7" s="8">
        <v>10821.2</v>
      </c>
      <c r="M7" s="9">
        <v>11519.45</v>
      </c>
    </row>
    <row r="8" spans="1:13" x14ac:dyDescent="0.15">
      <c r="A8" s="2" t="s">
        <v>9</v>
      </c>
      <c r="B8" s="7">
        <v>31.1</v>
      </c>
      <c r="C8" s="8">
        <v>36.549999999999997</v>
      </c>
      <c r="D8" s="8">
        <v>40.340000000000003</v>
      </c>
      <c r="E8" s="8">
        <v>38.049999999999997</v>
      </c>
      <c r="F8" s="8">
        <v>34.409999999999997</v>
      </c>
      <c r="G8" s="8">
        <v>37.5</v>
      </c>
      <c r="H8" s="8">
        <v>33.520000000000003</v>
      </c>
      <c r="I8" s="8">
        <v>38.700000000000003</v>
      </c>
      <c r="J8" s="8">
        <v>32.6</v>
      </c>
      <c r="K8" s="8">
        <v>32.19</v>
      </c>
      <c r="L8" s="8">
        <v>29.73</v>
      </c>
      <c r="M8" s="9">
        <v>35.659999999999997</v>
      </c>
    </row>
    <row r="9" spans="1:13" x14ac:dyDescent="0.15">
      <c r="A9" s="2" t="s">
        <v>10</v>
      </c>
      <c r="B9" s="7">
        <v>15365.64</v>
      </c>
      <c r="C9" s="8">
        <v>15626.62</v>
      </c>
      <c r="D9" s="8">
        <v>15931.04</v>
      </c>
      <c r="E9" s="8">
        <v>16423.48</v>
      </c>
      <c r="F9" s="8">
        <v>16971.05</v>
      </c>
      <c r="G9" s="8">
        <v>17761.61</v>
      </c>
      <c r="H9" s="8">
        <v>17710.22</v>
      </c>
      <c r="I9" s="8">
        <v>18190.560000000001</v>
      </c>
      <c r="J9" s="8">
        <v>16041.91</v>
      </c>
      <c r="K9" s="8">
        <v>17327.72</v>
      </c>
      <c r="L9" s="8">
        <v>17430.77</v>
      </c>
      <c r="M9" s="9">
        <v>17850.84</v>
      </c>
    </row>
    <row r="10" spans="1:13" x14ac:dyDescent="0.15">
      <c r="A10" s="2" t="s">
        <v>2</v>
      </c>
      <c r="B10" s="7">
        <v>1860.78</v>
      </c>
      <c r="C10" s="8">
        <v>1803.6</v>
      </c>
      <c r="D10" s="8">
        <v>1906.45</v>
      </c>
      <c r="E10" s="8">
        <v>1899.49</v>
      </c>
      <c r="F10" s="8">
        <v>1901.11</v>
      </c>
      <c r="G10" s="8">
        <v>1930.61</v>
      </c>
      <c r="H10" s="8">
        <v>1963.91</v>
      </c>
      <c r="I10" s="8">
        <v>2043.12</v>
      </c>
      <c r="J10" s="8">
        <v>2318.41</v>
      </c>
      <c r="K10" s="8">
        <v>2349.58</v>
      </c>
      <c r="L10" s="8">
        <v>2122.02</v>
      </c>
      <c r="M10" s="9">
        <v>2240.02</v>
      </c>
    </row>
    <row r="11" spans="1:13" x14ac:dyDescent="0.15">
      <c r="A11" s="2" t="s">
        <v>6</v>
      </c>
      <c r="B11" s="7">
        <v>1.43</v>
      </c>
      <c r="C11" s="8">
        <v>1.1100000000000001</v>
      </c>
      <c r="D11" s="8">
        <v>0.51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9">
        <v>0</v>
      </c>
    </row>
    <row r="12" spans="1:13" x14ac:dyDescent="0.15">
      <c r="A12" s="2" t="s">
        <v>3</v>
      </c>
      <c r="B12" s="7">
        <v>11556.37</v>
      </c>
      <c r="C12" s="8">
        <v>12557.51</v>
      </c>
      <c r="D12" s="8">
        <v>10372.35</v>
      </c>
      <c r="E12" s="8">
        <v>10993.23</v>
      </c>
      <c r="F12" s="8">
        <v>11118.65</v>
      </c>
      <c r="G12" s="8">
        <v>10036.94</v>
      </c>
      <c r="H12" s="8">
        <v>11573.64</v>
      </c>
      <c r="I12" s="8">
        <v>9572.5</v>
      </c>
      <c r="J12" s="8">
        <v>7494.59</v>
      </c>
      <c r="K12" s="8">
        <v>9472.58</v>
      </c>
      <c r="L12" s="8">
        <v>9930.4</v>
      </c>
      <c r="M12" s="9">
        <v>10482.9</v>
      </c>
    </row>
    <row r="13" spans="1:13" x14ac:dyDescent="0.15">
      <c r="A13" s="2" t="s">
        <v>4</v>
      </c>
      <c r="B13" s="7">
        <v>-2353.77</v>
      </c>
      <c r="C13" s="8">
        <v>-2141.7399999999998</v>
      </c>
      <c r="D13" s="8">
        <v>-4668.25</v>
      </c>
      <c r="E13" s="8">
        <v>-3513.73</v>
      </c>
      <c r="F13" s="8">
        <v>-3328.5</v>
      </c>
      <c r="G13" s="8">
        <v>-3923.98</v>
      </c>
      <c r="H13" s="8">
        <v>-3174.81</v>
      </c>
      <c r="I13" s="8">
        <v>-2695.95</v>
      </c>
      <c r="J13" s="8">
        <v>-1927.89</v>
      </c>
      <c r="K13" s="8">
        <v>-1599.74</v>
      </c>
      <c r="L13" s="8">
        <v>-135.6</v>
      </c>
      <c r="M13" s="9">
        <v>-1160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K19" sqref="K19"/>
    </sheetView>
  </sheetViews>
  <sheetFormatPr defaultRowHeight="14.25" x14ac:dyDescent="0.15"/>
  <cols>
    <col min="1" max="1" width="31.5" bestFit="1" customWidth="1"/>
  </cols>
  <sheetData>
    <row r="1" spans="1:13" x14ac:dyDescent="0.15">
      <c r="A1" t="s">
        <v>30</v>
      </c>
    </row>
    <row r="2" spans="1:13" x14ac:dyDescent="0.15">
      <c r="A2" s="1" t="s">
        <v>0</v>
      </c>
      <c r="B2" s="3">
        <v>2009.01</v>
      </c>
      <c r="C2" s="3">
        <v>2009.02</v>
      </c>
      <c r="D2" s="3">
        <v>2009.03</v>
      </c>
      <c r="E2" s="3">
        <v>2009.04</v>
      </c>
      <c r="F2" s="3">
        <v>2009.05</v>
      </c>
      <c r="G2" s="3">
        <v>2009.06</v>
      </c>
      <c r="H2" s="3">
        <v>2009.07</v>
      </c>
      <c r="I2" s="3">
        <v>2009.08</v>
      </c>
      <c r="J2" s="3">
        <v>2009.09</v>
      </c>
      <c r="K2" s="3">
        <v>2009.1</v>
      </c>
      <c r="L2" s="3">
        <v>2009.11</v>
      </c>
      <c r="M2" s="4">
        <v>2009.12</v>
      </c>
    </row>
    <row r="3" spans="1:13" x14ac:dyDescent="0.15">
      <c r="A3" s="2" t="s">
        <v>1</v>
      </c>
      <c r="B3" s="17">
        <f>SUM(B4:B9)</f>
        <v>84715.38</v>
      </c>
      <c r="C3" s="17">
        <f t="shared" ref="C3:M3" si="0">SUM(C4:C9)</f>
        <v>88222.34</v>
      </c>
      <c r="D3" s="17">
        <f t="shared" si="0"/>
        <v>94479.88</v>
      </c>
      <c r="E3" s="17">
        <f t="shared" si="0"/>
        <v>96597.34</v>
      </c>
      <c r="F3" s="17">
        <f t="shared" si="0"/>
        <v>98847.87</v>
      </c>
      <c r="G3" s="17">
        <f t="shared" si="0"/>
        <v>104554.62</v>
      </c>
      <c r="H3" s="17">
        <f t="shared" si="0"/>
        <v>103233.15000000001</v>
      </c>
      <c r="I3" s="17">
        <f t="shared" si="0"/>
        <v>102474.01</v>
      </c>
      <c r="J3" s="17">
        <f t="shared" si="0"/>
        <v>106847.65</v>
      </c>
      <c r="K3" s="17">
        <f t="shared" si="0"/>
        <v>100276.67</v>
      </c>
      <c r="L3" s="17">
        <f t="shared" si="0"/>
        <v>105524.34000000003</v>
      </c>
      <c r="M3" s="17">
        <f t="shared" si="0"/>
        <v>109552.95000000001</v>
      </c>
    </row>
    <row r="4" spans="1:13" x14ac:dyDescent="0.15">
      <c r="A4" s="2" t="s">
        <v>11</v>
      </c>
      <c r="B4" s="8">
        <v>22596.99</v>
      </c>
      <c r="C4" s="8">
        <v>23695.89</v>
      </c>
      <c r="D4" s="8">
        <v>25956.06</v>
      </c>
      <c r="E4" s="8">
        <v>26061.919999999998</v>
      </c>
      <c r="F4" s="8">
        <v>27260.5</v>
      </c>
      <c r="G4" s="8">
        <v>30674.12</v>
      </c>
      <c r="H4" s="8">
        <v>30818.67</v>
      </c>
      <c r="I4" s="8">
        <v>31493.69</v>
      </c>
      <c r="J4" s="8">
        <v>31928.12</v>
      </c>
      <c r="K4" s="8">
        <v>32666.98</v>
      </c>
      <c r="L4" s="8">
        <v>33586.54</v>
      </c>
      <c r="M4" s="9">
        <v>35476.410000000003</v>
      </c>
    </row>
    <row r="5" spans="1:13" x14ac:dyDescent="0.15">
      <c r="A5" s="2" t="s">
        <v>12</v>
      </c>
      <c r="B5" s="8">
        <v>20153.84</v>
      </c>
      <c r="C5" s="8">
        <v>19876.5</v>
      </c>
      <c r="D5" s="8">
        <v>21237.22</v>
      </c>
      <c r="E5" s="8">
        <v>22051</v>
      </c>
      <c r="F5" s="8">
        <v>22485.1</v>
      </c>
      <c r="G5" s="8">
        <v>23454.83</v>
      </c>
      <c r="H5" s="8">
        <v>23096.28</v>
      </c>
      <c r="I5" s="8">
        <v>23479.56</v>
      </c>
      <c r="J5" s="8">
        <v>26238.77</v>
      </c>
      <c r="K5" s="8">
        <v>24684.720000000001</v>
      </c>
      <c r="L5" s="8">
        <v>24897.93</v>
      </c>
      <c r="M5" s="9">
        <v>25757.62</v>
      </c>
    </row>
    <row r="6" spans="1:13" x14ac:dyDescent="0.15">
      <c r="A6" s="2" t="s">
        <v>27</v>
      </c>
      <c r="B6" s="8">
        <v>7286.59</v>
      </c>
      <c r="C6" s="8">
        <v>7300.51</v>
      </c>
      <c r="D6" s="8">
        <v>7569.74</v>
      </c>
      <c r="E6" s="8">
        <v>7521.2</v>
      </c>
      <c r="F6" s="8">
        <v>7594.17</v>
      </c>
      <c r="G6" s="8">
        <v>7939.79</v>
      </c>
      <c r="H6" s="8">
        <v>7736.97</v>
      </c>
      <c r="I6" s="8">
        <v>7760.43</v>
      </c>
      <c r="J6" s="8">
        <v>8619.7000000000007</v>
      </c>
      <c r="K6" s="8">
        <v>8231.44</v>
      </c>
      <c r="L6" s="8">
        <v>8280.2900000000009</v>
      </c>
      <c r="M6" s="9">
        <v>9372.3799999999992</v>
      </c>
    </row>
    <row r="7" spans="1:13" x14ac:dyDescent="0.15">
      <c r="A7" s="2" t="s">
        <v>28</v>
      </c>
      <c r="B7" s="8">
        <v>12681.95</v>
      </c>
      <c r="C7" s="8">
        <v>13268.92</v>
      </c>
      <c r="D7" s="8">
        <v>13805.6</v>
      </c>
      <c r="E7" s="8">
        <v>14076.81</v>
      </c>
      <c r="F7" s="8">
        <v>14307.85</v>
      </c>
      <c r="G7" s="8">
        <v>14496.82</v>
      </c>
      <c r="H7" s="8">
        <v>14182.16</v>
      </c>
      <c r="I7" s="8">
        <v>14027.9</v>
      </c>
      <c r="J7" s="8">
        <v>15044.61</v>
      </c>
      <c r="K7" s="8">
        <v>14377.61</v>
      </c>
      <c r="L7" s="8">
        <v>14149.58</v>
      </c>
      <c r="M7" s="9">
        <v>14762.08</v>
      </c>
    </row>
    <row r="8" spans="1:13" x14ac:dyDescent="0.15">
      <c r="A8" s="2" t="s">
        <v>13</v>
      </c>
      <c r="B8" s="8">
        <v>30.54</v>
      </c>
      <c r="C8" s="8">
        <v>29.45</v>
      </c>
      <c r="D8" s="8">
        <v>34.520000000000003</v>
      </c>
      <c r="E8" s="8">
        <v>64.16</v>
      </c>
      <c r="F8" s="8">
        <v>33.619999999999997</v>
      </c>
      <c r="G8" s="8">
        <v>34.049999999999997</v>
      </c>
      <c r="H8" s="8">
        <v>45.74</v>
      </c>
      <c r="I8" s="8">
        <v>37.4</v>
      </c>
      <c r="J8" s="8">
        <v>39.020000000000003</v>
      </c>
      <c r="K8" s="8">
        <v>43.47</v>
      </c>
      <c r="L8" s="8">
        <v>60.71</v>
      </c>
      <c r="M8" s="9">
        <v>60.27</v>
      </c>
    </row>
    <row r="9" spans="1:13" x14ac:dyDescent="0.15">
      <c r="A9" s="2" t="s">
        <v>14</v>
      </c>
      <c r="B9" s="8">
        <v>21965.47</v>
      </c>
      <c r="C9" s="8">
        <v>24051.07</v>
      </c>
      <c r="D9" s="8">
        <v>25876.74</v>
      </c>
      <c r="E9" s="8">
        <v>26822.25</v>
      </c>
      <c r="F9" s="8">
        <v>27166.63</v>
      </c>
      <c r="G9" s="8">
        <v>27955.01</v>
      </c>
      <c r="H9" s="8">
        <v>27353.33</v>
      </c>
      <c r="I9" s="8">
        <v>25675.03</v>
      </c>
      <c r="J9" s="8">
        <v>24977.43</v>
      </c>
      <c r="K9" s="8">
        <v>20272.45</v>
      </c>
      <c r="L9" s="8">
        <v>24549.29</v>
      </c>
      <c r="M9" s="9">
        <v>24124.19</v>
      </c>
    </row>
    <row r="10" spans="1:13" x14ac:dyDescent="0.15">
      <c r="A10" s="2" t="s">
        <v>2</v>
      </c>
      <c r="B10" s="8">
        <v>2445.0300000000002</v>
      </c>
      <c r="C10" s="8">
        <v>2430.6999999999998</v>
      </c>
      <c r="D10" s="8">
        <v>2427.36</v>
      </c>
      <c r="E10" s="8">
        <v>2458.4499999999998</v>
      </c>
      <c r="F10" s="8">
        <v>2369.2399999999998</v>
      </c>
      <c r="G10" s="8">
        <v>2374.91</v>
      </c>
      <c r="H10" s="8">
        <v>2417.61</v>
      </c>
      <c r="I10" s="8">
        <v>2386.66</v>
      </c>
      <c r="J10" s="8">
        <v>2499.3000000000002</v>
      </c>
      <c r="K10" s="8">
        <v>2499.85</v>
      </c>
      <c r="L10" s="8">
        <v>2446.5300000000002</v>
      </c>
      <c r="M10" s="9">
        <v>2382.65</v>
      </c>
    </row>
    <row r="11" spans="1:13" x14ac:dyDescent="0.15">
      <c r="A11" s="2" t="s">
        <v>5</v>
      </c>
      <c r="B11" s="8">
        <v>0.59</v>
      </c>
      <c r="C11" s="8">
        <v>0.23</v>
      </c>
      <c r="D11" s="8">
        <v>0.9</v>
      </c>
      <c r="E11" s="8">
        <v>1.01</v>
      </c>
      <c r="F11" s="8">
        <v>0.6</v>
      </c>
      <c r="G11" s="8">
        <v>0.68</v>
      </c>
      <c r="H11" s="8">
        <v>0.08</v>
      </c>
      <c r="I11" s="8">
        <v>0.08</v>
      </c>
      <c r="J11" s="8">
        <v>0.11</v>
      </c>
      <c r="K11" s="8">
        <v>0.11</v>
      </c>
      <c r="L11" s="8">
        <v>0.63</v>
      </c>
      <c r="M11" s="9">
        <v>1</v>
      </c>
    </row>
    <row r="12" spans="1:13" x14ac:dyDescent="0.15">
      <c r="A12" s="2" t="s">
        <v>3</v>
      </c>
      <c r="B12" s="8">
        <v>8608.83</v>
      </c>
      <c r="C12" s="8">
        <v>9113.25</v>
      </c>
      <c r="D12" s="8">
        <v>8962.25</v>
      </c>
      <c r="E12" s="8">
        <v>9963.1200000000008</v>
      </c>
      <c r="F12" s="8">
        <v>10022.07</v>
      </c>
      <c r="G12" s="8">
        <v>10683.75</v>
      </c>
      <c r="H12" s="8">
        <v>12306.62</v>
      </c>
      <c r="I12" s="8">
        <v>12226.41</v>
      </c>
      <c r="J12" s="8">
        <v>10711.83</v>
      </c>
      <c r="K12" s="8">
        <v>12068.57</v>
      </c>
      <c r="L12" s="8">
        <v>12996.06</v>
      </c>
      <c r="M12" s="9">
        <v>12611.64</v>
      </c>
    </row>
    <row r="13" spans="1:13" x14ac:dyDescent="0.15">
      <c r="A13" s="2" t="s">
        <v>4</v>
      </c>
      <c r="B13" s="8">
        <v>-533.79</v>
      </c>
      <c r="C13" s="8">
        <v>-1219.6500000000001</v>
      </c>
      <c r="D13" s="8">
        <v>-2333.02</v>
      </c>
      <c r="E13" s="8">
        <v>-3771.59</v>
      </c>
      <c r="F13" s="8">
        <v>-3399.45</v>
      </c>
      <c r="G13" s="8">
        <v>-2914.19</v>
      </c>
      <c r="H13" s="8">
        <v>-2505.42</v>
      </c>
      <c r="I13" s="8">
        <v>-2274.67</v>
      </c>
      <c r="J13" s="8">
        <v>-2040.03</v>
      </c>
      <c r="K13" s="8">
        <v>-1923.21</v>
      </c>
      <c r="L13" s="8">
        <v>-2836.97</v>
      </c>
      <c r="M13" s="9">
        <v>-3478.02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L16" sqref="L16"/>
    </sheetView>
  </sheetViews>
  <sheetFormatPr defaultRowHeight="14.25" x14ac:dyDescent="0.15"/>
  <cols>
    <col min="1" max="1" width="31.5" bestFit="1" customWidth="1"/>
  </cols>
  <sheetData>
    <row r="1" spans="1:13" x14ac:dyDescent="0.1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15">
      <c r="A2" s="10" t="s">
        <v>1</v>
      </c>
      <c r="B2" s="11">
        <f>'2009'!B3-'2008'!B3</f>
        <v>19778.960000000014</v>
      </c>
      <c r="C2" s="11">
        <f>'2009'!C3-'2008'!C3</f>
        <v>20973.01999999999</v>
      </c>
      <c r="D2" s="11">
        <f>'2009'!D3-'2008'!D3</f>
        <v>24124.869999999995</v>
      </c>
      <c r="E2" s="11">
        <f>'2009'!E3-'2008'!E3</f>
        <v>25628.53</v>
      </c>
      <c r="F2" s="11">
        <f>'2009'!F3-'2008'!F3</f>
        <v>27053.489999999991</v>
      </c>
      <c r="G2" s="11">
        <f>'2009'!G3-'2008'!G3</f>
        <v>30143.419999999984</v>
      </c>
      <c r="H2" s="11">
        <f>'2009'!H3-'2008'!H3</f>
        <v>30140.920000000013</v>
      </c>
      <c r="I2" s="11">
        <f>'2009'!I3-'2008'!I3</f>
        <v>27504.26999999999</v>
      </c>
      <c r="J2" s="11">
        <f>'2009'!J3-'2008'!J3</f>
        <v>32841.03</v>
      </c>
      <c r="K2" s="11">
        <f>'2009'!K3-'2008'!K3</f>
        <v>25766.639999999999</v>
      </c>
      <c r="L2" s="11">
        <f>'2009'!L3-'2008'!L3</f>
        <v>29847.160000000018</v>
      </c>
      <c r="M2" s="11">
        <f>'2009'!M3-'2008'!M3</f>
        <v>29800.790000000008</v>
      </c>
    </row>
  </sheetData>
  <phoneticPr fontId="4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workbookViewId="0">
      <selection activeCell="I23" sqref="I23"/>
    </sheetView>
  </sheetViews>
  <sheetFormatPr defaultRowHeight="14.25" x14ac:dyDescent="0.15"/>
  <cols>
    <col min="2" max="2" width="7.5" bestFit="1" customWidth="1"/>
    <col min="3" max="3" width="8.5" bestFit="1" customWidth="1"/>
    <col min="4" max="5" width="13.875" bestFit="1" customWidth="1"/>
    <col min="6" max="6" width="18.375" bestFit="1" customWidth="1"/>
  </cols>
  <sheetData>
    <row r="1" spans="2:6" x14ac:dyDescent="0.15">
      <c r="B1" s="15" t="s">
        <v>31</v>
      </c>
      <c r="C1" s="15"/>
      <c r="D1" s="15"/>
      <c r="E1" s="15"/>
      <c r="F1" s="15"/>
    </row>
    <row r="2" spans="2:6" x14ac:dyDescent="0.15">
      <c r="B2" s="12" t="s">
        <v>32</v>
      </c>
      <c r="C2" s="12" t="s">
        <v>33</v>
      </c>
      <c r="D2" s="12" t="s">
        <v>34</v>
      </c>
      <c r="E2" s="12" t="s">
        <v>35</v>
      </c>
      <c r="F2" s="12" t="s">
        <v>36</v>
      </c>
    </row>
    <row r="3" spans="2:6" x14ac:dyDescent="0.15">
      <c r="B3" s="13" t="s">
        <v>44</v>
      </c>
      <c r="C3" s="13">
        <v>104532</v>
      </c>
      <c r="D3" s="12">
        <v>17.8</v>
      </c>
      <c r="E3" s="12">
        <v>6.6</v>
      </c>
      <c r="F3" s="12">
        <f>D3-E3</f>
        <v>11.200000000000001</v>
      </c>
    </row>
    <row r="4" spans="2:6" x14ac:dyDescent="0.15">
      <c r="B4" s="13" t="s">
        <v>42</v>
      </c>
      <c r="C4" s="13">
        <v>98705</v>
      </c>
      <c r="D4" s="12">
        <v>18.21</v>
      </c>
      <c r="E4" s="12">
        <v>6.31</v>
      </c>
      <c r="F4" s="12">
        <f>D4-E4</f>
        <v>11.900000000000002</v>
      </c>
    </row>
    <row r="5" spans="2:6" x14ac:dyDescent="0.15">
      <c r="B5" s="13" t="s">
        <v>45</v>
      </c>
      <c r="C5" s="13">
        <v>113363</v>
      </c>
      <c r="D5" s="12">
        <v>20.98</v>
      </c>
      <c r="E5" s="12">
        <v>6.28</v>
      </c>
      <c r="F5" s="12">
        <f>D5-E5</f>
        <v>14.7</v>
      </c>
    </row>
    <row r="6" spans="2:6" x14ac:dyDescent="0.15">
      <c r="B6" s="13" t="s">
        <v>43</v>
      </c>
      <c r="C6" s="13">
        <v>101541</v>
      </c>
      <c r="D6" s="12">
        <v>21.09</v>
      </c>
      <c r="E6" s="12">
        <v>6.6</v>
      </c>
      <c r="F6" s="12">
        <f>D6-E6</f>
        <v>14.49</v>
      </c>
    </row>
    <row r="7" spans="2:6" x14ac:dyDescent="0.15">
      <c r="B7" s="13" t="s">
        <v>41</v>
      </c>
      <c r="C7" s="13">
        <v>92420</v>
      </c>
      <c r="D7" s="12">
        <v>23.01</v>
      </c>
      <c r="E7" s="12">
        <v>7.32</v>
      </c>
      <c r="F7" s="12">
        <f>D7-E7</f>
        <v>15.690000000000001</v>
      </c>
    </row>
    <row r="8" spans="2:6" x14ac:dyDescent="0.15">
      <c r="B8" s="13" t="s">
        <v>40</v>
      </c>
      <c r="C8" s="13">
        <v>82992</v>
      </c>
      <c r="D8" s="12">
        <v>33.43</v>
      </c>
      <c r="E8" s="12">
        <v>7.6</v>
      </c>
      <c r="F8" s="12">
        <f>D8-E8</f>
        <v>25.83</v>
      </c>
    </row>
    <row r="9" spans="2:6" x14ac:dyDescent="0.15">
      <c r="B9" s="13" t="s">
        <v>38</v>
      </c>
      <c r="C9" s="13">
        <v>64653</v>
      </c>
      <c r="D9" s="12">
        <v>34.03</v>
      </c>
      <c r="E9" s="12">
        <v>10.8</v>
      </c>
      <c r="F9" s="12">
        <f>D9-E9</f>
        <v>23.23</v>
      </c>
    </row>
    <row r="10" spans="2:6" x14ac:dyDescent="0.15">
      <c r="B10" s="13" t="s">
        <v>37</v>
      </c>
      <c r="C10" s="13">
        <v>54167</v>
      </c>
      <c r="D10" s="12">
        <v>36</v>
      </c>
      <c r="E10" s="12">
        <v>20</v>
      </c>
      <c r="F10" s="12">
        <f>D10-E10</f>
        <v>16</v>
      </c>
    </row>
    <row r="11" spans="2:6" x14ac:dyDescent="0.15">
      <c r="B11" s="13" t="s">
        <v>39</v>
      </c>
      <c r="C11" s="13">
        <v>72538</v>
      </c>
      <c r="D11" s="12">
        <v>37.880000000000003</v>
      </c>
      <c r="E11" s="12">
        <v>9.5</v>
      </c>
      <c r="F11" s="12">
        <f>D11-E11</f>
        <v>28.380000000000003</v>
      </c>
    </row>
  </sheetData>
  <sortState ref="B3:F11">
    <sortCondition ref="D3:D11"/>
  </sortState>
  <mergeCells count="1">
    <mergeCell ref="B1:F1"/>
  </mergeCells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23" sqref="F23"/>
    </sheetView>
  </sheetViews>
  <sheetFormatPr defaultRowHeight="14.25" x14ac:dyDescent="0.15"/>
  <cols>
    <col min="1" max="9" width="15.5" customWidth="1"/>
  </cols>
  <sheetData>
    <row r="1" spans="1:6" x14ac:dyDescent="0.15">
      <c r="A1" s="12" t="s">
        <v>47</v>
      </c>
      <c r="B1" s="12" t="s">
        <v>48</v>
      </c>
    </row>
    <row r="2" spans="1:6" x14ac:dyDescent="0.15">
      <c r="A2" t="s">
        <v>49</v>
      </c>
      <c r="B2" t="s">
        <v>50</v>
      </c>
    </row>
    <row r="3" spans="1:6" ht="21" customHeight="1" x14ac:dyDescent="0.15">
      <c r="B3" s="16" t="s">
        <v>46</v>
      </c>
      <c r="C3" s="16"/>
      <c r="D3" s="16"/>
      <c r="E3" s="16"/>
      <c r="F3" s="16"/>
    </row>
    <row r="4" spans="1:6" x14ac:dyDescent="0.15"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</row>
    <row r="5" spans="1:6" x14ac:dyDescent="0.15">
      <c r="B5" s="13" t="s">
        <v>45</v>
      </c>
      <c r="C5" s="13">
        <v>113363</v>
      </c>
      <c r="D5" s="12">
        <v>20.98</v>
      </c>
      <c r="E5" s="12">
        <v>6.28</v>
      </c>
      <c r="F5" s="12">
        <v>14.7</v>
      </c>
    </row>
    <row r="6" spans="1:6" x14ac:dyDescent="0.15">
      <c r="B6" s="13" t="s">
        <v>43</v>
      </c>
      <c r="C6" s="13">
        <v>101541</v>
      </c>
      <c r="D6" s="12">
        <v>21.09</v>
      </c>
      <c r="E6" s="12">
        <v>6.6</v>
      </c>
      <c r="F6" s="12">
        <v>14.49</v>
      </c>
    </row>
    <row r="7" spans="1:6" x14ac:dyDescent="0.15">
      <c r="B7" s="13" t="s">
        <v>41</v>
      </c>
      <c r="C7" s="13">
        <v>92420</v>
      </c>
      <c r="D7" s="12">
        <v>23.01</v>
      </c>
      <c r="E7" s="12">
        <v>7.32</v>
      </c>
      <c r="F7" s="12">
        <v>15.690000000000001</v>
      </c>
    </row>
    <row r="8" spans="1:6" x14ac:dyDescent="0.15">
      <c r="B8" s="13" t="s">
        <v>37</v>
      </c>
      <c r="C8" s="13">
        <v>54167</v>
      </c>
      <c r="D8" s="12">
        <v>36</v>
      </c>
      <c r="E8" s="12">
        <v>20</v>
      </c>
      <c r="F8" s="12">
        <v>16</v>
      </c>
    </row>
  </sheetData>
  <mergeCells count="1">
    <mergeCell ref="B3:F3"/>
  </mergeCells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2008</vt:lpstr>
      <vt:lpstr>2009</vt:lpstr>
      <vt:lpstr>差额</vt:lpstr>
      <vt:lpstr>Sheet4</vt:lpstr>
      <vt:lpstr>Sheet5</vt:lpstr>
      <vt:lpstr>Sheet5!Criteria</vt:lpstr>
      <vt:lpstr>Sheet5!提取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2010-07-11T02:58:55Z</dcterms:created>
  <dcterms:modified xsi:type="dcterms:W3CDTF">2018-10-22T05:40:18Z</dcterms:modified>
</cp:coreProperties>
</file>