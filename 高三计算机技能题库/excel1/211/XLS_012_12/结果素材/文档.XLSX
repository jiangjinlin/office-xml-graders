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3"/>
  </bookViews>
  <sheets>
    <sheet name="Sheet1" sheetId="1" r:id="rId1"/>
    <sheet name="Sheet2" sheetId="2" r:id="rId2"/>
    <sheet name="筛选" sheetId="3" r:id="rId3"/>
    <sheet name="Chart1" sheetId="5" r:id="rId4"/>
    <sheet name="等级" sheetId="4" r:id="rId5"/>
  </sheets>
  <definedNames>
    <definedName name="_xlnm.Criteria" localSheetId="2">筛选!$A$1:$B$3</definedName>
    <definedName name="_xlnm.Extract" localSheetId="2">筛选!$B$6:$K$6</definedName>
  </definedNames>
  <calcPr calcId="144525"/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" i="2"/>
  <c r="J25" i="1"/>
  <c r="J26" i="1"/>
  <c r="J27" i="1"/>
  <c r="J28" i="1"/>
  <c r="J2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3" i="1"/>
</calcChain>
</file>

<file path=xl/sharedStrings.xml><?xml version="1.0" encoding="utf-8"?>
<sst xmlns="http://schemas.openxmlformats.org/spreadsheetml/2006/main" count="233" uniqueCount="108">
  <si>
    <t>学号</t>
  </si>
  <si>
    <t>姓名</t>
  </si>
  <si>
    <t>语文</t>
  </si>
  <si>
    <t>数学</t>
  </si>
  <si>
    <t>英语</t>
  </si>
  <si>
    <t>刘立</t>
  </si>
  <si>
    <t>孙思思</t>
  </si>
  <si>
    <t>张平</t>
  </si>
  <si>
    <t>赵露</t>
  </si>
  <si>
    <t>耿秋文</t>
  </si>
  <si>
    <t>聂文景</t>
  </si>
  <si>
    <t>c20118</t>
    <phoneticPr fontId="1" type="noConversion"/>
  </si>
  <si>
    <t>c11310</t>
    <phoneticPr fontId="1" type="noConversion"/>
  </si>
  <si>
    <t>c31306</t>
    <phoneticPr fontId="1" type="noConversion"/>
  </si>
  <si>
    <t>c11312</t>
    <phoneticPr fontId="1" type="noConversion"/>
  </si>
  <si>
    <t>c11304</t>
    <phoneticPr fontId="1" type="noConversion"/>
  </si>
  <si>
    <t>c11303</t>
    <phoneticPr fontId="1" type="noConversion"/>
  </si>
  <si>
    <t>c21312</t>
    <phoneticPr fontId="1" type="noConversion"/>
  </si>
  <si>
    <t>c11306</t>
    <phoneticPr fontId="1" type="noConversion"/>
  </si>
  <si>
    <t>c11302</t>
    <phoneticPr fontId="1" type="noConversion"/>
  </si>
  <si>
    <t>c21326</t>
    <phoneticPr fontId="1" type="noConversion"/>
  </si>
  <si>
    <t>c31305</t>
    <phoneticPr fontId="1" type="noConversion"/>
  </si>
  <si>
    <t>c11309</t>
    <phoneticPr fontId="1" type="noConversion"/>
  </si>
  <si>
    <t>c11311</t>
    <phoneticPr fontId="1" type="noConversion"/>
  </si>
  <si>
    <t>c21320</t>
    <phoneticPr fontId="1" type="noConversion"/>
  </si>
  <si>
    <t>c31322</t>
    <phoneticPr fontId="1" type="noConversion"/>
  </si>
  <si>
    <t>c11367</t>
    <phoneticPr fontId="1" type="noConversion"/>
  </si>
  <si>
    <t>c11362</t>
    <phoneticPr fontId="1" type="noConversion"/>
  </si>
  <si>
    <t>c21366</t>
    <phoneticPr fontId="1" type="noConversion"/>
  </si>
  <si>
    <t>c31315</t>
    <phoneticPr fontId="1" type="noConversion"/>
  </si>
  <si>
    <t>c31328</t>
    <phoneticPr fontId="1" type="noConversion"/>
  </si>
  <si>
    <t>c21329</t>
    <phoneticPr fontId="1" type="noConversion"/>
  </si>
  <si>
    <t>c11305</t>
    <phoneticPr fontId="1" type="noConversion"/>
  </si>
  <si>
    <t>孙晓</t>
  </si>
  <si>
    <t>李南</t>
  </si>
  <si>
    <t>王红云</t>
  </si>
  <si>
    <t>胡东</t>
  </si>
  <si>
    <t>刘可</t>
  </si>
  <si>
    <t>董艺</t>
  </si>
  <si>
    <t>艾歌</t>
  </si>
  <si>
    <t>张一清</t>
  </si>
  <si>
    <t>东方一亮</t>
  </si>
  <si>
    <t>汪凌寒</t>
  </si>
  <si>
    <t>张三</t>
  </si>
  <si>
    <t>周晶花</t>
  </si>
  <si>
    <t>李明</t>
  </si>
  <si>
    <t>王涛</t>
  </si>
  <si>
    <t>黄成益</t>
    <phoneticPr fontId="1" type="noConversion"/>
  </si>
  <si>
    <t>刘千益</t>
    <phoneticPr fontId="1" type="noConversion"/>
  </si>
  <si>
    <t>刘之涵</t>
    <phoneticPr fontId="1" type="noConversion"/>
  </si>
  <si>
    <t>施雨伶</t>
    <phoneticPr fontId="1" type="noConversion"/>
  </si>
  <si>
    <t>李和蔚</t>
    <phoneticPr fontId="1" type="noConversion"/>
  </si>
  <si>
    <t>施成博</t>
    <phoneticPr fontId="1" type="noConversion"/>
  </si>
  <si>
    <t>邵天一</t>
    <phoneticPr fontId="1" type="noConversion"/>
  </si>
  <si>
    <t>c11366</t>
    <phoneticPr fontId="1" type="noConversion"/>
  </si>
  <si>
    <t>c21355</t>
    <phoneticPr fontId="1" type="noConversion"/>
  </si>
  <si>
    <t>c31320</t>
    <phoneticPr fontId="1" type="noConversion"/>
  </si>
  <si>
    <t>物理</t>
    <phoneticPr fontId="1" type="noConversion"/>
  </si>
  <si>
    <t>化学</t>
    <phoneticPr fontId="1" type="noConversion"/>
  </si>
  <si>
    <t>政治</t>
    <phoneticPr fontId="1" type="noConversion"/>
  </si>
  <si>
    <t>历史</t>
    <phoneticPr fontId="1" type="noConversion"/>
  </si>
  <si>
    <t>语数英总分</t>
    <phoneticPr fontId="1" type="noConversion"/>
  </si>
  <si>
    <t>c21350</t>
    <phoneticPr fontId="1" type="noConversion"/>
  </si>
  <si>
    <t>学生成绩统计</t>
  </si>
  <si>
    <t>政治</t>
  </si>
  <si>
    <t>物理</t>
  </si>
  <si>
    <t>化学</t>
  </si>
  <si>
    <t>历史</t>
  </si>
  <si>
    <t>语数英总分</t>
  </si>
  <si>
    <t>c11310</t>
  </si>
  <si>
    <t>c31306</t>
  </si>
  <si>
    <t>c11312</t>
  </si>
  <si>
    <t>c11304</t>
  </si>
  <si>
    <t>c31305</t>
  </si>
  <si>
    <t>c11303</t>
  </si>
  <si>
    <t>c21312</t>
  </si>
  <si>
    <t>c11306</t>
  </si>
  <si>
    <t>c11302</t>
  </si>
  <si>
    <t>c20118</t>
  </si>
  <si>
    <t>c21326</t>
  </si>
  <si>
    <t>c11309</t>
  </si>
  <si>
    <t>c11311</t>
  </si>
  <si>
    <t>c21320</t>
  </si>
  <si>
    <t>c31322</t>
  </si>
  <si>
    <t>c11367</t>
  </si>
  <si>
    <t>c11362</t>
  </si>
  <si>
    <t>c21350</t>
  </si>
  <si>
    <t>c21366</t>
  </si>
  <si>
    <t>c31315</t>
  </si>
  <si>
    <t>黄成益</t>
  </si>
  <si>
    <t>c31328</t>
  </si>
  <si>
    <t>刘千益</t>
  </si>
  <si>
    <t>c21329</t>
  </si>
  <si>
    <t>刘之涵</t>
  </si>
  <si>
    <t>c11305</t>
  </si>
  <si>
    <t>施雨伶</t>
  </si>
  <si>
    <t>c11366</t>
  </si>
  <si>
    <t>李和蔚</t>
  </si>
  <si>
    <t>c21355</t>
  </si>
  <si>
    <t>施成博</t>
  </si>
  <si>
    <t>c31320</t>
  </si>
  <si>
    <t>邵天一</t>
  </si>
  <si>
    <t>代码</t>
  </si>
  <si>
    <t>语文</t>
    <phoneticPr fontId="1" type="noConversion"/>
  </si>
  <si>
    <r>
      <t>&gt;</t>
    </r>
    <r>
      <rPr>
        <sz val="12"/>
        <rFont val="宋体"/>
        <family val="3"/>
        <charset val="134"/>
      </rPr>
      <t>120</t>
    </r>
    <phoneticPr fontId="1" type="noConversion"/>
  </si>
  <si>
    <t>数学</t>
    <phoneticPr fontId="1" type="noConversion"/>
  </si>
  <si>
    <r>
      <t>&gt;</t>
    </r>
    <r>
      <rPr>
        <sz val="12"/>
        <rFont val="宋体"/>
        <family val="3"/>
        <charset val="134"/>
      </rPr>
      <t>130</t>
    </r>
    <phoneticPr fontId="1" type="noConversion"/>
  </si>
  <si>
    <t>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</si>
</sst>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8"/>
      <color rgb="FFFFC000"/>
      <name val="华文中宋"/>
      <family val="3"/>
      <charset val="134"/>
    </font>
    <font>
      <sz val="12"/>
      <color rgb="FFFFC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ck">
        <color rgb="FFFF000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ck">
        <color rgb="FFFF000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ck">
        <color rgb="FFFF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 applyAlignment="1">
      <alignment horizontal="center"/>
    </xf>
    <xf numFmtId="1" fontId="0" fillId="0" borderId="9" xfId="0" applyNumberFormat="1" applyBorder="1"/>
    <xf numFmtId="0" fontId="5" fillId="0" borderId="0" xfId="0" applyFont="1"/>
    <xf numFmtId="0" fontId="3" fillId="2" borderId="10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Continuous"/>
    </xf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" fontId="0" fillId="2" borderId="10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部分学生语数英成绩比较图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等级!$C$2</c:f>
              <c:strCache>
                <c:ptCount val="1"/>
                <c:pt idx="0">
                  <c:v>语文</c:v>
                </c:pt>
              </c:strCache>
            </c:strRef>
          </c:tx>
          <c:invertIfNegative val="0"/>
          <c:cat>
            <c:strRef>
              <c:f>等级!$B$3:$B$7</c:f>
              <c:strCache>
                <c:ptCount val="5"/>
                <c:pt idx="0">
                  <c:v>刘立</c:v>
                </c:pt>
                <c:pt idx="1">
                  <c:v>孙思思</c:v>
                </c:pt>
                <c:pt idx="2">
                  <c:v>张平</c:v>
                </c:pt>
                <c:pt idx="3">
                  <c:v>赵露</c:v>
                </c:pt>
                <c:pt idx="4">
                  <c:v>耿秋文</c:v>
                </c:pt>
              </c:strCache>
            </c:strRef>
          </c:cat>
          <c:val>
            <c:numRef>
              <c:f>等级!$C$3:$C$7</c:f>
              <c:numCache>
                <c:formatCode>0</c:formatCode>
                <c:ptCount val="5"/>
                <c:pt idx="0">
                  <c:v>120</c:v>
                </c:pt>
                <c:pt idx="1">
                  <c:v>112</c:v>
                </c:pt>
                <c:pt idx="2">
                  <c:v>115</c:v>
                </c:pt>
                <c:pt idx="3">
                  <c:v>103</c:v>
                </c:pt>
                <c:pt idx="4">
                  <c:v>125</c:v>
                </c:pt>
              </c:numCache>
            </c:numRef>
          </c:val>
        </c:ser>
        <c:ser>
          <c:idx val="1"/>
          <c:order val="1"/>
          <c:tx>
            <c:strRef>
              <c:f>等级!$D$2</c:f>
              <c:strCache>
                <c:ptCount val="1"/>
                <c:pt idx="0">
                  <c:v>数学</c:v>
                </c:pt>
              </c:strCache>
            </c:strRef>
          </c:tx>
          <c:invertIfNegative val="0"/>
          <c:cat>
            <c:strRef>
              <c:f>等级!$B$3:$B$7</c:f>
              <c:strCache>
                <c:ptCount val="5"/>
                <c:pt idx="0">
                  <c:v>刘立</c:v>
                </c:pt>
                <c:pt idx="1">
                  <c:v>孙思思</c:v>
                </c:pt>
                <c:pt idx="2">
                  <c:v>张平</c:v>
                </c:pt>
                <c:pt idx="3">
                  <c:v>赵露</c:v>
                </c:pt>
                <c:pt idx="4">
                  <c:v>耿秋文</c:v>
                </c:pt>
              </c:strCache>
            </c:strRef>
          </c:cat>
          <c:val>
            <c:numRef>
              <c:f>等级!$D$3:$D$7</c:f>
              <c:numCache>
                <c:formatCode>0</c:formatCode>
                <c:ptCount val="5"/>
                <c:pt idx="0">
                  <c:v>148</c:v>
                </c:pt>
                <c:pt idx="1">
                  <c:v>135</c:v>
                </c:pt>
                <c:pt idx="2">
                  <c:v>120</c:v>
                </c:pt>
                <c:pt idx="3">
                  <c:v>115</c:v>
                </c:pt>
                <c:pt idx="4">
                  <c:v>80</c:v>
                </c:pt>
              </c:numCache>
            </c:numRef>
          </c:val>
        </c:ser>
        <c:ser>
          <c:idx val="2"/>
          <c:order val="2"/>
          <c:tx>
            <c:strRef>
              <c:f>等级!$F$2</c:f>
              <c:strCache>
                <c:ptCount val="1"/>
                <c:pt idx="0">
                  <c:v>英语</c:v>
                </c:pt>
              </c:strCache>
            </c:strRef>
          </c:tx>
          <c:invertIfNegative val="0"/>
          <c:cat>
            <c:strRef>
              <c:f>等级!$B$3:$B$7</c:f>
              <c:strCache>
                <c:ptCount val="5"/>
                <c:pt idx="0">
                  <c:v>刘立</c:v>
                </c:pt>
                <c:pt idx="1">
                  <c:v>孙思思</c:v>
                </c:pt>
                <c:pt idx="2">
                  <c:v>张平</c:v>
                </c:pt>
                <c:pt idx="3">
                  <c:v>赵露</c:v>
                </c:pt>
                <c:pt idx="4">
                  <c:v>耿秋文</c:v>
                </c:pt>
              </c:strCache>
            </c:strRef>
          </c:cat>
          <c:val>
            <c:numRef>
              <c:f>等级!$F$3:$F$7</c:f>
              <c:numCache>
                <c:formatCode>0</c:formatCode>
                <c:ptCount val="5"/>
                <c:pt idx="0">
                  <c:v>145</c:v>
                </c:pt>
                <c:pt idx="1">
                  <c:v>110</c:v>
                </c:pt>
                <c:pt idx="2">
                  <c:v>125</c:v>
                </c:pt>
                <c:pt idx="3">
                  <c:v>125</c:v>
                </c:pt>
                <c:pt idx="4">
                  <c:v>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241945216"/>
        <c:axId val="241955200"/>
        <c:axId val="0"/>
      </c:bar3DChart>
      <c:catAx>
        <c:axId val="241945216"/>
        <c:scaling>
          <c:orientation val="minMax"/>
        </c:scaling>
        <c:delete val="0"/>
        <c:axPos val="b"/>
        <c:majorTickMark val="none"/>
        <c:minorTickMark val="none"/>
        <c:tickLblPos val="nextTo"/>
        <c:crossAx val="241955200"/>
        <c:crosses val="autoZero"/>
        <c:auto val="1"/>
        <c:lblAlgn val="ctr"/>
        <c:lblOffset val="100"/>
        <c:noMultiLvlLbl val="0"/>
      </c:catAx>
      <c:valAx>
        <c:axId val="241955200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crossAx val="2419452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975" cy="607670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0"/>
  <sheetViews>
    <sheetView workbookViewId="0">
      <selection activeCell="N18" sqref="N18"/>
    </sheetView>
  </sheetViews>
  <sheetFormatPr defaultRowHeight="14.25" x14ac:dyDescent="0.15"/>
  <cols>
    <col min="10" max="10" width="11.625" bestFit="1" customWidth="1"/>
  </cols>
  <sheetData>
    <row r="1" spans="1:10" ht="26.1" customHeight="1" thickTop="1" x14ac:dyDescent="0.4">
      <c r="A1" s="3" t="s">
        <v>63</v>
      </c>
      <c r="B1" s="4"/>
      <c r="C1" s="4"/>
      <c r="D1" s="4"/>
      <c r="E1" s="4"/>
      <c r="F1" s="4"/>
      <c r="G1" s="4"/>
      <c r="H1" s="4"/>
      <c r="I1" s="4"/>
      <c r="J1" s="5"/>
    </row>
    <row r="2" spans="1:10" x14ac:dyDescent="0.15">
      <c r="A2" s="6" t="s">
        <v>0</v>
      </c>
      <c r="B2" s="7" t="s">
        <v>1</v>
      </c>
      <c r="C2" s="7" t="s">
        <v>2</v>
      </c>
      <c r="D2" s="7" t="s">
        <v>3</v>
      </c>
      <c r="E2" s="8" t="s">
        <v>59</v>
      </c>
      <c r="F2" s="7" t="s">
        <v>4</v>
      </c>
      <c r="G2" s="8" t="s">
        <v>57</v>
      </c>
      <c r="H2" s="8" t="s">
        <v>58</v>
      </c>
      <c r="I2" s="8" t="s">
        <v>60</v>
      </c>
      <c r="J2" s="9" t="s">
        <v>61</v>
      </c>
    </row>
    <row r="3" spans="1:10" x14ac:dyDescent="0.15">
      <c r="A3" s="6" t="s">
        <v>12</v>
      </c>
      <c r="B3" s="7" t="s">
        <v>5</v>
      </c>
      <c r="C3" s="10">
        <v>120</v>
      </c>
      <c r="D3" s="10">
        <v>148</v>
      </c>
      <c r="E3" s="10">
        <v>44</v>
      </c>
      <c r="F3" s="10">
        <v>145</v>
      </c>
      <c r="G3" s="10">
        <v>89</v>
      </c>
      <c r="H3" s="10">
        <v>60</v>
      </c>
      <c r="I3" s="10">
        <v>45</v>
      </c>
      <c r="J3" s="11">
        <f>C3+D3+F3</f>
        <v>413</v>
      </c>
    </row>
    <row r="4" spans="1:10" x14ac:dyDescent="0.15">
      <c r="A4" s="6" t="s">
        <v>13</v>
      </c>
      <c r="B4" s="7" t="s">
        <v>6</v>
      </c>
      <c r="C4" s="10">
        <v>112</v>
      </c>
      <c r="D4" s="10">
        <v>135</v>
      </c>
      <c r="E4" s="10">
        <v>43</v>
      </c>
      <c r="F4" s="10">
        <v>110</v>
      </c>
      <c r="G4" s="10">
        <v>75</v>
      </c>
      <c r="H4" s="10">
        <v>58</v>
      </c>
      <c r="I4" s="10">
        <v>42</v>
      </c>
      <c r="J4" s="11">
        <f t="shared" ref="J4:J29" si="0">C4+D4+F4</f>
        <v>357</v>
      </c>
    </row>
    <row r="5" spans="1:10" x14ac:dyDescent="0.15">
      <c r="A5" s="6" t="s">
        <v>14</v>
      </c>
      <c r="B5" s="7" t="s">
        <v>7</v>
      </c>
      <c r="C5" s="10">
        <v>115</v>
      </c>
      <c r="D5" s="10">
        <v>120</v>
      </c>
      <c r="E5" s="10">
        <v>43</v>
      </c>
      <c r="F5" s="10">
        <v>125</v>
      </c>
      <c r="G5" s="10">
        <v>89</v>
      </c>
      <c r="H5" s="10">
        <v>57</v>
      </c>
      <c r="I5" s="10">
        <v>45</v>
      </c>
      <c r="J5" s="11">
        <f t="shared" si="0"/>
        <v>360</v>
      </c>
    </row>
    <row r="6" spans="1:10" x14ac:dyDescent="0.15">
      <c r="A6" s="6" t="s">
        <v>15</v>
      </c>
      <c r="B6" s="7" t="s">
        <v>8</v>
      </c>
      <c r="C6" s="10">
        <v>103</v>
      </c>
      <c r="D6" s="10">
        <v>115</v>
      </c>
      <c r="E6" s="10">
        <v>45</v>
      </c>
      <c r="F6" s="10">
        <v>125</v>
      </c>
      <c r="G6" s="10">
        <v>57</v>
      </c>
      <c r="H6" s="10">
        <v>50</v>
      </c>
      <c r="I6" s="10">
        <v>40</v>
      </c>
      <c r="J6" s="11">
        <f t="shared" si="0"/>
        <v>343</v>
      </c>
    </row>
    <row r="7" spans="1:10" x14ac:dyDescent="0.15">
      <c r="A7" s="6" t="s">
        <v>21</v>
      </c>
      <c r="B7" s="7" t="s">
        <v>9</v>
      </c>
      <c r="C7" s="10">
        <v>125</v>
      </c>
      <c r="D7" s="10">
        <v>80</v>
      </c>
      <c r="E7" s="10">
        <v>40</v>
      </c>
      <c r="F7" s="10">
        <v>111</v>
      </c>
      <c r="G7" s="10">
        <v>86</v>
      </c>
      <c r="H7" s="10">
        <v>48</v>
      </c>
      <c r="I7" s="10">
        <v>43</v>
      </c>
      <c r="J7" s="11">
        <f t="shared" si="0"/>
        <v>316</v>
      </c>
    </row>
    <row r="8" spans="1:10" x14ac:dyDescent="0.15">
      <c r="A8" s="6" t="s">
        <v>16</v>
      </c>
      <c r="B8" s="7" t="s">
        <v>10</v>
      </c>
      <c r="C8" s="10">
        <v>106</v>
      </c>
      <c r="D8" s="10">
        <v>95</v>
      </c>
      <c r="E8" s="10">
        <v>43</v>
      </c>
      <c r="F8" s="10">
        <v>128</v>
      </c>
      <c r="G8" s="10">
        <v>74</v>
      </c>
      <c r="H8" s="10">
        <v>40</v>
      </c>
      <c r="I8" s="10">
        <v>38</v>
      </c>
      <c r="J8" s="11">
        <f t="shared" si="0"/>
        <v>329</v>
      </c>
    </row>
    <row r="9" spans="1:10" x14ac:dyDescent="0.15">
      <c r="A9" s="6" t="s">
        <v>17</v>
      </c>
      <c r="B9" s="7" t="s">
        <v>33</v>
      </c>
      <c r="C9" s="10">
        <v>124</v>
      </c>
      <c r="D9" s="10">
        <v>146</v>
      </c>
      <c r="E9" s="10">
        <v>45</v>
      </c>
      <c r="F9" s="10">
        <v>112</v>
      </c>
      <c r="G9" s="10">
        <v>87</v>
      </c>
      <c r="H9" s="10">
        <v>58</v>
      </c>
      <c r="I9" s="10">
        <v>37</v>
      </c>
      <c r="J9" s="11">
        <f t="shared" si="0"/>
        <v>382</v>
      </c>
    </row>
    <row r="10" spans="1:10" x14ac:dyDescent="0.15">
      <c r="A10" s="6" t="s">
        <v>18</v>
      </c>
      <c r="B10" s="7" t="s">
        <v>34</v>
      </c>
      <c r="C10" s="10">
        <v>118</v>
      </c>
      <c r="D10" s="10">
        <v>130</v>
      </c>
      <c r="E10" s="10">
        <v>43</v>
      </c>
      <c r="F10" s="10">
        <v>102</v>
      </c>
      <c r="G10" s="10">
        <v>86</v>
      </c>
      <c r="H10" s="10">
        <v>54</v>
      </c>
      <c r="I10" s="10">
        <v>38</v>
      </c>
      <c r="J10" s="11">
        <f t="shared" si="0"/>
        <v>350</v>
      </c>
    </row>
    <row r="11" spans="1:10" x14ac:dyDescent="0.15">
      <c r="A11" s="6" t="s">
        <v>19</v>
      </c>
      <c r="B11" s="7" t="s">
        <v>35</v>
      </c>
      <c r="C11" s="10">
        <v>90</v>
      </c>
      <c r="D11" s="10">
        <v>125</v>
      </c>
      <c r="E11" s="10">
        <v>40</v>
      </c>
      <c r="F11" s="10">
        <v>135</v>
      </c>
      <c r="G11" s="10">
        <v>71</v>
      </c>
      <c r="H11" s="10">
        <v>51</v>
      </c>
      <c r="I11" s="10">
        <v>34</v>
      </c>
      <c r="J11" s="11">
        <f t="shared" si="0"/>
        <v>350</v>
      </c>
    </row>
    <row r="12" spans="1:10" x14ac:dyDescent="0.15">
      <c r="A12" s="6" t="s">
        <v>15</v>
      </c>
      <c r="B12" s="7" t="s">
        <v>36</v>
      </c>
      <c r="C12" s="10">
        <v>95</v>
      </c>
      <c r="D12" s="10">
        <v>118</v>
      </c>
      <c r="E12" s="10">
        <v>40</v>
      </c>
      <c r="F12" s="10">
        <v>111</v>
      </c>
      <c r="G12" s="10">
        <v>84</v>
      </c>
      <c r="H12" s="10">
        <v>58</v>
      </c>
      <c r="I12" s="10">
        <v>42</v>
      </c>
      <c r="J12" s="11">
        <f t="shared" si="0"/>
        <v>324</v>
      </c>
    </row>
    <row r="13" spans="1:10" x14ac:dyDescent="0.15">
      <c r="A13" s="6" t="s">
        <v>11</v>
      </c>
      <c r="B13" s="7" t="s">
        <v>37</v>
      </c>
      <c r="C13" s="10">
        <v>128</v>
      </c>
      <c r="D13" s="10">
        <v>121</v>
      </c>
      <c r="E13" s="10">
        <v>44</v>
      </c>
      <c r="F13" s="10">
        <v>124</v>
      </c>
      <c r="G13" s="10">
        <v>75</v>
      </c>
      <c r="H13" s="10">
        <v>60</v>
      </c>
      <c r="I13" s="10">
        <v>40</v>
      </c>
      <c r="J13" s="11">
        <f t="shared" si="0"/>
        <v>373</v>
      </c>
    </row>
    <row r="14" spans="1:10" x14ac:dyDescent="0.15">
      <c r="A14" s="6" t="s">
        <v>20</v>
      </c>
      <c r="B14" s="7" t="s">
        <v>38</v>
      </c>
      <c r="C14" s="10">
        <v>116</v>
      </c>
      <c r="D14" s="10">
        <v>138</v>
      </c>
      <c r="E14" s="10">
        <v>44</v>
      </c>
      <c r="F14" s="10">
        <v>120</v>
      </c>
      <c r="G14" s="10">
        <v>70</v>
      </c>
      <c r="H14" s="10">
        <v>41</v>
      </c>
      <c r="I14" s="10">
        <v>33</v>
      </c>
      <c r="J14" s="11">
        <f t="shared" si="0"/>
        <v>374</v>
      </c>
    </row>
    <row r="15" spans="1:10" x14ac:dyDescent="0.15">
      <c r="A15" s="6" t="s">
        <v>22</v>
      </c>
      <c r="B15" s="7" t="s">
        <v>39</v>
      </c>
      <c r="C15" s="10">
        <v>118</v>
      </c>
      <c r="D15" s="10">
        <v>125</v>
      </c>
      <c r="E15" s="10">
        <v>47</v>
      </c>
      <c r="F15" s="10">
        <v>118</v>
      </c>
      <c r="G15" s="10">
        <v>75</v>
      </c>
      <c r="H15" s="10">
        <v>49</v>
      </c>
      <c r="I15" s="10">
        <v>44</v>
      </c>
      <c r="J15" s="11">
        <f t="shared" si="0"/>
        <v>361</v>
      </c>
    </row>
    <row r="16" spans="1:10" x14ac:dyDescent="0.15">
      <c r="A16" s="6" t="s">
        <v>23</v>
      </c>
      <c r="B16" s="7" t="s">
        <v>40</v>
      </c>
      <c r="C16" s="10">
        <v>110</v>
      </c>
      <c r="D16" s="10">
        <v>111</v>
      </c>
      <c r="E16" s="10">
        <v>46</v>
      </c>
      <c r="F16" s="10">
        <v>114</v>
      </c>
      <c r="G16" s="10">
        <v>71</v>
      </c>
      <c r="H16" s="10">
        <v>48</v>
      </c>
      <c r="I16" s="10">
        <v>41</v>
      </c>
      <c r="J16" s="11">
        <f t="shared" si="0"/>
        <v>335</v>
      </c>
    </row>
    <row r="17" spans="1:10" x14ac:dyDescent="0.15">
      <c r="A17" s="6" t="s">
        <v>24</v>
      </c>
      <c r="B17" s="7" t="s">
        <v>41</v>
      </c>
      <c r="C17" s="10">
        <v>93</v>
      </c>
      <c r="D17" s="10">
        <v>103</v>
      </c>
      <c r="E17" s="10">
        <v>41</v>
      </c>
      <c r="F17" s="10">
        <v>90</v>
      </c>
      <c r="G17" s="10">
        <v>73</v>
      </c>
      <c r="H17" s="10">
        <v>60</v>
      </c>
      <c r="I17" s="10">
        <v>43</v>
      </c>
      <c r="J17" s="11">
        <f t="shared" si="0"/>
        <v>286</v>
      </c>
    </row>
    <row r="18" spans="1:10" x14ac:dyDescent="0.15">
      <c r="A18" s="6" t="s">
        <v>25</v>
      </c>
      <c r="B18" s="7" t="s">
        <v>42</v>
      </c>
      <c r="C18" s="10">
        <v>84</v>
      </c>
      <c r="D18" s="10">
        <v>92</v>
      </c>
      <c r="E18" s="10">
        <v>45</v>
      </c>
      <c r="F18" s="10">
        <v>127</v>
      </c>
      <c r="G18" s="10">
        <v>59</v>
      </c>
      <c r="H18" s="10">
        <v>49</v>
      </c>
      <c r="I18" s="10">
        <v>44</v>
      </c>
      <c r="J18" s="11">
        <f t="shared" si="0"/>
        <v>303</v>
      </c>
    </row>
    <row r="19" spans="1:10" x14ac:dyDescent="0.15">
      <c r="A19" s="6" t="s">
        <v>26</v>
      </c>
      <c r="B19" s="7" t="s">
        <v>43</v>
      </c>
      <c r="C19" s="10">
        <v>110</v>
      </c>
      <c r="D19" s="10">
        <v>86</v>
      </c>
      <c r="E19" s="10">
        <v>45</v>
      </c>
      <c r="F19" s="10">
        <v>84</v>
      </c>
      <c r="G19" s="10">
        <v>86</v>
      </c>
      <c r="H19" s="10">
        <v>53</v>
      </c>
      <c r="I19" s="10">
        <v>41</v>
      </c>
      <c r="J19" s="11">
        <f t="shared" si="0"/>
        <v>280</v>
      </c>
    </row>
    <row r="20" spans="1:10" x14ac:dyDescent="0.15">
      <c r="A20" s="6" t="s">
        <v>27</v>
      </c>
      <c r="B20" s="7" t="s">
        <v>44</v>
      </c>
      <c r="C20" s="10">
        <v>130</v>
      </c>
      <c r="D20" s="10">
        <v>85</v>
      </c>
      <c r="E20" s="10">
        <v>38</v>
      </c>
      <c r="F20" s="10">
        <v>119</v>
      </c>
      <c r="G20" s="10">
        <v>80</v>
      </c>
      <c r="H20" s="10">
        <v>52</v>
      </c>
      <c r="I20" s="10">
        <v>42</v>
      </c>
      <c r="J20" s="11">
        <f t="shared" si="0"/>
        <v>334</v>
      </c>
    </row>
    <row r="21" spans="1:10" x14ac:dyDescent="0.15">
      <c r="A21" s="6" t="s">
        <v>62</v>
      </c>
      <c r="B21" s="7" t="s">
        <v>45</v>
      </c>
      <c r="C21" s="10">
        <v>117</v>
      </c>
      <c r="D21" s="10">
        <v>134</v>
      </c>
      <c r="E21" s="10">
        <v>30</v>
      </c>
      <c r="F21" s="10">
        <v>140</v>
      </c>
      <c r="G21" s="10">
        <v>79</v>
      </c>
      <c r="H21" s="10">
        <v>48</v>
      </c>
      <c r="I21" s="10">
        <v>38</v>
      </c>
      <c r="J21" s="11">
        <f t="shared" si="0"/>
        <v>391</v>
      </c>
    </row>
    <row r="22" spans="1:10" x14ac:dyDescent="0.15">
      <c r="A22" s="6" t="s">
        <v>28</v>
      </c>
      <c r="B22" s="7" t="s">
        <v>46</v>
      </c>
      <c r="C22" s="10">
        <v>122</v>
      </c>
      <c r="D22" s="10">
        <v>130</v>
      </c>
      <c r="E22" s="10">
        <v>40</v>
      </c>
      <c r="F22" s="10">
        <v>40</v>
      </c>
      <c r="G22" s="10">
        <v>80</v>
      </c>
      <c r="H22" s="10">
        <v>49</v>
      </c>
      <c r="I22" s="10">
        <v>39</v>
      </c>
      <c r="J22" s="11">
        <f t="shared" si="0"/>
        <v>292</v>
      </c>
    </row>
    <row r="23" spans="1:10" x14ac:dyDescent="0.15">
      <c r="A23" s="6" t="s">
        <v>29</v>
      </c>
      <c r="B23" s="7" t="s">
        <v>47</v>
      </c>
      <c r="C23" s="10">
        <v>103</v>
      </c>
      <c r="D23" s="10">
        <v>125</v>
      </c>
      <c r="E23" s="10">
        <v>45</v>
      </c>
      <c r="F23" s="10">
        <v>141</v>
      </c>
      <c r="G23" s="10">
        <v>25</v>
      </c>
      <c r="H23" s="10">
        <v>30</v>
      </c>
      <c r="I23" s="10">
        <v>40</v>
      </c>
      <c r="J23" s="11">
        <f t="shared" si="0"/>
        <v>369</v>
      </c>
    </row>
    <row r="24" spans="1:10" x14ac:dyDescent="0.15">
      <c r="A24" s="6" t="s">
        <v>30</v>
      </c>
      <c r="B24" s="7" t="s">
        <v>48</v>
      </c>
      <c r="C24" s="10">
        <v>110</v>
      </c>
      <c r="D24" s="10">
        <v>128</v>
      </c>
      <c r="E24" s="10">
        <v>40</v>
      </c>
      <c r="F24" s="10">
        <v>106</v>
      </c>
      <c r="G24" s="10">
        <v>42</v>
      </c>
      <c r="H24" s="10">
        <v>37</v>
      </c>
      <c r="I24" s="10">
        <v>38</v>
      </c>
      <c r="J24" s="11">
        <f t="shared" si="0"/>
        <v>344</v>
      </c>
    </row>
    <row r="25" spans="1:10" x14ac:dyDescent="0.15">
      <c r="A25" s="6" t="s">
        <v>31</v>
      </c>
      <c r="B25" s="7" t="s">
        <v>49</v>
      </c>
      <c r="C25" s="10">
        <v>117</v>
      </c>
      <c r="D25" s="10">
        <v>140</v>
      </c>
      <c r="E25" s="10">
        <v>35</v>
      </c>
      <c r="F25" s="10">
        <v>85</v>
      </c>
      <c r="G25" s="10">
        <v>70</v>
      </c>
      <c r="H25" s="10">
        <v>25</v>
      </c>
      <c r="I25" s="10">
        <v>37</v>
      </c>
      <c r="J25" s="11">
        <f>C25+D25+F25</f>
        <v>342</v>
      </c>
    </row>
    <row r="26" spans="1:10" x14ac:dyDescent="0.15">
      <c r="A26" s="6" t="s">
        <v>32</v>
      </c>
      <c r="B26" s="7" t="s">
        <v>50</v>
      </c>
      <c r="C26" s="10">
        <v>106</v>
      </c>
      <c r="D26" s="10">
        <v>95</v>
      </c>
      <c r="E26" s="10">
        <v>40</v>
      </c>
      <c r="F26" s="10">
        <v>128</v>
      </c>
      <c r="G26" s="10">
        <v>86</v>
      </c>
      <c r="H26" s="10">
        <v>48</v>
      </c>
      <c r="I26" s="10">
        <v>43</v>
      </c>
      <c r="J26" s="11">
        <f t="shared" si="0"/>
        <v>329</v>
      </c>
    </row>
    <row r="27" spans="1:10" x14ac:dyDescent="0.15">
      <c r="A27" s="6" t="s">
        <v>54</v>
      </c>
      <c r="B27" s="7" t="s">
        <v>51</v>
      </c>
      <c r="C27" s="10">
        <v>124</v>
      </c>
      <c r="D27" s="10">
        <v>146</v>
      </c>
      <c r="E27" s="10">
        <v>43</v>
      </c>
      <c r="F27" s="10">
        <v>112</v>
      </c>
      <c r="G27" s="10">
        <v>74</v>
      </c>
      <c r="H27" s="10">
        <v>40</v>
      </c>
      <c r="I27" s="10">
        <v>38</v>
      </c>
      <c r="J27" s="11">
        <f t="shared" si="0"/>
        <v>382</v>
      </c>
    </row>
    <row r="28" spans="1:10" x14ac:dyDescent="0.15">
      <c r="A28" s="6" t="s">
        <v>55</v>
      </c>
      <c r="B28" s="7" t="s">
        <v>52</v>
      </c>
      <c r="C28" s="10">
        <v>118</v>
      </c>
      <c r="D28" s="10">
        <v>130</v>
      </c>
      <c r="E28" s="10">
        <v>40</v>
      </c>
      <c r="F28" s="10">
        <v>102</v>
      </c>
      <c r="G28" s="10">
        <v>84</v>
      </c>
      <c r="H28" s="10">
        <v>58</v>
      </c>
      <c r="I28" s="10">
        <v>42</v>
      </c>
      <c r="J28" s="11">
        <f t="shared" si="0"/>
        <v>350</v>
      </c>
    </row>
    <row r="29" spans="1:10" ht="15" thickBot="1" x14ac:dyDescent="0.2">
      <c r="A29" s="12" t="s">
        <v>56</v>
      </c>
      <c r="B29" s="13" t="s">
        <v>53</v>
      </c>
      <c r="C29" s="14">
        <v>106</v>
      </c>
      <c r="D29" s="14">
        <v>95</v>
      </c>
      <c r="E29" s="14">
        <v>44</v>
      </c>
      <c r="F29" s="14">
        <v>128</v>
      </c>
      <c r="G29" s="14">
        <v>75</v>
      </c>
      <c r="H29" s="14">
        <v>60</v>
      </c>
      <c r="I29" s="14">
        <v>40</v>
      </c>
      <c r="J29" s="15">
        <f t="shared" si="0"/>
        <v>329</v>
      </c>
    </row>
    <row r="30" spans="1:10" ht="16.5" thickTop="1" x14ac:dyDescent="0.25">
      <c r="C30" s="1"/>
      <c r="D30" s="2"/>
      <c r="F30" s="1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9"/>
  <sheetViews>
    <sheetView workbookViewId="0">
      <selection activeCell="B3" sqref="B3:B29"/>
    </sheetView>
  </sheetViews>
  <sheetFormatPr defaultRowHeight="14.25" x14ac:dyDescent="0.15"/>
  <cols>
    <col min="11" max="11" width="11.625" bestFit="1" customWidth="1"/>
  </cols>
  <sheetData>
    <row r="1" spans="1:11" x14ac:dyDescent="0.15">
      <c r="A1" t="s">
        <v>63</v>
      </c>
    </row>
    <row r="2" spans="1:11" x14ac:dyDescent="0.15">
      <c r="A2" t="s">
        <v>0</v>
      </c>
      <c r="B2" t="s">
        <v>102</v>
      </c>
      <c r="C2" t="s">
        <v>1</v>
      </c>
      <c r="D2" t="s">
        <v>2</v>
      </c>
      <c r="E2" t="s">
        <v>3</v>
      </c>
      <c r="F2" t="s">
        <v>64</v>
      </c>
      <c r="G2" t="s">
        <v>4</v>
      </c>
      <c r="H2" t="s">
        <v>65</v>
      </c>
      <c r="I2" t="s">
        <v>66</v>
      </c>
      <c r="J2" t="s">
        <v>67</v>
      </c>
      <c r="K2" t="s">
        <v>68</v>
      </c>
    </row>
    <row r="3" spans="1:11" x14ac:dyDescent="0.15">
      <c r="A3" t="s">
        <v>69</v>
      </c>
      <c r="B3" t="str">
        <f>LEFT(A3,2)&amp;RIGHT(A3,2)</f>
        <v>c110</v>
      </c>
      <c r="C3" t="s">
        <v>5</v>
      </c>
      <c r="D3">
        <v>120</v>
      </c>
      <c r="E3">
        <v>148</v>
      </c>
      <c r="F3">
        <v>44</v>
      </c>
      <c r="G3">
        <v>145</v>
      </c>
      <c r="H3">
        <v>89</v>
      </c>
      <c r="I3">
        <v>60</v>
      </c>
      <c r="J3">
        <v>45</v>
      </c>
      <c r="K3">
        <v>413</v>
      </c>
    </row>
    <row r="4" spans="1:11" x14ac:dyDescent="0.15">
      <c r="A4" t="s">
        <v>70</v>
      </c>
      <c r="B4" t="str">
        <f t="shared" ref="B4:B29" si="0">LEFT(A4,2)&amp;RIGHT(A4,2)</f>
        <v>c306</v>
      </c>
      <c r="C4" t="s">
        <v>6</v>
      </c>
      <c r="D4">
        <v>112</v>
      </c>
      <c r="E4">
        <v>135</v>
      </c>
      <c r="F4">
        <v>43</v>
      </c>
      <c r="G4">
        <v>110</v>
      </c>
      <c r="H4">
        <v>75</v>
      </c>
      <c r="I4">
        <v>58</v>
      </c>
      <c r="J4">
        <v>42</v>
      </c>
      <c r="K4">
        <v>357</v>
      </c>
    </row>
    <row r="5" spans="1:11" x14ac:dyDescent="0.15">
      <c r="A5" t="s">
        <v>71</v>
      </c>
      <c r="B5" t="str">
        <f t="shared" si="0"/>
        <v>c112</v>
      </c>
      <c r="C5" t="s">
        <v>7</v>
      </c>
      <c r="D5">
        <v>115</v>
      </c>
      <c r="E5">
        <v>120</v>
      </c>
      <c r="F5">
        <v>43</v>
      </c>
      <c r="G5">
        <v>125</v>
      </c>
      <c r="H5">
        <v>89</v>
      </c>
      <c r="I5">
        <v>57</v>
      </c>
      <c r="J5">
        <v>45</v>
      </c>
      <c r="K5">
        <v>360</v>
      </c>
    </row>
    <row r="6" spans="1:11" x14ac:dyDescent="0.15">
      <c r="A6" t="s">
        <v>72</v>
      </c>
      <c r="B6" t="str">
        <f t="shared" si="0"/>
        <v>c104</v>
      </c>
      <c r="C6" t="s">
        <v>8</v>
      </c>
      <c r="D6">
        <v>103</v>
      </c>
      <c r="E6">
        <v>115</v>
      </c>
      <c r="F6">
        <v>45</v>
      </c>
      <c r="G6">
        <v>125</v>
      </c>
      <c r="H6">
        <v>57</v>
      </c>
      <c r="I6">
        <v>50</v>
      </c>
      <c r="J6">
        <v>40</v>
      </c>
      <c r="K6">
        <v>343</v>
      </c>
    </row>
    <row r="7" spans="1:11" x14ac:dyDescent="0.15">
      <c r="A7" t="s">
        <v>73</v>
      </c>
      <c r="B7" t="str">
        <f t="shared" si="0"/>
        <v>c305</v>
      </c>
      <c r="C7" t="s">
        <v>9</v>
      </c>
      <c r="D7">
        <v>125</v>
      </c>
      <c r="E7">
        <v>80</v>
      </c>
      <c r="F7">
        <v>40</v>
      </c>
      <c r="G7">
        <v>111</v>
      </c>
      <c r="H7">
        <v>86</v>
      </c>
      <c r="I7">
        <v>48</v>
      </c>
      <c r="J7">
        <v>43</v>
      </c>
      <c r="K7">
        <v>316</v>
      </c>
    </row>
    <row r="8" spans="1:11" x14ac:dyDescent="0.15">
      <c r="A8" t="s">
        <v>74</v>
      </c>
      <c r="B8" t="str">
        <f t="shared" si="0"/>
        <v>c103</v>
      </c>
      <c r="C8" t="s">
        <v>10</v>
      </c>
      <c r="D8">
        <v>106</v>
      </c>
      <c r="E8">
        <v>95</v>
      </c>
      <c r="F8">
        <v>43</v>
      </c>
      <c r="G8">
        <v>128</v>
      </c>
      <c r="H8">
        <v>74</v>
      </c>
      <c r="I8">
        <v>40</v>
      </c>
      <c r="J8">
        <v>38</v>
      </c>
      <c r="K8">
        <v>329</v>
      </c>
    </row>
    <row r="9" spans="1:11" x14ac:dyDescent="0.15">
      <c r="A9" t="s">
        <v>75</v>
      </c>
      <c r="B9" t="str">
        <f t="shared" si="0"/>
        <v>c212</v>
      </c>
      <c r="C9" t="s">
        <v>33</v>
      </c>
      <c r="D9">
        <v>124</v>
      </c>
      <c r="E9">
        <v>146</v>
      </c>
      <c r="F9">
        <v>45</v>
      </c>
      <c r="G9">
        <v>112</v>
      </c>
      <c r="H9">
        <v>87</v>
      </c>
      <c r="I9">
        <v>58</v>
      </c>
      <c r="J9">
        <v>37</v>
      </c>
      <c r="K9">
        <v>382</v>
      </c>
    </row>
    <row r="10" spans="1:11" x14ac:dyDescent="0.15">
      <c r="A10" t="s">
        <v>76</v>
      </c>
      <c r="B10" t="str">
        <f t="shared" si="0"/>
        <v>c106</v>
      </c>
      <c r="C10" t="s">
        <v>34</v>
      </c>
      <c r="D10">
        <v>118</v>
      </c>
      <c r="E10">
        <v>130</v>
      </c>
      <c r="F10">
        <v>43</v>
      </c>
      <c r="G10">
        <v>102</v>
      </c>
      <c r="H10">
        <v>86</v>
      </c>
      <c r="I10">
        <v>54</v>
      </c>
      <c r="J10">
        <v>38</v>
      </c>
      <c r="K10">
        <v>350</v>
      </c>
    </row>
    <row r="11" spans="1:11" x14ac:dyDescent="0.15">
      <c r="A11" t="s">
        <v>77</v>
      </c>
      <c r="B11" t="str">
        <f t="shared" si="0"/>
        <v>c102</v>
      </c>
      <c r="C11" t="s">
        <v>35</v>
      </c>
      <c r="D11">
        <v>90</v>
      </c>
      <c r="E11">
        <v>125</v>
      </c>
      <c r="F11">
        <v>40</v>
      </c>
      <c r="G11">
        <v>135</v>
      </c>
      <c r="H11">
        <v>71</v>
      </c>
      <c r="I11">
        <v>51</v>
      </c>
      <c r="J11">
        <v>34</v>
      </c>
      <c r="K11">
        <v>350</v>
      </c>
    </row>
    <row r="12" spans="1:11" x14ac:dyDescent="0.15">
      <c r="A12" t="s">
        <v>72</v>
      </c>
      <c r="B12" t="str">
        <f t="shared" si="0"/>
        <v>c104</v>
      </c>
      <c r="C12" t="s">
        <v>36</v>
      </c>
      <c r="D12">
        <v>95</v>
      </c>
      <c r="E12">
        <v>118</v>
      </c>
      <c r="F12">
        <v>40</v>
      </c>
      <c r="G12">
        <v>111</v>
      </c>
      <c r="H12">
        <v>84</v>
      </c>
      <c r="I12">
        <v>58</v>
      </c>
      <c r="J12">
        <v>42</v>
      </c>
      <c r="K12">
        <v>324</v>
      </c>
    </row>
    <row r="13" spans="1:11" x14ac:dyDescent="0.15">
      <c r="A13" t="s">
        <v>78</v>
      </c>
      <c r="B13" t="str">
        <f t="shared" si="0"/>
        <v>c218</v>
      </c>
      <c r="C13" t="s">
        <v>37</v>
      </c>
      <c r="D13">
        <v>128</v>
      </c>
      <c r="E13">
        <v>121</v>
      </c>
      <c r="F13">
        <v>44</v>
      </c>
      <c r="G13">
        <v>124</v>
      </c>
      <c r="H13">
        <v>75</v>
      </c>
      <c r="I13">
        <v>60</v>
      </c>
      <c r="J13">
        <v>40</v>
      </c>
      <c r="K13">
        <v>373</v>
      </c>
    </row>
    <row r="14" spans="1:11" x14ac:dyDescent="0.15">
      <c r="A14" t="s">
        <v>79</v>
      </c>
      <c r="B14" t="str">
        <f t="shared" si="0"/>
        <v>c226</v>
      </c>
      <c r="C14" t="s">
        <v>38</v>
      </c>
      <c r="D14">
        <v>116</v>
      </c>
      <c r="E14">
        <v>138</v>
      </c>
      <c r="F14">
        <v>44</v>
      </c>
      <c r="G14">
        <v>120</v>
      </c>
      <c r="H14">
        <v>70</v>
      </c>
      <c r="I14">
        <v>41</v>
      </c>
      <c r="J14">
        <v>33</v>
      </c>
      <c r="K14">
        <v>374</v>
      </c>
    </row>
    <row r="15" spans="1:11" x14ac:dyDescent="0.15">
      <c r="A15" t="s">
        <v>80</v>
      </c>
      <c r="B15" t="str">
        <f t="shared" si="0"/>
        <v>c109</v>
      </c>
      <c r="C15" t="s">
        <v>39</v>
      </c>
      <c r="D15">
        <v>118</v>
      </c>
      <c r="E15">
        <v>125</v>
      </c>
      <c r="F15">
        <v>47</v>
      </c>
      <c r="G15">
        <v>118</v>
      </c>
      <c r="H15">
        <v>75</v>
      </c>
      <c r="I15">
        <v>49</v>
      </c>
      <c r="J15">
        <v>44</v>
      </c>
      <c r="K15">
        <v>361</v>
      </c>
    </row>
    <row r="16" spans="1:11" x14ac:dyDescent="0.15">
      <c r="A16" t="s">
        <v>81</v>
      </c>
      <c r="B16" t="str">
        <f t="shared" si="0"/>
        <v>c111</v>
      </c>
      <c r="C16" t="s">
        <v>40</v>
      </c>
      <c r="D16">
        <v>110</v>
      </c>
      <c r="E16">
        <v>111</v>
      </c>
      <c r="F16">
        <v>46</v>
      </c>
      <c r="G16">
        <v>114</v>
      </c>
      <c r="H16">
        <v>71</v>
      </c>
      <c r="I16">
        <v>48</v>
      </c>
      <c r="J16">
        <v>41</v>
      </c>
      <c r="K16">
        <v>335</v>
      </c>
    </row>
    <row r="17" spans="1:11" x14ac:dyDescent="0.15">
      <c r="A17" t="s">
        <v>82</v>
      </c>
      <c r="B17" t="str">
        <f t="shared" si="0"/>
        <v>c220</v>
      </c>
      <c r="C17" t="s">
        <v>41</v>
      </c>
      <c r="D17">
        <v>93</v>
      </c>
      <c r="E17">
        <v>103</v>
      </c>
      <c r="F17">
        <v>41</v>
      </c>
      <c r="G17">
        <v>90</v>
      </c>
      <c r="H17">
        <v>73</v>
      </c>
      <c r="I17">
        <v>60</v>
      </c>
      <c r="J17">
        <v>43</v>
      </c>
      <c r="K17">
        <v>286</v>
      </c>
    </row>
    <row r="18" spans="1:11" x14ac:dyDescent="0.15">
      <c r="A18" t="s">
        <v>83</v>
      </c>
      <c r="B18" t="str">
        <f t="shared" si="0"/>
        <v>c322</v>
      </c>
      <c r="C18" t="s">
        <v>42</v>
      </c>
      <c r="D18">
        <v>84</v>
      </c>
      <c r="E18">
        <v>92</v>
      </c>
      <c r="F18">
        <v>45</v>
      </c>
      <c r="G18">
        <v>127</v>
      </c>
      <c r="H18">
        <v>59</v>
      </c>
      <c r="I18">
        <v>49</v>
      </c>
      <c r="J18">
        <v>44</v>
      </c>
      <c r="K18">
        <v>303</v>
      </c>
    </row>
    <row r="19" spans="1:11" x14ac:dyDescent="0.15">
      <c r="A19" t="s">
        <v>84</v>
      </c>
      <c r="B19" t="str">
        <f t="shared" si="0"/>
        <v>c167</v>
      </c>
      <c r="C19" t="s">
        <v>43</v>
      </c>
      <c r="D19">
        <v>110</v>
      </c>
      <c r="E19">
        <v>86</v>
      </c>
      <c r="F19">
        <v>45</v>
      </c>
      <c r="G19">
        <v>84</v>
      </c>
      <c r="H19">
        <v>86</v>
      </c>
      <c r="I19">
        <v>53</v>
      </c>
      <c r="J19">
        <v>41</v>
      </c>
      <c r="K19">
        <v>280</v>
      </c>
    </row>
    <row r="20" spans="1:11" x14ac:dyDescent="0.15">
      <c r="A20" t="s">
        <v>85</v>
      </c>
      <c r="B20" t="str">
        <f t="shared" si="0"/>
        <v>c162</v>
      </c>
      <c r="C20" t="s">
        <v>44</v>
      </c>
      <c r="D20">
        <v>130</v>
      </c>
      <c r="E20">
        <v>85</v>
      </c>
      <c r="F20">
        <v>38</v>
      </c>
      <c r="G20">
        <v>119</v>
      </c>
      <c r="H20">
        <v>80</v>
      </c>
      <c r="I20">
        <v>52</v>
      </c>
      <c r="J20">
        <v>42</v>
      </c>
      <c r="K20">
        <v>334</v>
      </c>
    </row>
    <row r="21" spans="1:11" x14ac:dyDescent="0.15">
      <c r="A21" t="s">
        <v>86</v>
      </c>
      <c r="B21" t="str">
        <f t="shared" si="0"/>
        <v>c250</v>
      </c>
      <c r="C21" t="s">
        <v>45</v>
      </c>
      <c r="D21">
        <v>117</v>
      </c>
      <c r="E21">
        <v>134</v>
      </c>
      <c r="F21">
        <v>30</v>
      </c>
      <c r="G21">
        <v>140</v>
      </c>
      <c r="H21">
        <v>79</v>
      </c>
      <c r="I21">
        <v>48</v>
      </c>
      <c r="J21">
        <v>38</v>
      </c>
      <c r="K21">
        <v>391</v>
      </c>
    </row>
    <row r="22" spans="1:11" x14ac:dyDescent="0.15">
      <c r="A22" t="s">
        <v>87</v>
      </c>
      <c r="B22" t="str">
        <f t="shared" si="0"/>
        <v>c266</v>
      </c>
      <c r="C22" t="s">
        <v>46</v>
      </c>
      <c r="D22">
        <v>122</v>
      </c>
      <c r="E22">
        <v>130</v>
      </c>
      <c r="F22">
        <v>40</v>
      </c>
      <c r="G22">
        <v>40</v>
      </c>
      <c r="H22">
        <v>80</v>
      </c>
      <c r="I22">
        <v>49</v>
      </c>
      <c r="J22">
        <v>39</v>
      </c>
      <c r="K22">
        <v>292</v>
      </c>
    </row>
    <row r="23" spans="1:11" x14ac:dyDescent="0.15">
      <c r="A23" t="s">
        <v>88</v>
      </c>
      <c r="B23" t="str">
        <f t="shared" si="0"/>
        <v>c315</v>
      </c>
      <c r="C23" t="s">
        <v>89</v>
      </c>
      <c r="D23">
        <v>103</v>
      </c>
      <c r="E23">
        <v>125</v>
      </c>
      <c r="F23">
        <v>45</v>
      </c>
      <c r="G23">
        <v>141</v>
      </c>
      <c r="H23">
        <v>25</v>
      </c>
      <c r="I23">
        <v>30</v>
      </c>
      <c r="J23">
        <v>40</v>
      </c>
      <c r="K23">
        <v>369</v>
      </c>
    </row>
    <row r="24" spans="1:11" x14ac:dyDescent="0.15">
      <c r="A24" t="s">
        <v>90</v>
      </c>
      <c r="B24" t="str">
        <f t="shared" si="0"/>
        <v>c328</v>
      </c>
      <c r="C24" t="s">
        <v>91</v>
      </c>
      <c r="D24">
        <v>110</v>
      </c>
      <c r="E24">
        <v>128</v>
      </c>
      <c r="F24">
        <v>40</v>
      </c>
      <c r="G24">
        <v>106</v>
      </c>
      <c r="H24">
        <v>42</v>
      </c>
      <c r="I24">
        <v>37</v>
      </c>
      <c r="J24">
        <v>38</v>
      </c>
      <c r="K24">
        <v>344</v>
      </c>
    </row>
    <row r="25" spans="1:11" x14ac:dyDescent="0.15">
      <c r="A25" t="s">
        <v>92</v>
      </c>
      <c r="B25" t="str">
        <f t="shared" si="0"/>
        <v>c229</v>
      </c>
      <c r="C25" t="s">
        <v>93</v>
      </c>
      <c r="D25">
        <v>117</v>
      </c>
      <c r="E25">
        <v>140</v>
      </c>
      <c r="F25">
        <v>35</v>
      </c>
      <c r="G25">
        <v>85</v>
      </c>
      <c r="H25">
        <v>70</v>
      </c>
      <c r="I25">
        <v>25</v>
      </c>
      <c r="J25">
        <v>37</v>
      </c>
      <c r="K25">
        <v>342</v>
      </c>
    </row>
    <row r="26" spans="1:11" x14ac:dyDescent="0.15">
      <c r="A26" t="s">
        <v>94</v>
      </c>
      <c r="B26" t="str">
        <f t="shared" si="0"/>
        <v>c105</v>
      </c>
      <c r="C26" t="s">
        <v>95</v>
      </c>
      <c r="D26">
        <v>106</v>
      </c>
      <c r="E26">
        <v>95</v>
      </c>
      <c r="F26">
        <v>40</v>
      </c>
      <c r="G26">
        <v>128</v>
      </c>
      <c r="H26">
        <v>86</v>
      </c>
      <c r="I26">
        <v>48</v>
      </c>
      <c r="J26">
        <v>43</v>
      </c>
      <c r="K26">
        <v>329</v>
      </c>
    </row>
    <row r="27" spans="1:11" x14ac:dyDescent="0.15">
      <c r="A27" t="s">
        <v>96</v>
      </c>
      <c r="B27" t="str">
        <f t="shared" si="0"/>
        <v>c166</v>
      </c>
      <c r="C27" t="s">
        <v>97</v>
      </c>
      <c r="D27">
        <v>124</v>
      </c>
      <c r="E27">
        <v>146</v>
      </c>
      <c r="F27">
        <v>43</v>
      </c>
      <c r="G27">
        <v>112</v>
      </c>
      <c r="H27">
        <v>74</v>
      </c>
      <c r="I27">
        <v>40</v>
      </c>
      <c r="J27">
        <v>38</v>
      </c>
      <c r="K27">
        <v>382</v>
      </c>
    </row>
    <row r="28" spans="1:11" x14ac:dyDescent="0.15">
      <c r="A28" t="s">
        <v>98</v>
      </c>
      <c r="B28" t="str">
        <f t="shared" si="0"/>
        <v>c255</v>
      </c>
      <c r="C28" t="s">
        <v>99</v>
      </c>
      <c r="D28">
        <v>118</v>
      </c>
      <c r="E28">
        <v>130</v>
      </c>
      <c r="F28">
        <v>40</v>
      </c>
      <c r="G28">
        <v>102</v>
      </c>
      <c r="H28">
        <v>84</v>
      </c>
      <c r="I28">
        <v>58</v>
      </c>
      <c r="J28">
        <v>42</v>
      </c>
      <c r="K28">
        <v>350</v>
      </c>
    </row>
    <row r="29" spans="1:11" x14ac:dyDescent="0.15">
      <c r="A29" t="s">
        <v>100</v>
      </c>
      <c r="B29" t="str">
        <f t="shared" si="0"/>
        <v>c320</v>
      </c>
      <c r="C29" t="s">
        <v>101</v>
      </c>
      <c r="D29">
        <v>106</v>
      </c>
      <c r="E29">
        <v>95</v>
      </c>
      <c r="F29">
        <v>44</v>
      </c>
      <c r="G29">
        <v>128</v>
      </c>
      <c r="H29">
        <v>75</v>
      </c>
      <c r="I29">
        <v>60</v>
      </c>
      <c r="J29">
        <v>40</v>
      </c>
      <c r="K29">
        <v>329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7"/>
  <sheetViews>
    <sheetView workbookViewId="0">
      <selection activeCell="O7" sqref="O7"/>
    </sheetView>
  </sheetViews>
  <sheetFormatPr defaultRowHeight="14.25" x14ac:dyDescent="0.15"/>
  <cols>
    <col min="11" max="11" width="11.625" bestFit="1" customWidth="1"/>
  </cols>
  <sheetData>
    <row r="1" spans="1:11" x14ac:dyDescent="0.15">
      <c r="A1" s="16" t="s">
        <v>103</v>
      </c>
      <c r="B1" s="16" t="s">
        <v>105</v>
      </c>
    </row>
    <row r="2" spans="1:11" x14ac:dyDescent="0.15">
      <c r="A2" s="16" t="s">
        <v>104</v>
      </c>
    </row>
    <row r="3" spans="1:11" x14ac:dyDescent="0.15">
      <c r="B3" s="16" t="s">
        <v>106</v>
      </c>
    </row>
    <row r="6" spans="1:11" x14ac:dyDescent="0.15">
      <c r="B6" s="6" t="s">
        <v>0</v>
      </c>
      <c r="C6" s="7" t="s">
        <v>1</v>
      </c>
      <c r="D6" s="7" t="s">
        <v>2</v>
      </c>
      <c r="E6" s="7" t="s">
        <v>3</v>
      </c>
      <c r="F6" s="8" t="s">
        <v>59</v>
      </c>
      <c r="G6" s="7" t="s">
        <v>4</v>
      </c>
      <c r="H6" s="8" t="s">
        <v>57</v>
      </c>
      <c r="I6" s="8" t="s">
        <v>58</v>
      </c>
      <c r="J6" s="8" t="s">
        <v>60</v>
      </c>
      <c r="K6" s="9" t="s">
        <v>61</v>
      </c>
    </row>
    <row r="7" spans="1:11" x14ac:dyDescent="0.15">
      <c r="B7" s="6" t="s">
        <v>12</v>
      </c>
      <c r="C7" s="7" t="s">
        <v>5</v>
      </c>
      <c r="D7" s="10">
        <v>120</v>
      </c>
      <c r="E7" s="10">
        <v>148</v>
      </c>
      <c r="F7" s="10">
        <v>44</v>
      </c>
      <c r="G7" s="10">
        <v>145</v>
      </c>
      <c r="H7" s="10">
        <v>89</v>
      </c>
      <c r="I7" s="10">
        <v>60</v>
      </c>
      <c r="J7" s="10">
        <v>45</v>
      </c>
      <c r="K7" s="11">
        <v>413</v>
      </c>
    </row>
    <row r="8" spans="1:11" x14ac:dyDescent="0.15">
      <c r="B8" s="6" t="s">
        <v>13</v>
      </c>
      <c r="C8" s="7" t="s">
        <v>6</v>
      </c>
      <c r="D8" s="10">
        <v>112</v>
      </c>
      <c r="E8" s="10">
        <v>135</v>
      </c>
      <c r="F8" s="10">
        <v>43</v>
      </c>
      <c r="G8" s="10">
        <v>110</v>
      </c>
      <c r="H8" s="10">
        <v>75</v>
      </c>
      <c r="I8" s="10">
        <v>58</v>
      </c>
      <c r="J8" s="10">
        <v>42</v>
      </c>
      <c r="K8" s="11">
        <v>357</v>
      </c>
    </row>
    <row r="9" spans="1:11" x14ac:dyDescent="0.15">
      <c r="B9" s="6" t="s">
        <v>21</v>
      </c>
      <c r="C9" s="7" t="s">
        <v>9</v>
      </c>
      <c r="D9" s="10">
        <v>125</v>
      </c>
      <c r="E9" s="10">
        <v>80</v>
      </c>
      <c r="F9" s="10">
        <v>40</v>
      </c>
      <c r="G9" s="10">
        <v>111</v>
      </c>
      <c r="H9" s="10">
        <v>86</v>
      </c>
      <c r="I9" s="10">
        <v>48</v>
      </c>
      <c r="J9" s="10">
        <v>43</v>
      </c>
      <c r="K9" s="11">
        <v>316</v>
      </c>
    </row>
    <row r="10" spans="1:11" x14ac:dyDescent="0.15">
      <c r="B10" s="6" t="s">
        <v>17</v>
      </c>
      <c r="C10" s="7" t="s">
        <v>33</v>
      </c>
      <c r="D10" s="10">
        <v>124</v>
      </c>
      <c r="E10" s="10">
        <v>146</v>
      </c>
      <c r="F10" s="10">
        <v>45</v>
      </c>
      <c r="G10" s="10">
        <v>112</v>
      </c>
      <c r="H10" s="10">
        <v>87</v>
      </c>
      <c r="I10" s="10">
        <v>58</v>
      </c>
      <c r="J10" s="10">
        <v>37</v>
      </c>
      <c r="K10" s="11">
        <v>382</v>
      </c>
    </row>
    <row r="11" spans="1:11" x14ac:dyDescent="0.15">
      <c r="B11" s="6" t="s">
        <v>11</v>
      </c>
      <c r="C11" s="7" t="s">
        <v>37</v>
      </c>
      <c r="D11" s="10">
        <v>128</v>
      </c>
      <c r="E11" s="10">
        <v>121</v>
      </c>
      <c r="F11" s="10">
        <v>44</v>
      </c>
      <c r="G11" s="10">
        <v>124</v>
      </c>
      <c r="H11" s="10">
        <v>75</v>
      </c>
      <c r="I11" s="10">
        <v>60</v>
      </c>
      <c r="J11" s="10">
        <v>40</v>
      </c>
      <c r="K11" s="11">
        <v>373</v>
      </c>
    </row>
    <row r="12" spans="1:11" x14ac:dyDescent="0.15">
      <c r="B12" s="6" t="s">
        <v>20</v>
      </c>
      <c r="C12" s="7" t="s">
        <v>38</v>
      </c>
      <c r="D12" s="10">
        <v>116</v>
      </c>
      <c r="E12" s="10">
        <v>138</v>
      </c>
      <c r="F12" s="10">
        <v>44</v>
      </c>
      <c r="G12" s="10">
        <v>120</v>
      </c>
      <c r="H12" s="10">
        <v>70</v>
      </c>
      <c r="I12" s="10">
        <v>41</v>
      </c>
      <c r="J12" s="10">
        <v>33</v>
      </c>
      <c r="K12" s="11">
        <v>374</v>
      </c>
    </row>
    <row r="13" spans="1:11" x14ac:dyDescent="0.15">
      <c r="B13" s="6" t="s">
        <v>27</v>
      </c>
      <c r="C13" s="7" t="s">
        <v>44</v>
      </c>
      <c r="D13" s="10">
        <v>130</v>
      </c>
      <c r="E13" s="10">
        <v>85</v>
      </c>
      <c r="F13" s="10">
        <v>38</v>
      </c>
      <c r="G13" s="10">
        <v>119</v>
      </c>
      <c r="H13" s="10">
        <v>80</v>
      </c>
      <c r="I13" s="10">
        <v>52</v>
      </c>
      <c r="J13" s="10">
        <v>42</v>
      </c>
      <c r="K13" s="11">
        <v>334</v>
      </c>
    </row>
    <row r="14" spans="1:11" x14ac:dyDescent="0.15">
      <c r="B14" s="6" t="s">
        <v>62</v>
      </c>
      <c r="C14" s="7" t="s">
        <v>45</v>
      </c>
      <c r="D14" s="10">
        <v>117</v>
      </c>
      <c r="E14" s="10">
        <v>134</v>
      </c>
      <c r="F14" s="10">
        <v>30</v>
      </c>
      <c r="G14" s="10">
        <v>140</v>
      </c>
      <c r="H14" s="10">
        <v>79</v>
      </c>
      <c r="I14" s="10">
        <v>48</v>
      </c>
      <c r="J14" s="10">
        <v>38</v>
      </c>
      <c r="K14" s="11">
        <v>391</v>
      </c>
    </row>
    <row r="15" spans="1:11" x14ac:dyDescent="0.15">
      <c r="B15" s="6" t="s">
        <v>28</v>
      </c>
      <c r="C15" s="7" t="s">
        <v>46</v>
      </c>
      <c r="D15" s="10">
        <v>122</v>
      </c>
      <c r="E15" s="10">
        <v>130</v>
      </c>
      <c r="F15" s="10">
        <v>40</v>
      </c>
      <c r="G15" s="10">
        <v>40</v>
      </c>
      <c r="H15" s="10">
        <v>80</v>
      </c>
      <c r="I15" s="10">
        <v>49</v>
      </c>
      <c r="J15" s="10">
        <v>39</v>
      </c>
      <c r="K15" s="11">
        <v>292</v>
      </c>
    </row>
    <row r="16" spans="1:11" x14ac:dyDescent="0.15">
      <c r="B16" s="6" t="s">
        <v>31</v>
      </c>
      <c r="C16" s="7" t="s">
        <v>49</v>
      </c>
      <c r="D16" s="10">
        <v>117</v>
      </c>
      <c r="E16" s="10">
        <v>140</v>
      </c>
      <c r="F16" s="10">
        <v>35</v>
      </c>
      <c r="G16" s="10">
        <v>85</v>
      </c>
      <c r="H16" s="10">
        <v>70</v>
      </c>
      <c r="I16" s="10">
        <v>25</v>
      </c>
      <c r="J16" s="10">
        <v>37</v>
      </c>
      <c r="K16" s="11">
        <v>342</v>
      </c>
    </row>
    <row r="17" spans="2:11" x14ac:dyDescent="0.15">
      <c r="B17" s="6" t="s">
        <v>54</v>
      </c>
      <c r="C17" s="7" t="s">
        <v>51</v>
      </c>
      <c r="D17" s="10">
        <v>124</v>
      </c>
      <c r="E17" s="10">
        <v>146</v>
      </c>
      <c r="F17" s="10">
        <v>43</v>
      </c>
      <c r="G17" s="10">
        <v>112</v>
      </c>
      <c r="H17" s="10">
        <v>74</v>
      </c>
      <c r="I17" s="10">
        <v>40</v>
      </c>
      <c r="J17" s="10">
        <v>38</v>
      </c>
      <c r="K17" s="11">
        <v>382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N19" sqref="N19"/>
    </sheetView>
  </sheetViews>
  <sheetFormatPr defaultRowHeight="14.25" x14ac:dyDescent="0.15"/>
  <cols>
    <col min="11" max="11" width="11.625" bestFit="1" customWidth="1"/>
  </cols>
  <sheetData>
    <row r="1" spans="1:11" ht="26.1" customHeight="1" x14ac:dyDescent="0.4">
      <c r="A1" s="17" t="s">
        <v>63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15">
      <c r="A2" s="19" t="s">
        <v>0</v>
      </c>
      <c r="B2" s="19" t="s">
        <v>1</v>
      </c>
      <c r="C2" s="19" t="s">
        <v>2</v>
      </c>
      <c r="D2" s="19" t="s">
        <v>3</v>
      </c>
      <c r="E2" s="20" t="s">
        <v>59</v>
      </c>
      <c r="F2" s="19" t="s">
        <v>4</v>
      </c>
      <c r="G2" s="20" t="s">
        <v>57</v>
      </c>
      <c r="H2" s="20" t="s">
        <v>58</v>
      </c>
      <c r="I2" s="20" t="s">
        <v>60</v>
      </c>
      <c r="J2" s="20" t="s">
        <v>107</v>
      </c>
      <c r="K2" s="20" t="s">
        <v>61</v>
      </c>
    </row>
    <row r="3" spans="1:11" x14ac:dyDescent="0.15">
      <c r="A3" s="19" t="s">
        <v>12</v>
      </c>
      <c r="B3" s="19" t="s">
        <v>5</v>
      </c>
      <c r="C3" s="21">
        <v>120</v>
      </c>
      <c r="D3" s="21">
        <v>148</v>
      </c>
      <c r="E3" s="21">
        <v>44</v>
      </c>
      <c r="F3" s="21">
        <v>145</v>
      </c>
      <c r="G3" s="21">
        <v>89</v>
      </c>
      <c r="H3" s="21">
        <v>60</v>
      </c>
      <c r="I3" s="21">
        <v>45</v>
      </c>
      <c r="J3" s="21" t="str">
        <f>IF(OR(C3&gt;130,D3&gt;130,F3&gt;130),"优秀","合格")</f>
        <v>优秀</v>
      </c>
      <c r="K3" s="22">
        <f>C3+D3+F3</f>
        <v>413</v>
      </c>
    </row>
    <row r="4" spans="1:11" x14ac:dyDescent="0.15">
      <c r="A4" s="19" t="s">
        <v>13</v>
      </c>
      <c r="B4" s="19" t="s">
        <v>6</v>
      </c>
      <c r="C4" s="21">
        <v>112</v>
      </c>
      <c r="D4" s="21">
        <v>135</v>
      </c>
      <c r="E4" s="21">
        <v>43</v>
      </c>
      <c r="F4" s="21">
        <v>110</v>
      </c>
      <c r="G4" s="21">
        <v>75</v>
      </c>
      <c r="H4" s="21">
        <v>58</v>
      </c>
      <c r="I4" s="21">
        <v>42</v>
      </c>
      <c r="J4" s="21" t="str">
        <f t="shared" ref="J4:J29" si="0">IF(OR(C4&gt;130,D4&gt;130,F4&gt;130),"优秀","合格")</f>
        <v>优秀</v>
      </c>
      <c r="K4" s="22">
        <f t="shared" ref="K4:K29" si="1">C4+D4+F4</f>
        <v>357</v>
      </c>
    </row>
    <row r="5" spans="1:11" x14ac:dyDescent="0.15">
      <c r="A5" s="19" t="s">
        <v>14</v>
      </c>
      <c r="B5" s="19" t="s">
        <v>7</v>
      </c>
      <c r="C5" s="21">
        <v>115</v>
      </c>
      <c r="D5" s="21">
        <v>120</v>
      </c>
      <c r="E5" s="21">
        <v>43</v>
      </c>
      <c r="F5" s="21">
        <v>125</v>
      </c>
      <c r="G5" s="21">
        <v>89</v>
      </c>
      <c r="H5" s="21">
        <v>57</v>
      </c>
      <c r="I5" s="21">
        <v>45</v>
      </c>
      <c r="J5" s="21" t="str">
        <f t="shared" si="0"/>
        <v>合格</v>
      </c>
      <c r="K5" s="22">
        <f t="shared" si="1"/>
        <v>360</v>
      </c>
    </row>
    <row r="6" spans="1:11" x14ac:dyDescent="0.15">
      <c r="A6" s="19" t="s">
        <v>15</v>
      </c>
      <c r="B6" s="19" t="s">
        <v>8</v>
      </c>
      <c r="C6" s="21">
        <v>103</v>
      </c>
      <c r="D6" s="21">
        <v>115</v>
      </c>
      <c r="E6" s="21">
        <v>45</v>
      </c>
      <c r="F6" s="21">
        <v>125</v>
      </c>
      <c r="G6" s="21">
        <v>57</v>
      </c>
      <c r="H6" s="21">
        <v>50</v>
      </c>
      <c r="I6" s="21">
        <v>40</v>
      </c>
      <c r="J6" s="21" t="str">
        <f t="shared" si="0"/>
        <v>合格</v>
      </c>
      <c r="K6" s="22">
        <f t="shared" si="1"/>
        <v>343</v>
      </c>
    </row>
    <row r="7" spans="1:11" x14ac:dyDescent="0.15">
      <c r="A7" s="19" t="s">
        <v>21</v>
      </c>
      <c r="B7" s="19" t="s">
        <v>9</v>
      </c>
      <c r="C7" s="21">
        <v>125</v>
      </c>
      <c r="D7" s="21">
        <v>80</v>
      </c>
      <c r="E7" s="21">
        <v>40</v>
      </c>
      <c r="F7" s="21">
        <v>111</v>
      </c>
      <c r="G7" s="21">
        <v>86</v>
      </c>
      <c r="H7" s="21">
        <v>48</v>
      </c>
      <c r="I7" s="21">
        <v>43</v>
      </c>
      <c r="J7" s="21" t="str">
        <f t="shared" si="0"/>
        <v>合格</v>
      </c>
      <c r="K7" s="22">
        <f t="shared" si="1"/>
        <v>316</v>
      </c>
    </row>
    <row r="8" spans="1:11" x14ac:dyDescent="0.15">
      <c r="A8" s="19" t="s">
        <v>16</v>
      </c>
      <c r="B8" s="19" t="s">
        <v>10</v>
      </c>
      <c r="C8" s="21">
        <v>106</v>
      </c>
      <c r="D8" s="21">
        <v>95</v>
      </c>
      <c r="E8" s="21">
        <v>43</v>
      </c>
      <c r="F8" s="21">
        <v>128</v>
      </c>
      <c r="G8" s="21">
        <v>74</v>
      </c>
      <c r="H8" s="21">
        <v>40</v>
      </c>
      <c r="I8" s="21">
        <v>38</v>
      </c>
      <c r="J8" s="21" t="str">
        <f t="shared" si="0"/>
        <v>合格</v>
      </c>
      <c r="K8" s="22">
        <f t="shared" si="1"/>
        <v>329</v>
      </c>
    </row>
    <row r="9" spans="1:11" x14ac:dyDescent="0.15">
      <c r="A9" s="19" t="s">
        <v>17</v>
      </c>
      <c r="B9" s="19" t="s">
        <v>33</v>
      </c>
      <c r="C9" s="21">
        <v>124</v>
      </c>
      <c r="D9" s="21">
        <v>146</v>
      </c>
      <c r="E9" s="21">
        <v>45</v>
      </c>
      <c r="F9" s="21">
        <v>112</v>
      </c>
      <c r="G9" s="21">
        <v>87</v>
      </c>
      <c r="H9" s="21">
        <v>58</v>
      </c>
      <c r="I9" s="21">
        <v>37</v>
      </c>
      <c r="J9" s="21" t="str">
        <f t="shared" si="0"/>
        <v>优秀</v>
      </c>
      <c r="K9" s="22">
        <f t="shared" si="1"/>
        <v>382</v>
      </c>
    </row>
    <row r="10" spans="1:11" x14ac:dyDescent="0.15">
      <c r="A10" s="19" t="s">
        <v>18</v>
      </c>
      <c r="B10" s="19" t="s">
        <v>34</v>
      </c>
      <c r="C10" s="21">
        <v>118</v>
      </c>
      <c r="D10" s="21">
        <v>130</v>
      </c>
      <c r="E10" s="21">
        <v>43</v>
      </c>
      <c r="F10" s="21">
        <v>102</v>
      </c>
      <c r="G10" s="21">
        <v>86</v>
      </c>
      <c r="H10" s="21">
        <v>54</v>
      </c>
      <c r="I10" s="21">
        <v>38</v>
      </c>
      <c r="J10" s="21" t="str">
        <f t="shared" si="0"/>
        <v>合格</v>
      </c>
      <c r="K10" s="22">
        <f t="shared" si="1"/>
        <v>350</v>
      </c>
    </row>
    <row r="11" spans="1:11" x14ac:dyDescent="0.15">
      <c r="A11" s="19" t="s">
        <v>19</v>
      </c>
      <c r="B11" s="19" t="s">
        <v>35</v>
      </c>
      <c r="C11" s="21">
        <v>90</v>
      </c>
      <c r="D11" s="21">
        <v>125</v>
      </c>
      <c r="E11" s="21">
        <v>40</v>
      </c>
      <c r="F11" s="21">
        <v>135</v>
      </c>
      <c r="G11" s="21">
        <v>71</v>
      </c>
      <c r="H11" s="21">
        <v>51</v>
      </c>
      <c r="I11" s="21">
        <v>34</v>
      </c>
      <c r="J11" s="21" t="str">
        <f t="shared" si="0"/>
        <v>优秀</v>
      </c>
      <c r="K11" s="22">
        <f t="shared" si="1"/>
        <v>350</v>
      </c>
    </row>
    <row r="12" spans="1:11" x14ac:dyDescent="0.15">
      <c r="A12" s="19" t="s">
        <v>15</v>
      </c>
      <c r="B12" s="19" t="s">
        <v>36</v>
      </c>
      <c r="C12" s="21">
        <v>95</v>
      </c>
      <c r="D12" s="21">
        <v>118</v>
      </c>
      <c r="E12" s="21">
        <v>40</v>
      </c>
      <c r="F12" s="21">
        <v>111</v>
      </c>
      <c r="G12" s="21">
        <v>84</v>
      </c>
      <c r="H12" s="21">
        <v>58</v>
      </c>
      <c r="I12" s="21">
        <v>42</v>
      </c>
      <c r="J12" s="21" t="str">
        <f t="shared" si="0"/>
        <v>合格</v>
      </c>
      <c r="K12" s="22">
        <f t="shared" si="1"/>
        <v>324</v>
      </c>
    </row>
    <row r="13" spans="1:11" x14ac:dyDescent="0.15">
      <c r="A13" s="19" t="s">
        <v>11</v>
      </c>
      <c r="B13" s="19" t="s">
        <v>37</v>
      </c>
      <c r="C13" s="21">
        <v>128</v>
      </c>
      <c r="D13" s="21">
        <v>121</v>
      </c>
      <c r="E13" s="21">
        <v>44</v>
      </c>
      <c r="F13" s="21">
        <v>124</v>
      </c>
      <c r="G13" s="21">
        <v>75</v>
      </c>
      <c r="H13" s="21">
        <v>60</v>
      </c>
      <c r="I13" s="21">
        <v>40</v>
      </c>
      <c r="J13" s="21" t="str">
        <f t="shared" si="0"/>
        <v>合格</v>
      </c>
      <c r="K13" s="22">
        <f t="shared" si="1"/>
        <v>373</v>
      </c>
    </row>
    <row r="14" spans="1:11" x14ac:dyDescent="0.15">
      <c r="A14" s="19" t="s">
        <v>20</v>
      </c>
      <c r="B14" s="19" t="s">
        <v>38</v>
      </c>
      <c r="C14" s="21">
        <v>116</v>
      </c>
      <c r="D14" s="21">
        <v>138</v>
      </c>
      <c r="E14" s="21">
        <v>44</v>
      </c>
      <c r="F14" s="21">
        <v>120</v>
      </c>
      <c r="G14" s="21">
        <v>70</v>
      </c>
      <c r="H14" s="21">
        <v>41</v>
      </c>
      <c r="I14" s="21">
        <v>33</v>
      </c>
      <c r="J14" s="21" t="str">
        <f t="shared" si="0"/>
        <v>优秀</v>
      </c>
      <c r="K14" s="22">
        <f t="shared" si="1"/>
        <v>374</v>
      </c>
    </row>
    <row r="15" spans="1:11" x14ac:dyDescent="0.15">
      <c r="A15" s="19" t="s">
        <v>22</v>
      </c>
      <c r="B15" s="19" t="s">
        <v>39</v>
      </c>
      <c r="C15" s="21">
        <v>118</v>
      </c>
      <c r="D15" s="21">
        <v>125</v>
      </c>
      <c r="E15" s="21">
        <v>47</v>
      </c>
      <c r="F15" s="21">
        <v>118</v>
      </c>
      <c r="G15" s="21">
        <v>75</v>
      </c>
      <c r="H15" s="21">
        <v>49</v>
      </c>
      <c r="I15" s="21">
        <v>44</v>
      </c>
      <c r="J15" s="21" t="str">
        <f t="shared" si="0"/>
        <v>合格</v>
      </c>
      <c r="K15" s="22">
        <f t="shared" si="1"/>
        <v>361</v>
      </c>
    </row>
    <row r="16" spans="1:11" x14ac:dyDescent="0.15">
      <c r="A16" s="19" t="s">
        <v>23</v>
      </c>
      <c r="B16" s="19" t="s">
        <v>40</v>
      </c>
      <c r="C16" s="21">
        <v>110</v>
      </c>
      <c r="D16" s="21">
        <v>111</v>
      </c>
      <c r="E16" s="21">
        <v>46</v>
      </c>
      <c r="F16" s="21">
        <v>114</v>
      </c>
      <c r="G16" s="21">
        <v>71</v>
      </c>
      <c r="H16" s="21">
        <v>48</v>
      </c>
      <c r="I16" s="21">
        <v>41</v>
      </c>
      <c r="J16" s="21" t="str">
        <f t="shared" si="0"/>
        <v>合格</v>
      </c>
      <c r="K16" s="22">
        <f t="shared" si="1"/>
        <v>335</v>
      </c>
    </row>
    <row r="17" spans="1:11" x14ac:dyDescent="0.15">
      <c r="A17" s="19" t="s">
        <v>24</v>
      </c>
      <c r="B17" s="19" t="s">
        <v>41</v>
      </c>
      <c r="C17" s="21">
        <v>93</v>
      </c>
      <c r="D17" s="21">
        <v>103</v>
      </c>
      <c r="E17" s="21">
        <v>41</v>
      </c>
      <c r="F17" s="21">
        <v>90</v>
      </c>
      <c r="G17" s="21">
        <v>73</v>
      </c>
      <c r="H17" s="21">
        <v>60</v>
      </c>
      <c r="I17" s="21">
        <v>43</v>
      </c>
      <c r="J17" s="21" t="str">
        <f t="shared" si="0"/>
        <v>合格</v>
      </c>
      <c r="K17" s="22">
        <f t="shared" si="1"/>
        <v>286</v>
      </c>
    </row>
    <row r="18" spans="1:11" x14ac:dyDescent="0.15">
      <c r="A18" s="19" t="s">
        <v>25</v>
      </c>
      <c r="B18" s="19" t="s">
        <v>42</v>
      </c>
      <c r="C18" s="21">
        <v>84</v>
      </c>
      <c r="D18" s="21">
        <v>92</v>
      </c>
      <c r="E18" s="21">
        <v>45</v>
      </c>
      <c r="F18" s="21">
        <v>127</v>
      </c>
      <c r="G18" s="21">
        <v>59</v>
      </c>
      <c r="H18" s="21">
        <v>49</v>
      </c>
      <c r="I18" s="21">
        <v>44</v>
      </c>
      <c r="J18" s="21" t="str">
        <f t="shared" si="0"/>
        <v>合格</v>
      </c>
      <c r="K18" s="22">
        <f t="shared" si="1"/>
        <v>303</v>
      </c>
    </row>
    <row r="19" spans="1:11" x14ac:dyDescent="0.15">
      <c r="A19" s="19" t="s">
        <v>26</v>
      </c>
      <c r="B19" s="19" t="s">
        <v>43</v>
      </c>
      <c r="C19" s="21">
        <v>110</v>
      </c>
      <c r="D19" s="21">
        <v>86</v>
      </c>
      <c r="E19" s="21">
        <v>45</v>
      </c>
      <c r="F19" s="21">
        <v>84</v>
      </c>
      <c r="G19" s="21">
        <v>86</v>
      </c>
      <c r="H19" s="21">
        <v>53</v>
      </c>
      <c r="I19" s="21">
        <v>41</v>
      </c>
      <c r="J19" s="21" t="str">
        <f t="shared" si="0"/>
        <v>合格</v>
      </c>
      <c r="K19" s="22">
        <f t="shared" si="1"/>
        <v>280</v>
      </c>
    </row>
    <row r="20" spans="1:11" x14ac:dyDescent="0.15">
      <c r="A20" s="19" t="s">
        <v>27</v>
      </c>
      <c r="B20" s="19" t="s">
        <v>44</v>
      </c>
      <c r="C20" s="21">
        <v>130</v>
      </c>
      <c r="D20" s="21">
        <v>85</v>
      </c>
      <c r="E20" s="21">
        <v>38</v>
      </c>
      <c r="F20" s="21">
        <v>119</v>
      </c>
      <c r="G20" s="21">
        <v>80</v>
      </c>
      <c r="H20" s="21">
        <v>52</v>
      </c>
      <c r="I20" s="21">
        <v>42</v>
      </c>
      <c r="J20" s="21" t="str">
        <f t="shared" si="0"/>
        <v>合格</v>
      </c>
      <c r="K20" s="22">
        <f t="shared" si="1"/>
        <v>334</v>
      </c>
    </row>
    <row r="21" spans="1:11" x14ac:dyDescent="0.15">
      <c r="A21" s="19" t="s">
        <v>62</v>
      </c>
      <c r="B21" s="19" t="s">
        <v>45</v>
      </c>
      <c r="C21" s="21">
        <v>117</v>
      </c>
      <c r="D21" s="21">
        <v>134</v>
      </c>
      <c r="E21" s="21">
        <v>30</v>
      </c>
      <c r="F21" s="21">
        <v>140</v>
      </c>
      <c r="G21" s="21">
        <v>79</v>
      </c>
      <c r="H21" s="21">
        <v>48</v>
      </c>
      <c r="I21" s="21">
        <v>38</v>
      </c>
      <c r="J21" s="21" t="str">
        <f t="shared" si="0"/>
        <v>优秀</v>
      </c>
      <c r="K21" s="22">
        <f t="shared" si="1"/>
        <v>391</v>
      </c>
    </row>
    <row r="22" spans="1:11" x14ac:dyDescent="0.15">
      <c r="A22" s="19" t="s">
        <v>28</v>
      </c>
      <c r="B22" s="19" t="s">
        <v>46</v>
      </c>
      <c r="C22" s="21">
        <v>122</v>
      </c>
      <c r="D22" s="21">
        <v>130</v>
      </c>
      <c r="E22" s="21">
        <v>40</v>
      </c>
      <c r="F22" s="21">
        <v>40</v>
      </c>
      <c r="G22" s="21">
        <v>80</v>
      </c>
      <c r="H22" s="21">
        <v>49</v>
      </c>
      <c r="I22" s="21">
        <v>39</v>
      </c>
      <c r="J22" s="21" t="str">
        <f t="shared" si="0"/>
        <v>合格</v>
      </c>
      <c r="K22" s="22">
        <f t="shared" si="1"/>
        <v>292</v>
      </c>
    </row>
    <row r="23" spans="1:11" x14ac:dyDescent="0.15">
      <c r="A23" s="19" t="s">
        <v>29</v>
      </c>
      <c r="B23" s="19" t="s">
        <v>47</v>
      </c>
      <c r="C23" s="21">
        <v>103</v>
      </c>
      <c r="D23" s="21">
        <v>125</v>
      </c>
      <c r="E23" s="21">
        <v>45</v>
      </c>
      <c r="F23" s="21">
        <v>141</v>
      </c>
      <c r="G23" s="21">
        <v>25</v>
      </c>
      <c r="H23" s="21">
        <v>30</v>
      </c>
      <c r="I23" s="21">
        <v>40</v>
      </c>
      <c r="J23" s="21" t="str">
        <f t="shared" si="0"/>
        <v>优秀</v>
      </c>
      <c r="K23" s="22">
        <f t="shared" si="1"/>
        <v>369</v>
      </c>
    </row>
    <row r="24" spans="1:11" x14ac:dyDescent="0.15">
      <c r="A24" s="19" t="s">
        <v>30</v>
      </c>
      <c r="B24" s="19" t="s">
        <v>48</v>
      </c>
      <c r="C24" s="21">
        <v>110</v>
      </c>
      <c r="D24" s="21">
        <v>128</v>
      </c>
      <c r="E24" s="21">
        <v>40</v>
      </c>
      <c r="F24" s="21">
        <v>106</v>
      </c>
      <c r="G24" s="21">
        <v>42</v>
      </c>
      <c r="H24" s="21">
        <v>37</v>
      </c>
      <c r="I24" s="21">
        <v>38</v>
      </c>
      <c r="J24" s="21" t="str">
        <f t="shared" si="0"/>
        <v>合格</v>
      </c>
      <c r="K24" s="22">
        <f t="shared" si="1"/>
        <v>344</v>
      </c>
    </row>
    <row r="25" spans="1:11" x14ac:dyDescent="0.15">
      <c r="A25" s="19" t="s">
        <v>31</v>
      </c>
      <c r="B25" s="19" t="s">
        <v>49</v>
      </c>
      <c r="C25" s="21">
        <v>117</v>
      </c>
      <c r="D25" s="21">
        <v>140</v>
      </c>
      <c r="E25" s="21">
        <v>35</v>
      </c>
      <c r="F25" s="21">
        <v>85</v>
      </c>
      <c r="G25" s="21">
        <v>70</v>
      </c>
      <c r="H25" s="21">
        <v>25</v>
      </c>
      <c r="I25" s="21">
        <v>37</v>
      </c>
      <c r="J25" s="21" t="str">
        <f t="shared" si="0"/>
        <v>优秀</v>
      </c>
      <c r="K25" s="22">
        <f>C25+D25+F25</f>
        <v>342</v>
      </c>
    </row>
    <row r="26" spans="1:11" x14ac:dyDescent="0.15">
      <c r="A26" s="19" t="s">
        <v>32</v>
      </c>
      <c r="B26" s="19" t="s">
        <v>50</v>
      </c>
      <c r="C26" s="21">
        <v>106</v>
      </c>
      <c r="D26" s="21">
        <v>95</v>
      </c>
      <c r="E26" s="21">
        <v>40</v>
      </c>
      <c r="F26" s="21">
        <v>128</v>
      </c>
      <c r="G26" s="21">
        <v>86</v>
      </c>
      <c r="H26" s="21">
        <v>48</v>
      </c>
      <c r="I26" s="21">
        <v>43</v>
      </c>
      <c r="J26" s="21" t="str">
        <f t="shared" si="0"/>
        <v>合格</v>
      </c>
      <c r="K26" s="22">
        <f t="shared" si="1"/>
        <v>329</v>
      </c>
    </row>
    <row r="27" spans="1:11" x14ac:dyDescent="0.15">
      <c r="A27" s="19" t="s">
        <v>54</v>
      </c>
      <c r="B27" s="19" t="s">
        <v>51</v>
      </c>
      <c r="C27" s="21">
        <v>124</v>
      </c>
      <c r="D27" s="21">
        <v>146</v>
      </c>
      <c r="E27" s="21">
        <v>43</v>
      </c>
      <c r="F27" s="21">
        <v>112</v>
      </c>
      <c r="G27" s="21">
        <v>74</v>
      </c>
      <c r="H27" s="21">
        <v>40</v>
      </c>
      <c r="I27" s="21">
        <v>38</v>
      </c>
      <c r="J27" s="21" t="str">
        <f t="shared" si="0"/>
        <v>优秀</v>
      </c>
      <c r="K27" s="22">
        <f t="shared" si="1"/>
        <v>382</v>
      </c>
    </row>
    <row r="28" spans="1:11" x14ac:dyDescent="0.15">
      <c r="A28" s="19" t="s">
        <v>55</v>
      </c>
      <c r="B28" s="19" t="s">
        <v>52</v>
      </c>
      <c r="C28" s="21">
        <v>118</v>
      </c>
      <c r="D28" s="21">
        <v>130</v>
      </c>
      <c r="E28" s="21">
        <v>40</v>
      </c>
      <c r="F28" s="21">
        <v>102</v>
      </c>
      <c r="G28" s="21">
        <v>84</v>
      </c>
      <c r="H28" s="21">
        <v>58</v>
      </c>
      <c r="I28" s="21">
        <v>42</v>
      </c>
      <c r="J28" s="21" t="str">
        <f t="shared" si="0"/>
        <v>合格</v>
      </c>
      <c r="K28" s="22">
        <f t="shared" si="1"/>
        <v>350</v>
      </c>
    </row>
    <row r="29" spans="1:11" x14ac:dyDescent="0.15">
      <c r="A29" s="19" t="s">
        <v>56</v>
      </c>
      <c r="B29" s="19" t="s">
        <v>53</v>
      </c>
      <c r="C29" s="21">
        <v>106</v>
      </c>
      <c r="D29" s="21">
        <v>95</v>
      </c>
      <c r="E29" s="21">
        <v>44</v>
      </c>
      <c r="F29" s="21">
        <v>128</v>
      </c>
      <c r="G29" s="21">
        <v>75</v>
      </c>
      <c r="H29" s="21">
        <v>60</v>
      </c>
      <c r="I29" s="21">
        <v>40</v>
      </c>
      <c r="J29" s="21" t="str">
        <f t="shared" si="0"/>
        <v>合格</v>
      </c>
      <c r="K29" s="22">
        <f t="shared" si="1"/>
        <v>329</v>
      </c>
    </row>
    <row r="30" spans="1:11" ht="15.75" x14ac:dyDescent="0.25">
      <c r="C30" s="1"/>
      <c r="D30" s="2"/>
      <c r="F30" s="1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4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Sheet1</vt:lpstr>
      <vt:lpstr>Sheet2</vt:lpstr>
      <vt:lpstr>筛选</vt:lpstr>
      <vt:lpstr>等级</vt:lpstr>
      <vt:lpstr>Chart1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2018-09-14T06:43:51Z</dcterms:modified>
</cp:coreProperties>
</file>