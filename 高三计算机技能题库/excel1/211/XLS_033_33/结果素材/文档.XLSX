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75" windowWidth="13635" windowHeight="5010"/>
  </bookViews>
  <sheets>
    <sheet name="Sheet1" sheetId="1" r:id="rId1"/>
    <sheet name="调后价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C83" i="3" l="1"/>
  <c r="B83" i="3"/>
  <c r="C69" i="3"/>
  <c r="B69" i="3"/>
  <c r="C49" i="3"/>
  <c r="B49" i="3"/>
  <c r="C47" i="3"/>
  <c r="B47" i="3"/>
  <c r="C34" i="3"/>
  <c r="B34" i="3"/>
  <c r="C27" i="3"/>
  <c r="C84" i="3" s="1"/>
  <c r="B27" i="3"/>
  <c r="B84" i="3" s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2" i="2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5" i="1"/>
</calcChain>
</file>

<file path=xl/sharedStrings.xml><?xml version="1.0" encoding="utf-8"?>
<sst xmlns="http://schemas.openxmlformats.org/spreadsheetml/2006/main" count="407" uniqueCount="40">
  <si>
    <t>折扣率</t>
  </si>
  <si>
    <t>购买人：</t>
  </si>
  <si>
    <t>物品</t>
  </si>
  <si>
    <t>数量</t>
  </si>
  <si>
    <t>日期</t>
  </si>
  <si>
    <t>陈松</t>
  </si>
  <si>
    <t>可乐</t>
  </si>
  <si>
    <t>邓康</t>
  </si>
  <si>
    <t>活力28</t>
  </si>
  <si>
    <t>李江</t>
  </si>
  <si>
    <t>冰红茶</t>
  </si>
  <si>
    <t>马猊</t>
  </si>
  <si>
    <t>牛利</t>
  </si>
  <si>
    <t>美年达</t>
  </si>
  <si>
    <t>单奇</t>
  </si>
  <si>
    <t>高靖</t>
  </si>
  <si>
    <t>王铭</t>
  </si>
  <si>
    <t>严枝</t>
  </si>
  <si>
    <t>雪碧</t>
  </si>
  <si>
    <t>钱阔</t>
  </si>
  <si>
    <t>雪莉</t>
  </si>
  <si>
    <t>曾春</t>
  </si>
  <si>
    <t>李晓</t>
  </si>
  <si>
    <t>力士</t>
  </si>
  <si>
    <t>总价</t>
    <phoneticPr fontId="1" type="noConversion"/>
  </si>
  <si>
    <t>折后总价</t>
    <phoneticPr fontId="1" type="noConversion"/>
  </si>
  <si>
    <t>原单价</t>
    <phoneticPr fontId="1" type="noConversion"/>
  </si>
  <si>
    <t>7月饮料销售情况</t>
    <phoneticPr fontId="1" type="noConversion"/>
  </si>
  <si>
    <t>原单价</t>
  </si>
  <si>
    <t>总价</t>
  </si>
  <si>
    <t>折后总价</t>
  </si>
  <si>
    <t>上调后单价</t>
  </si>
  <si>
    <t>上调后单价</t>
    <phoneticPr fontId="1" type="noConversion"/>
  </si>
  <si>
    <t>冰红茶 汇总</t>
  </si>
  <si>
    <t>活力28 汇总</t>
  </si>
  <si>
    <t>可乐 汇总</t>
  </si>
  <si>
    <t>力士 汇总</t>
  </si>
  <si>
    <t>美年达 汇总</t>
  </si>
  <si>
    <t>雪碧 汇总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</si>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</sst>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m&quot;月&quot;d&quot;日&quot;;@"/>
    <numFmt numFmtId="177" formatCode="0.0;[Red]0.0"/>
  </numFmts>
  <fonts count="6" x14ac:knownFonts="1">
    <font>
      <sz val="12"/>
      <name val="宋体"/>
      <charset val="134"/>
    </font>
    <font>
      <sz val="9"/>
      <name val="宋体"/>
      <charset val="134"/>
    </font>
    <font>
      <sz val="12"/>
      <color indexed="10"/>
      <name val="宋体"/>
      <charset val="134"/>
    </font>
    <font>
      <sz val="12"/>
      <name val="宋体"/>
      <family val="3"/>
      <charset val="134"/>
    </font>
    <font>
      <b/>
      <sz val="18"/>
      <color rgb="FF0070C0"/>
      <name val="华文行楷"/>
      <family val="3"/>
      <charset val="134"/>
    </font>
    <font>
      <b/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double">
        <color rgb="FF00B0F0"/>
      </left>
      <right style="thin">
        <color rgb="FFFF0000"/>
      </right>
      <top style="double">
        <color rgb="FF00B0F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double">
        <color rgb="FF00B0F0"/>
      </top>
      <bottom style="thin">
        <color rgb="FFFF0000"/>
      </bottom>
      <diagonal/>
    </border>
    <border>
      <left style="thin">
        <color rgb="FFFF0000"/>
      </left>
      <right style="double">
        <color rgb="FF00B0F0"/>
      </right>
      <top style="double">
        <color rgb="FF00B0F0"/>
      </top>
      <bottom style="thin">
        <color rgb="FFFF0000"/>
      </bottom>
      <diagonal/>
    </border>
    <border>
      <left style="double">
        <color rgb="FF00B0F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double">
        <color rgb="FF00B0F0"/>
      </right>
      <top style="thin">
        <color rgb="FFFF0000"/>
      </top>
      <bottom style="thin">
        <color rgb="FFFF0000"/>
      </bottom>
      <diagonal/>
    </border>
    <border>
      <left style="double">
        <color rgb="FF00B0F0"/>
      </left>
      <right style="thin">
        <color rgb="FFFF0000"/>
      </right>
      <top style="thin">
        <color rgb="FFFF0000"/>
      </top>
      <bottom style="double">
        <color rgb="FF00B0F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double">
        <color rgb="FF00B0F0"/>
      </bottom>
      <diagonal/>
    </border>
    <border>
      <left style="thin">
        <color rgb="FFFF0000"/>
      </left>
      <right style="double">
        <color rgb="FF00B0F0"/>
      </right>
      <top style="thin">
        <color rgb="FFFF0000"/>
      </top>
      <bottom style="double">
        <color rgb="FF00B0F0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0" fillId="0" borderId="6" xfId="0" applyBorder="1">
      <alignment vertical="center"/>
    </xf>
    <xf numFmtId="177" fontId="0" fillId="0" borderId="5" xfId="0" applyNumberFormat="1" applyBorder="1">
      <alignment vertical="center"/>
    </xf>
    <xf numFmtId="176" fontId="0" fillId="0" borderId="5" xfId="0" applyNumberFormat="1" applyBorder="1">
      <alignment vertical="center"/>
    </xf>
    <xf numFmtId="177" fontId="0" fillId="0" borderId="6" xfId="0" applyNumberFormat="1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177" fontId="0" fillId="0" borderId="8" xfId="0" applyNumberFormat="1" applyBorder="1">
      <alignment vertical="center"/>
    </xf>
    <xf numFmtId="176" fontId="0" fillId="0" borderId="8" xfId="0" applyNumberFormat="1" applyBorder="1">
      <alignment vertical="center"/>
    </xf>
    <xf numFmtId="177" fontId="0" fillId="0" borderId="9" xfId="0" applyNumberFormat="1" applyBorder="1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原价上调价比较图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Sheet3!$C$1</c:f>
              <c:strCache>
                <c:ptCount val="1"/>
                <c:pt idx="0">
                  <c:v>上调后单价</c:v>
                </c:pt>
              </c:strCache>
            </c:strRef>
          </c:tx>
          <c:cat>
            <c:strRef>
              <c:f>(Sheet3!$A$27,Sheet3!$A$34,Sheet3!$A$47,Sheet3!$A$49,Sheet3!$A$69,Sheet3!$A$83)</c:f>
              <c:strCache>
                <c:ptCount val="6"/>
                <c:pt idx="0">
                  <c:v>冰红茶 汇总</c:v>
                </c:pt>
                <c:pt idx="1">
                  <c:v>活力28 汇总</c:v>
                </c:pt>
                <c:pt idx="2">
                  <c:v>可乐 汇总</c:v>
                </c:pt>
                <c:pt idx="3">
                  <c:v>力士 汇总</c:v>
                </c:pt>
                <c:pt idx="4">
                  <c:v>美年达 汇总</c:v>
                </c:pt>
                <c:pt idx="5">
                  <c:v>雪碧 汇总</c:v>
                </c:pt>
              </c:strCache>
            </c:strRef>
          </c:cat>
          <c:val>
            <c:numRef>
              <c:f>(Sheet3!$C$27,Sheet3!$C$34,Sheet3!$C$47,Sheet3!$C$49,Sheet3!$C$69,Sheet3!$C$83)</c:f>
              <c:numCache>
                <c:formatCode>General</c:formatCode>
                <c:ptCount val="6"/>
                <c:pt idx="0">
                  <c:v>50</c:v>
                </c:pt>
                <c:pt idx="1">
                  <c:v>31.2</c:v>
                </c:pt>
                <c:pt idx="2">
                  <c:v>45.599999999999987</c:v>
                </c:pt>
                <c:pt idx="3">
                  <c:v>3.6</c:v>
                </c:pt>
                <c:pt idx="4">
                  <c:v>57</c:v>
                </c:pt>
                <c:pt idx="5">
                  <c:v>42.899999999999991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Sheet3!$B$1</c:f>
              <c:strCache>
                <c:ptCount val="1"/>
                <c:pt idx="0">
                  <c:v>原单价</c:v>
                </c:pt>
              </c:strCache>
            </c:strRef>
          </c:tx>
          <c:cat>
            <c:strRef>
              <c:f>(Sheet3!$A$27,Sheet3!$A$34,Sheet3!$A$47,Sheet3!$A$49,Sheet3!$A$69,Sheet3!$A$83)</c:f>
              <c:strCache>
                <c:ptCount val="6"/>
                <c:pt idx="0">
                  <c:v>冰红茶 汇总</c:v>
                </c:pt>
                <c:pt idx="1">
                  <c:v>活力28 汇总</c:v>
                </c:pt>
                <c:pt idx="2">
                  <c:v>可乐 汇总</c:v>
                </c:pt>
                <c:pt idx="3">
                  <c:v>力士 汇总</c:v>
                </c:pt>
                <c:pt idx="4">
                  <c:v>美年达 汇总</c:v>
                </c:pt>
                <c:pt idx="5">
                  <c:v>雪碧 汇总</c:v>
                </c:pt>
              </c:strCache>
            </c:strRef>
          </c:cat>
          <c:val>
            <c:numRef>
              <c:f>(Sheet3!$B$27,Sheet3!$B$34,Sheet3!$B$47,Sheet3!$B$49,Sheet3!$B$69,Sheet3!$B$83)</c:f>
              <c:numCache>
                <c:formatCode>General</c:formatCode>
                <c:ptCount val="6"/>
                <c:pt idx="0">
                  <c:v>44.999999999999986</c:v>
                </c:pt>
                <c:pt idx="1">
                  <c:v>30</c:v>
                </c:pt>
                <c:pt idx="2">
                  <c:v>42</c:v>
                </c:pt>
                <c:pt idx="3">
                  <c:v>3.4</c:v>
                </c:pt>
                <c:pt idx="4">
                  <c:v>53.199999999999982</c:v>
                </c:pt>
                <c:pt idx="5">
                  <c:v>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934272"/>
        <c:axId val="33686272"/>
      </c:lineChart>
      <c:catAx>
        <c:axId val="26934272"/>
        <c:scaling>
          <c:orientation val="minMax"/>
        </c:scaling>
        <c:delete val="0"/>
        <c:axPos val="b"/>
        <c:majorTickMark val="out"/>
        <c:minorTickMark val="none"/>
        <c:tickLblPos val="nextTo"/>
        <c:crossAx val="33686272"/>
        <c:crosses val="autoZero"/>
        <c:auto val="1"/>
        <c:lblAlgn val="ctr"/>
        <c:lblOffset val="100"/>
        <c:noMultiLvlLbl val="0"/>
      </c:catAx>
      <c:valAx>
        <c:axId val="336862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69342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</xdr:colOff>
      <xdr:row>1</xdr:row>
      <xdr:rowOff>0</xdr:rowOff>
    </xdr:from>
    <xdr:to>
      <xdr:col>11</xdr:col>
      <xdr:colOff>57150</xdr:colOff>
      <xdr:row>90</xdr:row>
      <xdr:rowOff>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1"/>
  <sheetViews>
    <sheetView tabSelected="1" workbookViewId="0">
      <selection activeCell="A4" sqref="A4:G80"/>
    </sheetView>
  </sheetViews>
  <sheetFormatPr defaultRowHeight="14.25" x14ac:dyDescent="0.15"/>
  <sheetData>
    <row r="1" spans="1:7" ht="32.1" customHeight="1" thickTop="1" x14ac:dyDescent="0.15">
      <c r="A1" s="2" t="s">
        <v>27</v>
      </c>
      <c r="B1" s="3"/>
      <c r="C1" s="3"/>
      <c r="D1" s="3"/>
      <c r="E1" s="3"/>
      <c r="F1" s="3"/>
      <c r="G1" s="4"/>
    </row>
    <row r="2" spans="1:7" hidden="1" x14ac:dyDescent="0.15">
      <c r="A2" s="5"/>
      <c r="B2" s="6"/>
      <c r="C2" s="6"/>
      <c r="D2" s="6"/>
      <c r="E2" s="6"/>
      <c r="F2" s="6"/>
      <c r="G2" s="7"/>
    </row>
    <row r="3" spans="1:7" x14ac:dyDescent="0.15">
      <c r="A3" s="8"/>
      <c r="B3" s="9"/>
      <c r="C3" s="9"/>
      <c r="D3" s="9"/>
      <c r="E3" s="9"/>
      <c r="F3" s="10" t="s">
        <v>0</v>
      </c>
      <c r="G3" s="11">
        <v>0.7</v>
      </c>
    </row>
    <row r="4" spans="1:7" x14ac:dyDescent="0.15">
      <c r="A4" s="8" t="s">
        <v>1</v>
      </c>
      <c r="B4" s="9" t="s">
        <v>2</v>
      </c>
      <c r="C4" s="9" t="s">
        <v>26</v>
      </c>
      <c r="D4" s="9" t="s">
        <v>3</v>
      </c>
      <c r="E4" s="9" t="s">
        <v>24</v>
      </c>
      <c r="F4" s="9" t="s">
        <v>4</v>
      </c>
      <c r="G4" s="12" t="s">
        <v>25</v>
      </c>
    </row>
    <row r="5" spans="1:7" x14ac:dyDescent="0.15">
      <c r="A5" s="8" t="s">
        <v>5</v>
      </c>
      <c r="B5" s="9" t="s">
        <v>6</v>
      </c>
      <c r="C5" s="9">
        <v>3</v>
      </c>
      <c r="D5" s="9">
        <v>1</v>
      </c>
      <c r="E5" s="13">
        <f>C5*D5</f>
        <v>3</v>
      </c>
      <c r="F5" s="14">
        <v>36342</v>
      </c>
      <c r="G5" s="15">
        <f>E5*$G$3</f>
        <v>2.0999999999999996</v>
      </c>
    </row>
    <row r="6" spans="1:7" x14ac:dyDescent="0.15">
      <c r="A6" s="8" t="s">
        <v>7</v>
      </c>
      <c r="B6" s="9" t="s">
        <v>8</v>
      </c>
      <c r="C6" s="9">
        <v>5</v>
      </c>
      <c r="D6" s="9">
        <v>1</v>
      </c>
      <c r="E6" s="13">
        <f t="shared" ref="E6:E69" si="0">C6*D6</f>
        <v>5</v>
      </c>
      <c r="F6" s="14">
        <v>36342</v>
      </c>
      <c r="G6" s="15">
        <f t="shared" ref="G6:G69" si="1">E6*$G$3</f>
        <v>3.5</v>
      </c>
    </row>
    <row r="7" spans="1:7" x14ac:dyDescent="0.15">
      <c r="A7" s="8" t="s">
        <v>9</v>
      </c>
      <c r="B7" s="9" t="s">
        <v>10</v>
      </c>
      <c r="C7" s="9">
        <v>1.8</v>
      </c>
      <c r="D7" s="9">
        <v>1</v>
      </c>
      <c r="E7" s="13">
        <f t="shared" si="0"/>
        <v>1.8</v>
      </c>
      <c r="F7" s="14">
        <v>36342</v>
      </c>
      <c r="G7" s="15">
        <f t="shared" si="1"/>
        <v>1.26</v>
      </c>
    </row>
    <row r="8" spans="1:7" x14ac:dyDescent="0.15">
      <c r="A8" s="8" t="s">
        <v>11</v>
      </c>
      <c r="B8" s="9" t="s">
        <v>10</v>
      </c>
      <c r="C8" s="9">
        <v>1.8</v>
      </c>
      <c r="D8" s="9">
        <v>1</v>
      </c>
      <c r="E8" s="13">
        <f t="shared" si="0"/>
        <v>1.8</v>
      </c>
      <c r="F8" s="14">
        <v>36342</v>
      </c>
      <c r="G8" s="15">
        <f t="shared" si="1"/>
        <v>1.26</v>
      </c>
    </row>
    <row r="9" spans="1:7" x14ac:dyDescent="0.15">
      <c r="A9" s="8" t="s">
        <v>12</v>
      </c>
      <c r="B9" s="9" t="s">
        <v>13</v>
      </c>
      <c r="C9" s="9">
        <v>2.8</v>
      </c>
      <c r="D9" s="9">
        <v>1</v>
      </c>
      <c r="E9" s="13">
        <f t="shared" si="0"/>
        <v>2.8</v>
      </c>
      <c r="F9" s="14">
        <v>36342</v>
      </c>
      <c r="G9" s="15">
        <f t="shared" si="1"/>
        <v>1.9599999999999997</v>
      </c>
    </row>
    <row r="10" spans="1:7" x14ac:dyDescent="0.15">
      <c r="A10" s="8" t="s">
        <v>14</v>
      </c>
      <c r="B10" s="9" t="s">
        <v>6</v>
      </c>
      <c r="C10" s="9">
        <v>5</v>
      </c>
      <c r="D10" s="9">
        <v>1</v>
      </c>
      <c r="E10" s="13">
        <f t="shared" si="0"/>
        <v>5</v>
      </c>
      <c r="F10" s="14">
        <v>36343</v>
      </c>
      <c r="G10" s="15">
        <f t="shared" si="1"/>
        <v>3.5</v>
      </c>
    </row>
    <row r="11" spans="1:7" x14ac:dyDescent="0.15">
      <c r="A11" s="8" t="s">
        <v>15</v>
      </c>
      <c r="B11" s="9" t="s">
        <v>10</v>
      </c>
      <c r="C11" s="9">
        <v>1.8</v>
      </c>
      <c r="D11" s="9">
        <v>1</v>
      </c>
      <c r="E11" s="13">
        <f t="shared" si="0"/>
        <v>1.8</v>
      </c>
      <c r="F11" s="14">
        <v>36343</v>
      </c>
      <c r="G11" s="15">
        <f t="shared" si="1"/>
        <v>1.26</v>
      </c>
    </row>
    <row r="12" spans="1:7" x14ac:dyDescent="0.15">
      <c r="A12" s="8" t="s">
        <v>16</v>
      </c>
      <c r="B12" s="9" t="s">
        <v>13</v>
      </c>
      <c r="C12" s="9">
        <v>2.8</v>
      </c>
      <c r="D12" s="9">
        <v>1</v>
      </c>
      <c r="E12" s="13">
        <f t="shared" si="0"/>
        <v>2.8</v>
      </c>
      <c r="F12" s="14">
        <v>36343</v>
      </c>
      <c r="G12" s="15">
        <f t="shared" si="1"/>
        <v>1.9599999999999997</v>
      </c>
    </row>
    <row r="13" spans="1:7" x14ac:dyDescent="0.15">
      <c r="A13" s="8" t="s">
        <v>17</v>
      </c>
      <c r="B13" s="9" t="s">
        <v>18</v>
      </c>
      <c r="C13" s="9">
        <v>3</v>
      </c>
      <c r="D13" s="9">
        <v>1</v>
      </c>
      <c r="E13" s="13">
        <f t="shared" si="0"/>
        <v>3</v>
      </c>
      <c r="F13" s="14">
        <v>36343</v>
      </c>
      <c r="G13" s="15">
        <f t="shared" si="1"/>
        <v>2.0999999999999996</v>
      </c>
    </row>
    <row r="14" spans="1:7" x14ac:dyDescent="0.15">
      <c r="A14" s="8" t="s">
        <v>5</v>
      </c>
      <c r="B14" s="9" t="s">
        <v>18</v>
      </c>
      <c r="C14" s="9">
        <v>3</v>
      </c>
      <c r="D14" s="9">
        <v>1</v>
      </c>
      <c r="E14" s="13">
        <f t="shared" si="0"/>
        <v>3</v>
      </c>
      <c r="F14" s="14">
        <v>36344</v>
      </c>
      <c r="G14" s="15">
        <f t="shared" si="1"/>
        <v>2.0999999999999996</v>
      </c>
    </row>
    <row r="15" spans="1:7" x14ac:dyDescent="0.15">
      <c r="A15" s="8" t="s">
        <v>15</v>
      </c>
      <c r="B15" s="9" t="s">
        <v>8</v>
      </c>
      <c r="C15" s="9">
        <v>5</v>
      </c>
      <c r="D15" s="9">
        <v>1</v>
      </c>
      <c r="E15" s="13">
        <f t="shared" si="0"/>
        <v>5</v>
      </c>
      <c r="F15" s="14">
        <v>36344</v>
      </c>
      <c r="G15" s="15">
        <f t="shared" si="1"/>
        <v>3.5</v>
      </c>
    </row>
    <row r="16" spans="1:7" x14ac:dyDescent="0.15">
      <c r="A16" s="8" t="s">
        <v>19</v>
      </c>
      <c r="B16" s="9" t="s">
        <v>18</v>
      </c>
      <c r="C16" s="9">
        <v>3</v>
      </c>
      <c r="D16" s="9">
        <v>1</v>
      </c>
      <c r="E16" s="13">
        <f t="shared" si="0"/>
        <v>3</v>
      </c>
      <c r="F16" s="14">
        <v>36344</v>
      </c>
      <c r="G16" s="15">
        <f t="shared" si="1"/>
        <v>2.0999999999999996</v>
      </c>
    </row>
    <row r="17" spans="1:7" x14ac:dyDescent="0.15">
      <c r="A17" s="8" t="s">
        <v>5</v>
      </c>
      <c r="B17" s="9" t="s">
        <v>6</v>
      </c>
      <c r="C17" s="9">
        <v>3</v>
      </c>
      <c r="D17" s="9">
        <v>1</v>
      </c>
      <c r="E17" s="13">
        <f t="shared" si="0"/>
        <v>3</v>
      </c>
      <c r="F17" s="14">
        <v>36345</v>
      </c>
      <c r="G17" s="15">
        <f t="shared" si="1"/>
        <v>2.0999999999999996</v>
      </c>
    </row>
    <row r="18" spans="1:7" x14ac:dyDescent="0.15">
      <c r="A18" s="8" t="s">
        <v>20</v>
      </c>
      <c r="B18" s="9" t="s">
        <v>10</v>
      </c>
      <c r="C18" s="9">
        <v>1.8</v>
      </c>
      <c r="D18" s="9">
        <v>1</v>
      </c>
      <c r="E18" s="13">
        <f t="shared" si="0"/>
        <v>1.8</v>
      </c>
      <c r="F18" s="14">
        <v>36345</v>
      </c>
      <c r="G18" s="15">
        <f t="shared" si="1"/>
        <v>1.26</v>
      </c>
    </row>
    <row r="19" spans="1:7" x14ac:dyDescent="0.15">
      <c r="A19" s="8" t="s">
        <v>21</v>
      </c>
      <c r="B19" s="9" t="s">
        <v>6</v>
      </c>
      <c r="C19" s="9">
        <v>3</v>
      </c>
      <c r="D19" s="9">
        <v>2</v>
      </c>
      <c r="E19" s="13">
        <f t="shared" si="0"/>
        <v>6</v>
      </c>
      <c r="F19" s="14">
        <v>36345</v>
      </c>
      <c r="G19" s="15">
        <f t="shared" si="1"/>
        <v>4.1999999999999993</v>
      </c>
    </row>
    <row r="20" spans="1:7" x14ac:dyDescent="0.15">
      <c r="A20" s="8" t="s">
        <v>11</v>
      </c>
      <c r="B20" s="9" t="s">
        <v>18</v>
      </c>
      <c r="C20" s="9">
        <v>3</v>
      </c>
      <c r="D20" s="9">
        <v>1</v>
      </c>
      <c r="E20" s="13">
        <f t="shared" si="0"/>
        <v>3</v>
      </c>
      <c r="F20" s="14">
        <v>36346</v>
      </c>
      <c r="G20" s="15">
        <f t="shared" si="1"/>
        <v>2.0999999999999996</v>
      </c>
    </row>
    <row r="21" spans="1:7" x14ac:dyDescent="0.15">
      <c r="A21" s="8" t="s">
        <v>7</v>
      </c>
      <c r="B21" s="9" t="s">
        <v>6</v>
      </c>
      <c r="C21" s="9">
        <v>5</v>
      </c>
      <c r="D21" s="9">
        <v>1</v>
      </c>
      <c r="E21" s="13">
        <f t="shared" si="0"/>
        <v>5</v>
      </c>
      <c r="F21" s="14">
        <v>36347</v>
      </c>
      <c r="G21" s="15">
        <f t="shared" si="1"/>
        <v>3.5</v>
      </c>
    </row>
    <row r="22" spans="1:7" x14ac:dyDescent="0.15">
      <c r="A22" s="8" t="s">
        <v>22</v>
      </c>
      <c r="B22" s="9" t="s">
        <v>13</v>
      </c>
      <c r="C22" s="9">
        <v>2.8</v>
      </c>
      <c r="D22" s="9">
        <v>1</v>
      </c>
      <c r="E22" s="13">
        <f t="shared" si="0"/>
        <v>2.8</v>
      </c>
      <c r="F22" s="14">
        <v>36348</v>
      </c>
      <c r="G22" s="15">
        <f t="shared" si="1"/>
        <v>1.9599999999999997</v>
      </c>
    </row>
    <row r="23" spans="1:7" x14ac:dyDescent="0.15">
      <c r="A23" s="8" t="s">
        <v>12</v>
      </c>
      <c r="B23" s="9" t="s">
        <v>13</v>
      </c>
      <c r="C23" s="9">
        <v>2.8</v>
      </c>
      <c r="D23" s="9">
        <v>1</v>
      </c>
      <c r="E23" s="13">
        <f t="shared" si="0"/>
        <v>2.8</v>
      </c>
      <c r="F23" s="14">
        <v>36349</v>
      </c>
      <c r="G23" s="15">
        <f t="shared" si="1"/>
        <v>1.9599999999999997</v>
      </c>
    </row>
    <row r="24" spans="1:7" x14ac:dyDescent="0.15">
      <c r="A24" s="8" t="s">
        <v>16</v>
      </c>
      <c r="B24" s="9" t="s">
        <v>18</v>
      </c>
      <c r="C24" s="9">
        <v>3</v>
      </c>
      <c r="D24" s="9">
        <v>1</v>
      </c>
      <c r="E24" s="13">
        <f t="shared" si="0"/>
        <v>3</v>
      </c>
      <c r="F24" s="14">
        <v>36349</v>
      </c>
      <c r="G24" s="15">
        <f t="shared" si="1"/>
        <v>2.0999999999999996</v>
      </c>
    </row>
    <row r="25" spans="1:7" x14ac:dyDescent="0.15">
      <c r="A25" s="8" t="s">
        <v>5</v>
      </c>
      <c r="B25" s="9" t="s">
        <v>6</v>
      </c>
      <c r="C25" s="9">
        <v>3</v>
      </c>
      <c r="D25" s="9">
        <v>1</v>
      </c>
      <c r="E25" s="13">
        <f t="shared" si="0"/>
        <v>3</v>
      </c>
      <c r="F25" s="14">
        <v>36350</v>
      </c>
      <c r="G25" s="15">
        <f t="shared" si="1"/>
        <v>2.0999999999999996</v>
      </c>
    </row>
    <row r="26" spans="1:7" x14ac:dyDescent="0.15">
      <c r="A26" s="8" t="s">
        <v>15</v>
      </c>
      <c r="B26" s="9" t="s">
        <v>6</v>
      </c>
      <c r="C26" s="9">
        <v>5</v>
      </c>
      <c r="D26" s="9">
        <v>1</v>
      </c>
      <c r="E26" s="13">
        <f t="shared" si="0"/>
        <v>5</v>
      </c>
      <c r="F26" s="14">
        <v>36351</v>
      </c>
      <c r="G26" s="15">
        <f t="shared" si="1"/>
        <v>3.5</v>
      </c>
    </row>
    <row r="27" spans="1:7" x14ac:dyDescent="0.15">
      <c r="A27" s="8" t="s">
        <v>9</v>
      </c>
      <c r="B27" s="9" t="s">
        <v>10</v>
      </c>
      <c r="C27" s="9">
        <v>1.8</v>
      </c>
      <c r="D27" s="9">
        <v>1</v>
      </c>
      <c r="E27" s="13">
        <f t="shared" si="0"/>
        <v>1.8</v>
      </c>
      <c r="F27" s="14">
        <v>36351</v>
      </c>
      <c r="G27" s="15">
        <f t="shared" si="1"/>
        <v>1.26</v>
      </c>
    </row>
    <row r="28" spans="1:7" x14ac:dyDescent="0.15">
      <c r="A28" s="8" t="s">
        <v>22</v>
      </c>
      <c r="B28" s="9" t="s">
        <v>10</v>
      </c>
      <c r="C28" s="9">
        <v>1.8</v>
      </c>
      <c r="D28" s="9">
        <v>1</v>
      </c>
      <c r="E28" s="13">
        <f t="shared" si="0"/>
        <v>1.8</v>
      </c>
      <c r="F28" s="14">
        <v>36351</v>
      </c>
      <c r="G28" s="15">
        <f t="shared" si="1"/>
        <v>1.26</v>
      </c>
    </row>
    <row r="29" spans="1:7" x14ac:dyDescent="0.15">
      <c r="A29" s="8" t="s">
        <v>22</v>
      </c>
      <c r="B29" s="9" t="s">
        <v>13</v>
      </c>
      <c r="C29" s="9">
        <v>2.8</v>
      </c>
      <c r="D29" s="9">
        <v>1</v>
      </c>
      <c r="E29" s="13">
        <f t="shared" si="0"/>
        <v>2.8</v>
      </c>
      <c r="F29" s="14">
        <v>36351</v>
      </c>
      <c r="G29" s="15">
        <f t="shared" si="1"/>
        <v>1.9599999999999997</v>
      </c>
    </row>
    <row r="30" spans="1:7" x14ac:dyDescent="0.15">
      <c r="A30" s="8" t="s">
        <v>5</v>
      </c>
      <c r="B30" s="9" t="s">
        <v>6</v>
      </c>
      <c r="C30" s="9">
        <v>3</v>
      </c>
      <c r="D30" s="9">
        <v>1</v>
      </c>
      <c r="E30" s="13">
        <f t="shared" si="0"/>
        <v>3</v>
      </c>
      <c r="F30" s="14">
        <v>36352</v>
      </c>
      <c r="G30" s="15">
        <f t="shared" si="1"/>
        <v>2.0999999999999996</v>
      </c>
    </row>
    <row r="31" spans="1:7" x14ac:dyDescent="0.15">
      <c r="A31" s="8" t="s">
        <v>7</v>
      </c>
      <c r="B31" s="9" t="s">
        <v>10</v>
      </c>
      <c r="C31" s="9">
        <v>1.8</v>
      </c>
      <c r="D31" s="9">
        <v>1</v>
      </c>
      <c r="E31" s="13">
        <f t="shared" si="0"/>
        <v>1.8</v>
      </c>
      <c r="F31" s="14">
        <v>36352</v>
      </c>
      <c r="G31" s="15">
        <f t="shared" si="1"/>
        <v>1.26</v>
      </c>
    </row>
    <row r="32" spans="1:7" x14ac:dyDescent="0.15">
      <c r="A32" s="8" t="s">
        <v>22</v>
      </c>
      <c r="B32" s="9" t="s">
        <v>13</v>
      </c>
      <c r="C32" s="9">
        <v>2.8</v>
      </c>
      <c r="D32" s="9">
        <v>1</v>
      </c>
      <c r="E32" s="13">
        <f t="shared" si="0"/>
        <v>2.8</v>
      </c>
      <c r="F32" s="14">
        <v>36352</v>
      </c>
      <c r="G32" s="15">
        <f t="shared" si="1"/>
        <v>1.9599999999999997</v>
      </c>
    </row>
    <row r="33" spans="1:7" x14ac:dyDescent="0.15">
      <c r="A33" s="8" t="s">
        <v>16</v>
      </c>
      <c r="B33" s="9" t="s">
        <v>10</v>
      </c>
      <c r="C33" s="9">
        <v>1.8</v>
      </c>
      <c r="D33" s="9">
        <v>1</v>
      </c>
      <c r="E33" s="13">
        <f t="shared" si="0"/>
        <v>1.8</v>
      </c>
      <c r="F33" s="14">
        <v>36352</v>
      </c>
      <c r="G33" s="15">
        <f t="shared" si="1"/>
        <v>1.26</v>
      </c>
    </row>
    <row r="34" spans="1:7" x14ac:dyDescent="0.15">
      <c r="A34" s="8" t="s">
        <v>20</v>
      </c>
      <c r="B34" s="9" t="s">
        <v>10</v>
      </c>
      <c r="C34" s="9">
        <v>1.8</v>
      </c>
      <c r="D34" s="9">
        <v>1</v>
      </c>
      <c r="E34" s="13">
        <f t="shared" si="0"/>
        <v>1.8</v>
      </c>
      <c r="F34" s="14">
        <v>36352</v>
      </c>
      <c r="G34" s="15">
        <f t="shared" si="1"/>
        <v>1.26</v>
      </c>
    </row>
    <row r="35" spans="1:7" x14ac:dyDescent="0.15">
      <c r="A35" s="8" t="s">
        <v>17</v>
      </c>
      <c r="B35" s="9" t="s">
        <v>18</v>
      </c>
      <c r="C35" s="9">
        <v>3</v>
      </c>
      <c r="D35" s="9">
        <v>1</v>
      </c>
      <c r="E35" s="13">
        <f t="shared" si="0"/>
        <v>3</v>
      </c>
      <c r="F35" s="14">
        <v>36352</v>
      </c>
      <c r="G35" s="15">
        <f t="shared" si="1"/>
        <v>2.0999999999999996</v>
      </c>
    </row>
    <row r="36" spans="1:7" x14ac:dyDescent="0.15">
      <c r="A36" s="8" t="s">
        <v>9</v>
      </c>
      <c r="B36" s="9" t="s">
        <v>13</v>
      </c>
      <c r="C36" s="9">
        <v>2.8</v>
      </c>
      <c r="D36" s="9">
        <v>1</v>
      </c>
      <c r="E36" s="13">
        <f t="shared" si="0"/>
        <v>2.8</v>
      </c>
      <c r="F36" s="14">
        <v>36353</v>
      </c>
      <c r="G36" s="15">
        <f t="shared" si="1"/>
        <v>1.9599999999999997</v>
      </c>
    </row>
    <row r="37" spans="1:7" x14ac:dyDescent="0.15">
      <c r="A37" s="8" t="s">
        <v>5</v>
      </c>
      <c r="B37" s="9" t="s">
        <v>8</v>
      </c>
      <c r="C37" s="9">
        <v>5</v>
      </c>
      <c r="D37" s="9">
        <v>1</v>
      </c>
      <c r="E37" s="13">
        <f t="shared" si="0"/>
        <v>5</v>
      </c>
      <c r="F37" s="14">
        <v>36354</v>
      </c>
      <c r="G37" s="15">
        <f t="shared" si="1"/>
        <v>3.5</v>
      </c>
    </row>
    <row r="38" spans="1:7" x14ac:dyDescent="0.15">
      <c r="A38" s="8" t="s">
        <v>14</v>
      </c>
      <c r="B38" s="9" t="s">
        <v>10</v>
      </c>
      <c r="C38" s="9">
        <v>1.8</v>
      </c>
      <c r="D38" s="9">
        <v>1</v>
      </c>
      <c r="E38" s="13">
        <f t="shared" si="0"/>
        <v>1.8</v>
      </c>
      <c r="F38" s="14">
        <v>36354</v>
      </c>
      <c r="G38" s="15">
        <f t="shared" si="1"/>
        <v>1.26</v>
      </c>
    </row>
    <row r="39" spans="1:7" x14ac:dyDescent="0.15">
      <c r="A39" s="8" t="s">
        <v>15</v>
      </c>
      <c r="B39" s="9" t="s">
        <v>13</v>
      </c>
      <c r="C39" s="9">
        <v>2.8</v>
      </c>
      <c r="D39" s="9">
        <v>1</v>
      </c>
      <c r="E39" s="13">
        <f t="shared" si="0"/>
        <v>2.8</v>
      </c>
      <c r="F39" s="14">
        <v>36354</v>
      </c>
      <c r="G39" s="15">
        <f t="shared" si="1"/>
        <v>1.9599999999999997</v>
      </c>
    </row>
    <row r="40" spans="1:7" x14ac:dyDescent="0.15">
      <c r="A40" s="8" t="s">
        <v>21</v>
      </c>
      <c r="B40" s="9" t="s">
        <v>6</v>
      </c>
      <c r="C40" s="9">
        <v>3</v>
      </c>
      <c r="D40" s="9">
        <v>1</v>
      </c>
      <c r="E40" s="13">
        <f t="shared" si="0"/>
        <v>3</v>
      </c>
      <c r="F40" s="14">
        <v>36354</v>
      </c>
      <c r="G40" s="15">
        <f t="shared" si="1"/>
        <v>2.0999999999999996</v>
      </c>
    </row>
    <row r="41" spans="1:7" x14ac:dyDescent="0.15">
      <c r="A41" s="8" t="s">
        <v>21</v>
      </c>
      <c r="B41" s="9" t="s">
        <v>10</v>
      </c>
      <c r="C41" s="9">
        <v>1.8</v>
      </c>
      <c r="D41" s="9">
        <v>1</v>
      </c>
      <c r="E41" s="13">
        <f t="shared" si="0"/>
        <v>1.8</v>
      </c>
      <c r="F41" s="14">
        <v>36356</v>
      </c>
      <c r="G41" s="15">
        <f t="shared" si="1"/>
        <v>1.26</v>
      </c>
    </row>
    <row r="42" spans="1:7" x14ac:dyDescent="0.15">
      <c r="A42" s="8" t="s">
        <v>15</v>
      </c>
      <c r="B42" s="9" t="s">
        <v>10</v>
      </c>
      <c r="C42" s="9">
        <v>1.8</v>
      </c>
      <c r="D42" s="9">
        <v>1</v>
      </c>
      <c r="E42" s="13">
        <f t="shared" si="0"/>
        <v>1.8</v>
      </c>
      <c r="F42" s="14">
        <v>36357</v>
      </c>
      <c r="G42" s="15">
        <f t="shared" si="1"/>
        <v>1.26</v>
      </c>
    </row>
    <row r="43" spans="1:7" x14ac:dyDescent="0.15">
      <c r="A43" s="8" t="s">
        <v>11</v>
      </c>
      <c r="B43" s="9" t="s">
        <v>13</v>
      </c>
      <c r="C43" s="9">
        <v>2.8</v>
      </c>
      <c r="D43" s="9">
        <v>1</v>
      </c>
      <c r="E43" s="13">
        <f t="shared" si="0"/>
        <v>2.8</v>
      </c>
      <c r="F43" s="14">
        <v>36357</v>
      </c>
      <c r="G43" s="15">
        <f t="shared" si="1"/>
        <v>1.9599999999999997</v>
      </c>
    </row>
    <row r="44" spans="1:7" x14ac:dyDescent="0.15">
      <c r="A44" s="8" t="s">
        <v>19</v>
      </c>
      <c r="B44" s="9" t="s">
        <v>18</v>
      </c>
      <c r="C44" s="9">
        <v>3</v>
      </c>
      <c r="D44" s="9">
        <v>1</v>
      </c>
      <c r="E44" s="13">
        <f t="shared" si="0"/>
        <v>3</v>
      </c>
      <c r="F44" s="14">
        <v>36357</v>
      </c>
      <c r="G44" s="15">
        <f t="shared" si="1"/>
        <v>2.0999999999999996</v>
      </c>
    </row>
    <row r="45" spans="1:7" x14ac:dyDescent="0.15">
      <c r="A45" s="8" t="s">
        <v>20</v>
      </c>
      <c r="B45" s="9" t="s">
        <v>18</v>
      </c>
      <c r="C45" s="9">
        <v>3</v>
      </c>
      <c r="D45" s="9">
        <v>1</v>
      </c>
      <c r="E45" s="13">
        <f t="shared" si="0"/>
        <v>3</v>
      </c>
      <c r="F45" s="14">
        <v>36357</v>
      </c>
      <c r="G45" s="15">
        <f t="shared" si="1"/>
        <v>2.0999999999999996</v>
      </c>
    </row>
    <row r="46" spans="1:7" x14ac:dyDescent="0.15">
      <c r="A46" s="8" t="s">
        <v>17</v>
      </c>
      <c r="B46" s="9" t="s">
        <v>10</v>
      </c>
      <c r="C46" s="9">
        <v>1.8</v>
      </c>
      <c r="D46" s="9">
        <v>1</v>
      </c>
      <c r="E46" s="13">
        <f t="shared" si="0"/>
        <v>1.8</v>
      </c>
      <c r="F46" s="14">
        <v>36358</v>
      </c>
      <c r="G46" s="15">
        <f t="shared" si="1"/>
        <v>1.26</v>
      </c>
    </row>
    <row r="47" spans="1:7" x14ac:dyDescent="0.15">
      <c r="A47" s="8" t="s">
        <v>7</v>
      </c>
      <c r="B47" s="9" t="s">
        <v>13</v>
      </c>
      <c r="C47" s="9">
        <v>2.8</v>
      </c>
      <c r="D47" s="9">
        <v>1</v>
      </c>
      <c r="E47" s="13">
        <f t="shared" si="0"/>
        <v>2.8</v>
      </c>
      <c r="F47" s="14">
        <v>36359</v>
      </c>
      <c r="G47" s="15">
        <f t="shared" si="1"/>
        <v>1.9599999999999997</v>
      </c>
    </row>
    <row r="48" spans="1:7" x14ac:dyDescent="0.15">
      <c r="A48" s="8" t="s">
        <v>9</v>
      </c>
      <c r="B48" s="9" t="s">
        <v>6</v>
      </c>
      <c r="C48" s="9">
        <v>3</v>
      </c>
      <c r="D48" s="9">
        <v>1</v>
      </c>
      <c r="E48" s="13">
        <f t="shared" si="0"/>
        <v>3</v>
      </c>
      <c r="F48" s="14">
        <v>36359</v>
      </c>
      <c r="G48" s="15">
        <f t="shared" si="1"/>
        <v>2.0999999999999996</v>
      </c>
    </row>
    <row r="49" spans="1:7" x14ac:dyDescent="0.15">
      <c r="A49" s="8" t="s">
        <v>20</v>
      </c>
      <c r="B49" s="9" t="s">
        <v>8</v>
      </c>
      <c r="C49" s="9">
        <v>5</v>
      </c>
      <c r="D49" s="9">
        <v>1</v>
      </c>
      <c r="E49" s="13">
        <f t="shared" si="0"/>
        <v>5</v>
      </c>
      <c r="F49" s="14">
        <v>36359</v>
      </c>
      <c r="G49" s="15">
        <f t="shared" si="1"/>
        <v>3.5</v>
      </c>
    </row>
    <row r="50" spans="1:7" x14ac:dyDescent="0.15">
      <c r="A50" s="8" t="s">
        <v>12</v>
      </c>
      <c r="B50" s="9" t="s">
        <v>13</v>
      </c>
      <c r="C50" s="9">
        <v>2.8</v>
      </c>
      <c r="D50" s="9">
        <v>1</v>
      </c>
      <c r="E50" s="13">
        <f t="shared" si="0"/>
        <v>2.8</v>
      </c>
      <c r="F50" s="14">
        <v>36360</v>
      </c>
      <c r="G50" s="15">
        <f t="shared" si="1"/>
        <v>1.9599999999999997</v>
      </c>
    </row>
    <row r="51" spans="1:7" x14ac:dyDescent="0.15">
      <c r="A51" s="8" t="s">
        <v>16</v>
      </c>
      <c r="B51" s="9" t="s">
        <v>18</v>
      </c>
      <c r="C51" s="9">
        <v>3</v>
      </c>
      <c r="D51" s="9">
        <v>1</v>
      </c>
      <c r="E51" s="13">
        <f t="shared" si="0"/>
        <v>3</v>
      </c>
      <c r="F51" s="14">
        <v>36360</v>
      </c>
      <c r="G51" s="15">
        <f t="shared" si="1"/>
        <v>2.0999999999999996</v>
      </c>
    </row>
    <row r="52" spans="1:7" x14ac:dyDescent="0.15">
      <c r="A52" s="8" t="s">
        <v>15</v>
      </c>
      <c r="B52" s="9" t="s">
        <v>10</v>
      </c>
      <c r="C52" s="9">
        <v>1.8</v>
      </c>
      <c r="D52" s="9">
        <v>1</v>
      </c>
      <c r="E52" s="13">
        <f t="shared" si="0"/>
        <v>1.8</v>
      </c>
      <c r="F52" s="14">
        <v>36361</v>
      </c>
      <c r="G52" s="15">
        <f t="shared" si="1"/>
        <v>1.26</v>
      </c>
    </row>
    <row r="53" spans="1:7" x14ac:dyDescent="0.15">
      <c r="A53" s="8" t="s">
        <v>5</v>
      </c>
      <c r="B53" s="9" t="s">
        <v>13</v>
      </c>
      <c r="C53" s="9">
        <v>2.8</v>
      </c>
      <c r="D53" s="9">
        <v>1</v>
      </c>
      <c r="E53" s="13">
        <f t="shared" si="0"/>
        <v>2.8</v>
      </c>
      <c r="F53" s="14">
        <v>36362</v>
      </c>
      <c r="G53" s="15">
        <f t="shared" si="1"/>
        <v>1.9599999999999997</v>
      </c>
    </row>
    <row r="54" spans="1:7" x14ac:dyDescent="0.15">
      <c r="A54" s="8" t="s">
        <v>22</v>
      </c>
      <c r="B54" s="9" t="s">
        <v>8</v>
      </c>
      <c r="C54" s="9">
        <v>5</v>
      </c>
      <c r="D54" s="9">
        <v>1</v>
      </c>
      <c r="E54" s="13">
        <f t="shared" si="0"/>
        <v>5</v>
      </c>
      <c r="F54" s="14">
        <v>36362</v>
      </c>
      <c r="G54" s="15">
        <f t="shared" si="1"/>
        <v>3.5</v>
      </c>
    </row>
    <row r="55" spans="1:7" x14ac:dyDescent="0.15">
      <c r="A55" s="8" t="s">
        <v>12</v>
      </c>
      <c r="B55" s="9" t="s">
        <v>13</v>
      </c>
      <c r="C55" s="9">
        <v>2.8</v>
      </c>
      <c r="D55" s="9">
        <v>1</v>
      </c>
      <c r="E55" s="13">
        <f t="shared" si="0"/>
        <v>2.8</v>
      </c>
      <c r="F55" s="14">
        <v>36363</v>
      </c>
      <c r="G55" s="15">
        <f t="shared" si="1"/>
        <v>1.9599999999999997</v>
      </c>
    </row>
    <row r="56" spans="1:7" x14ac:dyDescent="0.15">
      <c r="A56" s="8" t="s">
        <v>20</v>
      </c>
      <c r="B56" s="9" t="s">
        <v>18</v>
      </c>
      <c r="C56" s="9">
        <v>3</v>
      </c>
      <c r="D56" s="9">
        <v>1</v>
      </c>
      <c r="E56" s="13">
        <f t="shared" si="0"/>
        <v>3</v>
      </c>
      <c r="F56" s="14">
        <v>36363</v>
      </c>
      <c r="G56" s="15">
        <f t="shared" si="1"/>
        <v>2.0999999999999996</v>
      </c>
    </row>
    <row r="57" spans="1:7" x14ac:dyDescent="0.15">
      <c r="A57" s="8" t="s">
        <v>14</v>
      </c>
      <c r="B57" s="9" t="s">
        <v>10</v>
      </c>
      <c r="C57" s="9">
        <v>1.8</v>
      </c>
      <c r="D57" s="9">
        <v>1</v>
      </c>
      <c r="E57" s="13">
        <f t="shared" si="0"/>
        <v>1.8</v>
      </c>
      <c r="F57" s="14">
        <v>36364</v>
      </c>
      <c r="G57" s="15">
        <f t="shared" si="1"/>
        <v>1.26</v>
      </c>
    </row>
    <row r="58" spans="1:7" x14ac:dyDescent="0.15">
      <c r="A58" s="8" t="s">
        <v>16</v>
      </c>
      <c r="B58" s="9" t="s">
        <v>13</v>
      </c>
      <c r="C58" s="9">
        <v>2.8</v>
      </c>
      <c r="D58" s="9">
        <v>1</v>
      </c>
      <c r="E58" s="13">
        <f t="shared" si="0"/>
        <v>2.8</v>
      </c>
      <c r="F58" s="14">
        <v>36364</v>
      </c>
      <c r="G58" s="15">
        <f t="shared" si="1"/>
        <v>1.9599999999999997</v>
      </c>
    </row>
    <row r="59" spans="1:7" x14ac:dyDescent="0.15">
      <c r="A59" s="8" t="s">
        <v>17</v>
      </c>
      <c r="B59" s="9" t="s">
        <v>8</v>
      </c>
      <c r="C59" s="9">
        <v>5</v>
      </c>
      <c r="D59" s="9">
        <v>1</v>
      </c>
      <c r="E59" s="13">
        <f t="shared" si="0"/>
        <v>5</v>
      </c>
      <c r="F59" s="14">
        <v>36364</v>
      </c>
      <c r="G59" s="15">
        <f t="shared" si="1"/>
        <v>3.5</v>
      </c>
    </row>
    <row r="60" spans="1:7" x14ac:dyDescent="0.15">
      <c r="A60" s="8" t="s">
        <v>21</v>
      </c>
      <c r="B60" s="9" t="s">
        <v>6</v>
      </c>
      <c r="C60" s="9">
        <v>3</v>
      </c>
      <c r="D60" s="9">
        <v>1</v>
      </c>
      <c r="E60" s="13">
        <f t="shared" si="0"/>
        <v>3</v>
      </c>
      <c r="F60" s="14">
        <v>36364</v>
      </c>
      <c r="G60" s="15">
        <f t="shared" si="1"/>
        <v>2.0999999999999996</v>
      </c>
    </row>
    <row r="61" spans="1:7" x14ac:dyDescent="0.15">
      <c r="A61" s="8" t="s">
        <v>9</v>
      </c>
      <c r="B61" s="9" t="s">
        <v>13</v>
      </c>
      <c r="C61" s="9">
        <v>2.8</v>
      </c>
      <c r="D61" s="9">
        <v>1</v>
      </c>
      <c r="E61" s="13">
        <f t="shared" si="0"/>
        <v>2.8</v>
      </c>
      <c r="F61" s="14">
        <v>36365</v>
      </c>
      <c r="G61" s="15">
        <f t="shared" si="1"/>
        <v>1.9599999999999997</v>
      </c>
    </row>
    <row r="62" spans="1:7" x14ac:dyDescent="0.15">
      <c r="A62" s="8" t="s">
        <v>22</v>
      </c>
      <c r="B62" s="9" t="s">
        <v>13</v>
      </c>
      <c r="C62" s="9">
        <v>2.8</v>
      </c>
      <c r="D62" s="9">
        <v>1</v>
      </c>
      <c r="E62" s="13">
        <f t="shared" si="0"/>
        <v>2.8</v>
      </c>
      <c r="F62" s="14">
        <v>36365</v>
      </c>
      <c r="G62" s="15">
        <f t="shared" si="1"/>
        <v>1.9599999999999997</v>
      </c>
    </row>
    <row r="63" spans="1:7" x14ac:dyDescent="0.15">
      <c r="A63" s="8" t="s">
        <v>19</v>
      </c>
      <c r="B63" s="9" t="s">
        <v>18</v>
      </c>
      <c r="C63" s="9">
        <v>3</v>
      </c>
      <c r="D63" s="9">
        <v>1</v>
      </c>
      <c r="E63" s="13">
        <f t="shared" si="0"/>
        <v>3</v>
      </c>
      <c r="F63" s="14">
        <v>36365</v>
      </c>
      <c r="G63" s="15">
        <f t="shared" si="1"/>
        <v>2.0999999999999996</v>
      </c>
    </row>
    <row r="64" spans="1:7" x14ac:dyDescent="0.15">
      <c r="A64" s="8" t="s">
        <v>12</v>
      </c>
      <c r="B64" s="9" t="s">
        <v>18</v>
      </c>
      <c r="C64" s="9">
        <v>3</v>
      </c>
      <c r="D64" s="9">
        <v>1</v>
      </c>
      <c r="E64" s="13">
        <f t="shared" si="0"/>
        <v>3</v>
      </c>
      <c r="F64" s="14">
        <v>36366</v>
      </c>
      <c r="G64" s="15">
        <f t="shared" si="1"/>
        <v>2.0999999999999996</v>
      </c>
    </row>
    <row r="65" spans="1:7" x14ac:dyDescent="0.15">
      <c r="A65" s="8" t="s">
        <v>5</v>
      </c>
      <c r="B65" s="9" t="s">
        <v>23</v>
      </c>
      <c r="C65" s="9">
        <v>3.4</v>
      </c>
      <c r="D65" s="9">
        <v>1</v>
      </c>
      <c r="E65" s="13">
        <f t="shared" si="0"/>
        <v>3.4</v>
      </c>
      <c r="F65" s="14">
        <v>36367</v>
      </c>
      <c r="G65" s="15">
        <f t="shared" si="1"/>
        <v>2.38</v>
      </c>
    </row>
    <row r="66" spans="1:7" x14ac:dyDescent="0.15">
      <c r="A66" s="8" t="s">
        <v>14</v>
      </c>
      <c r="B66" s="9" t="s">
        <v>10</v>
      </c>
      <c r="C66" s="9">
        <v>1.8</v>
      </c>
      <c r="D66" s="9">
        <v>1</v>
      </c>
      <c r="E66" s="13">
        <f t="shared" si="0"/>
        <v>1.8</v>
      </c>
      <c r="F66" s="14">
        <v>36368</v>
      </c>
      <c r="G66" s="15">
        <f t="shared" si="1"/>
        <v>1.26</v>
      </c>
    </row>
    <row r="67" spans="1:7" x14ac:dyDescent="0.15">
      <c r="A67" s="8" t="s">
        <v>9</v>
      </c>
      <c r="B67" s="9" t="s">
        <v>10</v>
      </c>
      <c r="C67" s="9">
        <v>1.8</v>
      </c>
      <c r="D67" s="9">
        <v>1</v>
      </c>
      <c r="E67" s="13">
        <f t="shared" si="0"/>
        <v>1.8</v>
      </c>
      <c r="F67" s="14">
        <v>36368</v>
      </c>
      <c r="G67" s="15">
        <f t="shared" si="1"/>
        <v>1.26</v>
      </c>
    </row>
    <row r="68" spans="1:7" x14ac:dyDescent="0.15">
      <c r="A68" s="8" t="s">
        <v>15</v>
      </c>
      <c r="B68" s="9" t="s">
        <v>13</v>
      </c>
      <c r="C68" s="9">
        <v>2.8</v>
      </c>
      <c r="D68" s="9">
        <v>1</v>
      </c>
      <c r="E68" s="13">
        <f t="shared" si="0"/>
        <v>2.8</v>
      </c>
      <c r="F68" s="14">
        <v>36369</v>
      </c>
      <c r="G68" s="15">
        <f t="shared" si="1"/>
        <v>1.9599999999999997</v>
      </c>
    </row>
    <row r="69" spans="1:7" x14ac:dyDescent="0.15">
      <c r="A69" s="8" t="s">
        <v>20</v>
      </c>
      <c r="B69" s="9" t="s">
        <v>6</v>
      </c>
      <c r="C69" s="9">
        <v>3</v>
      </c>
      <c r="D69" s="9">
        <v>2</v>
      </c>
      <c r="E69" s="13">
        <f t="shared" si="0"/>
        <v>6</v>
      </c>
      <c r="F69" s="14">
        <v>36369</v>
      </c>
      <c r="G69" s="15">
        <f t="shared" si="1"/>
        <v>4.1999999999999993</v>
      </c>
    </row>
    <row r="70" spans="1:7" x14ac:dyDescent="0.15">
      <c r="A70" s="8" t="s">
        <v>21</v>
      </c>
      <c r="B70" s="9" t="s">
        <v>10</v>
      </c>
      <c r="C70" s="9">
        <v>1.8</v>
      </c>
      <c r="D70" s="9">
        <v>1</v>
      </c>
      <c r="E70" s="13">
        <f t="shared" ref="E70:E80" si="2">C70*D70</f>
        <v>1.8</v>
      </c>
      <c r="F70" s="14">
        <v>36369</v>
      </c>
      <c r="G70" s="15">
        <f t="shared" ref="G70:G80" si="3">E70*$G$3</f>
        <v>1.26</v>
      </c>
    </row>
    <row r="71" spans="1:7" x14ac:dyDescent="0.15">
      <c r="A71" s="8" t="s">
        <v>7</v>
      </c>
      <c r="B71" s="9" t="s">
        <v>10</v>
      </c>
      <c r="C71" s="9">
        <v>1.8</v>
      </c>
      <c r="D71" s="9">
        <v>1</v>
      </c>
      <c r="E71" s="13">
        <f t="shared" si="2"/>
        <v>1.8</v>
      </c>
      <c r="F71" s="14">
        <v>36370</v>
      </c>
      <c r="G71" s="15">
        <f t="shared" si="3"/>
        <v>1.26</v>
      </c>
    </row>
    <row r="72" spans="1:7" x14ac:dyDescent="0.15">
      <c r="A72" s="8" t="s">
        <v>15</v>
      </c>
      <c r="B72" s="9" t="s">
        <v>10</v>
      </c>
      <c r="C72" s="9">
        <v>1.8</v>
      </c>
      <c r="D72" s="9">
        <v>1</v>
      </c>
      <c r="E72" s="13">
        <f t="shared" si="2"/>
        <v>1.8</v>
      </c>
      <c r="F72" s="14">
        <v>36370</v>
      </c>
      <c r="G72" s="15">
        <f t="shared" si="3"/>
        <v>1.26</v>
      </c>
    </row>
    <row r="73" spans="1:7" x14ac:dyDescent="0.15">
      <c r="A73" s="8" t="s">
        <v>22</v>
      </c>
      <c r="B73" s="9" t="s">
        <v>13</v>
      </c>
      <c r="C73" s="9">
        <v>2.8</v>
      </c>
      <c r="D73" s="9">
        <v>1</v>
      </c>
      <c r="E73" s="13">
        <f t="shared" si="2"/>
        <v>2.8</v>
      </c>
      <c r="F73" s="14">
        <v>36370</v>
      </c>
      <c r="G73" s="15">
        <f t="shared" si="3"/>
        <v>1.9599999999999997</v>
      </c>
    </row>
    <row r="74" spans="1:7" x14ac:dyDescent="0.15">
      <c r="A74" s="8" t="s">
        <v>16</v>
      </c>
      <c r="B74" s="9" t="s">
        <v>13</v>
      </c>
      <c r="C74" s="9">
        <v>2.8</v>
      </c>
      <c r="D74" s="9">
        <v>1</v>
      </c>
      <c r="E74" s="13">
        <f t="shared" si="2"/>
        <v>2.8</v>
      </c>
      <c r="F74" s="14">
        <v>36370</v>
      </c>
      <c r="G74" s="15">
        <f t="shared" si="3"/>
        <v>1.9599999999999997</v>
      </c>
    </row>
    <row r="75" spans="1:7" x14ac:dyDescent="0.15">
      <c r="A75" s="8" t="s">
        <v>7</v>
      </c>
      <c r="B75" s="9" t="s">
        <v>18</v>
      </c>
      <c r="C75" s="9">
        <v>3</v>
      </c>
      <c r="D75" s="9">
        <v>1</v>
      </c>
      <c r="E75" s="13">
        <f t="shared" si="2"/>
        <v>3</v>
      </c>
      <c r="F75" s="14">
        <v>36371</v>
      </c>
      <c r="G75" s="15">
        <f t="shared" si="3"/>
        <v>2.0999999999999996</v>
      </c>
    </row>
    <row r="76" spans="1:7" x14ac:dyDescent="0.15">
      <c r="A76" s="8" t="s">
        <v>9</v>
      </c>
      <c r="B76" s="9" t="s">
        <v>10</v>
      </c>
      <c r="C76" s="9">
        <v>1.8</v>
      </c>
      <c r="D76" s="9">
        <v>1</v>
      </c>
      <c r="E76" s="13">
        <f t="shared" si="2"/>
        <v>1.8</v>
      </c>
      <c r="F76" s="14">
        <v>36371</v>
      </c>
      <c r="G76" s="15">
        <f t="shared" si="3"/>
        <v>1.26</v>
      </c>
    </row>
    <row r="77" spans="1:7" x14ac:dyDescent="0.15">
      <c r="A77" s="8" t="s">
        <v>5</v>
      </c>
      <c r="B77" s="9" t="s">
        <v>10</v>
      </c>
      <c r="C77" s="9">
        <v>1.8</v>
      </c>
      <c r="D77" s="9">
        <v>1</v>
      </c>
      <c r="E77" s="13">
        <f t="shared" si="2"/>
        <v>1.8</v>
      </c>
      <c r="F77" s="14">
        <v>36372</v>
      </c>
      <c r="G77" s="15">
        <f t="shared" si="3"/>
        <v>1.26</v>
      </c>
    </row>
    <row r="78" spans="1:7" x14ac:dyDescent="0.15">
      <c r="A78" s="8" t="s">
        <v>7</v>
      </c>
      <c r="B78" s="9" t="s">
        <v>10</v>
      </c>
      <c r="C78" s="9">
        <v>1.8</v>
      </c>
      <c r="D78" s="9">
        <v>1</v>
      </c>
      <c r="E78" s="13">
        <f t="shared" si="2"/>
        <v>1.8</v>
      </c>
      <c r="F78" s="14">
        <v>36372</v>
      </c>
      <c r="G78" s="15">
        <f t="shared" si="3"/>
        <v>1.26</v>
      </c>
    </row>
    <row r="79" spans="1:7" x14ac:dyDescent="0.15">
      <c r="A79" s="8" t="s">
        <v>12</v>
      </c>
      <c r="B79" s="9" t="s">
        <v>10</v>
      </c>
      <c r="C79" s="9">
        <v>1.8</v>
      </c>
      <c r="D79" s="9">
        <v>1</v>
      </c>
      <c r="E79" s="13">
        <f t="shared" si="2"/>
        <v>1.8</v>
      </c>
      <c r="F79" s="14">
        <v>36372</v>
      </c>
      <c r="G79" s="15">
        <f t="shared" si="3"/>
        <v>1.26</v>
      </c>
    </row>
    <row r="80" spans="1:7" ht="15" thickBot="1" x14ac:dyDescent="0.2">
      <c r="A80" s="16" t="s">
        <v>19</v>
      </c>
      <c r="B80" s="17" t="s">
        <v>10</v>
      </c>
      <c r="C80" s="17">
        <v>1.8</v>
      </c>
      <c r="D80" s="17">
        <v>1</v>
      </c>
      <c r="E80" s="18">
        <f t="shared" si="2"/>
        <v>1.8</v>
      </c>
      <c r="F80" s="19">
        <v>36372</v>
      </c>
      <c r="G80" s="20">
        <f t="shared" si="3"/>
        <v>1.26</v>
      </c>
    </row>
    <row r="81" ht="15" thickTop="1" x14ac:dyDescent="0.15"/>
  </sheetData>
  <mergeCells count="1">
    <mergeCell ref="A1:G2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"/>
  <sheetViews>
    <sheetView workbookViewId="0">
      <selection activeCell="H1" activeCellId="1" sqref="B1:C77 H1:H77"/>
    </sheetView>
  </sheetViews>
  <sheetFormatPr defaultRowHeight="14.25" x14ac:dyDescent="0.15"/>
  <sheetData>
    <row r="1" spans="1:8" x14ac:dyDescent="0.15">
      <c r="A1" t="s">
        <v>1</v>
      </c>
      <c r="B1" t="s">
        <v>2</v>
      </c>
      <c r="C1" t="s">
        <v>28</v>
      </c>
      <c r="D1" t="s">
        <v>3</v>
      </c>
      <c r="E1" t="s">
        <v>29</v>
      </c>
      <c r="F1" t="s">
        <v>4</v>
      </c>
      <c r="G1" t="s">
        <v>30</v>
      </c>
      <c r="H1" s="21" t="s">
        <v>32</v>
      </c>
    </row>
    <row r="2" spans="1:8" x14ac:dyDescent="0.15">
      <c r="A2" t="s">
        <v>5</v>
      </c>
      <c r="B2" t="s">
        <v>6</v>
      </c>
      <c r="C2">
        <v>3</v>
      </c>
      <c r="D2">
        <v>1</v>
      </c>
      <c r="E2">
        <v>3</v>
      </c>
      <c r="F2" s="1">
        <v>36342</v>
      </c>
      <c r="G2">
        <v>2.0999999999999996</v>
      </c>
      <c r="H2">
        <f>IF(OR(B2="可乐",B2="雪碧"),C2+0.3,C2+0.2)</f>
        <v>3.3</v>
      </c>
    </row>
    <row r="3" spans="1:8" x14ac:dyDescent="0.15">
      <c r="A3" t="s">
        <v>7</v>
      </c>
      <c r="B3" t="s">
        <v>8</v>
      </c>
      <c r="C3">
        <v>5</v>
      </c>
      <c r="D3">
        <v>1</v>
      </c>
      <c r="E3">
        <v>5</v>
      </c>
      <c r="F3" s="1">
        <v>36342</v>
      </c>
      <c r="G3">
        <v>3.5</v>
      </c>
      <c r="H3">
        <f t="shared" ref="H3:H66" si="0">IF(OR(B3="可乐",B3="雪碧"),C3+0.3,C3+0.2)</f>
        <v>5.2</v>
      </c>
    </row>
    <row r="4" spans="1:8" x14ac:dyDescent="0.15">
      <c r="A4" t="s">
        <v>9</v>
      </c>
      <c r="B4" t="s">
        <v>10</v>
      </c>
      <c r="C4">
        <v>1.8</v>
      </c>
      <c r="D4">
        <v>1</v>
      </c>
      <c r="E4">
        <v>1.8</v>
      </c>
      <c r="F4" s="1">
        <v>36342</v>
      </c>
      <c r="G4">
        <v>1.26</v>
      </c>
      <c r="H4">
        <f t="shared" si="0"/>
        <v>2</v>
      </c>
    </row>
    <row r="5" spans="1:8" x14ac:dyDescent="0.15">
      <c r="A5" t="s">
        <v>11</v>
      </c>
      <c r="B5" t="s">
        <v>10</v>
      </c>
      <c r="C5">
        <v>1.8</v>
      </c>
      <c r="D5">
        <v>1</v>
      </c>
      <c r="E5">
        <v>1.8</v>
      </c>
      <c r="F5" s="1">
        <v>36342</v>
      </c>
      <c r="G5">
        <v>1.26</v>
      </c>
      <c r="H5">
        <f t="shared" si="0"/>
        <v>2</v>
      </c>
    </row>
    <row r="6" spans="1:8" x14ac:dyDescent="0.15">
      <c r="A6" t="s">
        <v>12</v>
      </c>
      <c r="B6" t="s">
        <v>13</v>
      </c>
      <c r="C6">
        <v>2.8</v>
      </c>
      <c r="D6">
        <v>1</v>
      </c>
      <c r="E6">
        <v>2.8</v>
      </c>
      <c r="F6" s="1">
        <v>36342</v>
      </c>
      <c r="G6">
        <v>1.9599999999999997</v>
      </c>
      <c r="H6">
        <f t="shared" si="0"/>
        <v>3</v>
      </c>
    </row>
    <row r="7" spans="1:8" x14ac:dyDescent="0.15">
      <c r="A7" t="s">
        <v>14</v>
      </c>
      <c r="B7" t="s">
        <v>6</v>
      </c>
      <c r="C7">
        <v>5</v>
      </c>
      <c r="D7">
        <v>1</v>
      </c>
      <c r="E7">
        <v>5</v>
      </c>
      <c r="F7" s="1">
        <v>36343</v>
      </c>
      <c r="G7">
        <v>3.5</v>
      </c>
      <c r="H7">
        <f t="shared" si="0"/>
        <v>5.3</v>
      </c>
    </row>
    <row r="8" spans="1:8" x14ac:dyDescent="0.15">
      <c r="A8" t="s">
        <v>15</v>
      </c>
      <c r="B8" t="s">
        <v>10</v>
      </c>
      <c r="C8">
        <v>1.8</v>
      </c>
      <c r="D8">
        <v>1</v>
      </c>
      <c r="E8">
        <v>1.8</v>
      </c>
      <c r="F8" s="1">
        <v>36343</v>
      </c>
      <c r="G8">
        <v>1.26</v>
      </c>
      <c r="H8">
        <f t="shared" si="0"/>
        <v>2</v>
      </c>
    </row>
    <row r="9" spans="1:8" x14ac:dyDescent="0.15">
      <c r="A9" t="s">
        <v>16</v>
      </c>
      <c r="B9" t="s">
        <v>13</v>
      </c>
      <c r="C9">
        <v>2.8</v>
      </c>
      <c r="D9">
        <v>1</v>
      </c>
      <c r="E9">
        <v>2.8</v>
      </c>
      <c r="F9" s="1">
        <v>36343</v>
      </c>
      <c r="G9">
        <v>1.9599999999999997</v>
      </c>
      <c r="H9">
        <f t="shared" si="0"/>
        <v>3</v>
      </c>
    </row>
    <row r="10" spans="1:8" x14ac:dyDescent="0.15">
      <c r="A10" t="s">
        <v>17</v>
      </c>
      <c r="B10" t="s">
        <v>18</v>
      </c>
      <c r="C10">
        <v>3</v>
      </c>
      <c r="D10">
        <v>1</v>
      </c>
      <c r="E10">
        <v>3</v>
      </c>
      <c r="F10" s="1">
        <v>36343</v>
      </c>
      <c r="G10">
        <v>2.0999999999999996</v>
      </c>
      <c r="H10">
        <f t="shared" si="0"/>
        <v>3.3</v>
      </c>
    </row>
    <row r="11" spans="1:8" x14ac:dyDescent="0.15">
      <c r="A11" t="s">
        <v>5</v>
      </c>
      <c r="B11" t="s">
        <v>18</v>
      </c>
      <c r="C11">
        <v>3</v>
      </c>
      <c r="D11">
        <v>1</v>
      </c>
      <c r="E11">
        <v>3</v>
      </c>
      <c r="F11" s="1">
        <v>36344</v>
      </c>
      <c r="G11">
        <v>2.0999999999999996</v>
      </c>
      <c r="H11">
        <f t="shared" si="0"/>
        <v>3.3</v>
      </c>
    </row>
    <row r="12" spans="1:8" x14ac:dyDescent="0.15">
      <c r="A12" t="s">
        <v>15</v>
      </c>
      <c r="B12" t="s">
        <v>8</v>
      </c>
      <c r="C12">
        <v>5</v>
      </c>
      <c r="D12">
        <v>1</v>
      </c>
      <c r="E12">
        <v>5</v>
      </c>
      <c r="F12" s="1">
        <v>36344</v>
      </c>
      <c r="G12">
        <v>3.5</v>
      </c>
      <c r="H12">
        <f t="shared" si="0"/>
        <v>5.2</v>
      </c>
    </row>
    <row r="13" spans="1:8" x14ac:dyDescent="0.15">
      <c r="A13" t="s">
        <v>19</v>
      </c>
      <c r="B13" t="s">
        <v>18</v>
      </c>
      <c r="C13">
        <v>3</v>
      </c>
      <c r="D13">
        <v>1</v>
      </c>
      <c r="E13">
        <v>3</v>
      </c>
      <c r="F13" s="1">
        <v>36344</v>
      </c>
      <c r="G13">
        <v>2.0999999999999996</v>
      </c>
      <c r="H13">
        <f t="shared" si="0"/>
        <v>3.3</v>
      </c>
    </row>
    <row r="14" spans="1:8" x14ac:dyDescent="0.15">
      <c r="A14" t="s">
        <v>5</v>
      </c>
      <c r="B14" t="s">
        <v>6</v>
      </c>
      <c r="C14">
        <v>3</v>
      </c>
      <c r="D14">
        <v>1</v>
      </c>
      <c r="E14">
        <v>3</v>
      </c>
      <c r="F14" s="1">
        <v>36345</v>
      </c>
      <c r="G14">
        <v>2.0999999999999996</v>
      </c>
      <c r="H14">
        <f t="shared" si="0"/>
        <v>3.3</v>
      </c>
    </row>
    <row r="15" spans="1:8" x14ac:dyDescent="0.15">
      <c r="A15" t="s">
        <v>20</v>
      </c>
      <c r="B15" t="s">
        <v>10</v>
      </c>
      <c r="C15">
        <v>1.8</v>
      </c>
      <c r="D15">
        <v>1</v>
      </c>
      <c r="E15">
        <v>1.8</v>
      </c>
      <c r="F15" s="1">
        <v>36345</v>
      </c>
      <c r="G15">
        <v>1.26</v>
      </c>
      <c r="H15">
        <f t="shared" si="0"/>
        <v>2</v>
      </c>
    </row>
    <row r="16" spans="1:8" x14ac:dyDescent="0.15">
      <c r="A16" t="s">
        <v>21</v>
      </c>
      <c r="B16" t="s">
        <v>6</v>
      </c>
      <c r="C16">
        <v>3</v>
      </c>
      <c r="D16">
        <v>2</v>
      </c>
      <c r="E16">
        <v>6</v>
      </c>
      <c r="F16" s="1">
        <v>36345</v>
      </c>
      <c r="G16">
        <v>4.1999999999999993</v>
      </c>
      <c r="H16">
        <f t="shared" si="0"/>
        <v>3.3</v>
      </c>
    </row>
    <row r="17" spans="1:8" x14ac:dyDescent="0.15">
      <c r="A17" t="s">
        <v>11</v>
      </c>
      <c r="B17" t="s">
        <v>18</v>
      </c>
      <c r="C17">
        <v>3</v>
      </c>
      <c r="D17">
        <v>1</v>
      </c>
      <c r="E17">
        <v>3</v>
      </c>
      <c r="F17" s="1">
        <v>36346</v>
      </c>
      <c r="G17">
        <v>2.0999999999999996</v>
      </c>
      <c r="H17">
        <f t="shared" si="0"/>
        <v>3.3</v>
      </c>
    </row>
    <row r="18" spans="1:8" x14ac:dyDescent="0.15">
      <c r="A18" t="s">
        <v>7</v>
      </c>
      <c r="B18" t="s">
        <v>6</v>
      </c>
      <c r="C18">
        <v>5</v>
      </c>
      <c r="D18">
        <v>1</v>
      </c>
      <c r="E18">
        <v>5</v>
      </c>
      <c r="F18" s="1">
        <v>36347</v>
      </c>
      <c r="G18">
        <v>3.5</v>
      </c>
      <c r="H18">
        <f t="shared" si="0"/>
        <v>5.3</v>
      </c>
    </row>
    <row r="19" spans="1:8" x14ac:dyDescent="0.15">
      <c r="A19" t="s">
        <v>22</v>
      </c>
      <c r="B19" t="s">
        <v>13</v>
      </c>
      <c r="C19">
        <v>2.8</v>
      </c>
      <c r="D19">
        <v>1</v>
      </c>
      <c r="E19">
        <v>2.8</v>
      </c>
      <c r="F19" s="1">
        <v>36348</v>
      </c>
      <c r="G19">
        <v>1.9599999999999997</v>
      </c>
      <c r="H19">
        <f t="shared" si="0"/>
        <v>3</v>
      </c>
    </row>
    <row r="20" spans="1:8" x14ac:dyDescent="0.15">
      <c r="A20" t="s">
        <v>12</v>
      </c>
      <c r="B20" t="s">
        <v>13</v>
      </c>
      <c r="C20">
        <v>2.8</v>
      </c>
      <c r="D20">
        <v>1</v>
      </c>
      <c r="E20">
        <v>2.8</v>
      </c>
      <c r="F20" s="1">
        <v>36349</v>
      </c>
      <c r="G20">
        <v>1.9599999999999997</v>
      </c>
      <c r="H20">
        <f t="shared" si="0"/>
        <v>3</v>
      </c>
    </row>
    <row r="21" spans="1:8" x14ac:dyDescent="0.15">
      <c r="A21" t="s">
        <v>16</v>
      </c>
      <c r="B21" t="s">
        <v>18</v>
      </c>
      <c r="C21">
        <v>3</v>
      </c>
      <c r="D21">
        <v>1</v>
      </c>
      <c r="E21">
        <v>3</v>
      </c>
      <c r="F21" s="1">
        <v>36349</v>
      </c>
      <c r="G21">
        <v>2.0999999999999996</v>
      </c>
      <c r="H21">
        <f t="shared" si="0"/>
        <v>3.3</v>
      </c>
    </row>
    <row r="22" spans="1:8" x14ac:dyDescent="0.15">
      <c r="A22" t="s">
        <v>5</v>
      </c>
      <c r="B22" t="s">
        <v>6</v>
      </c>
      <c r="C22">
        <v>3</v>
      </c>
      <c r="D22">
        <v>1</v>
      </c>
      <c r="E22">
        <v>3</v>
      </c>
      <c r="F22" s="1">
        <v>36350</v>
      </c>
      <c r="G22">
        <v>2.0999999999999996</v>
      </c>
      <c r="H22">
        <f t="shared" si="0"/>
        <v>3.3</v>
      </c>
    </row>
    <row r="23" spans="1:8" x14ac:dyDescent="0.15">
      <c r="A23" t="s">
        <v>15</v>
      </c>
      <c r="B23" t="s">
        <v>6</v>
      </c>
      <c r="C23">
        <v>5</v>
      </c>
      <c r="D23">
        <v>1</v>
      </c>
      <c r="E23">
        <v>5</v>
      </c>
      <c r="F23" s="1">
        <v>36351</v>
      </c>
      <c r="G23">
        <v>3.5</v>
      </c>
      <c r="H23">
        <f t="shared" si="0"/>
        <v>5.3</v>
      </c>
    </row>
    <row r="24" spans="1:8" x14ac:dyDescent="0.15">
      <c r="A24" t="s">
        <v>9</v>
      </c>
      <c r="B24" t="s">
        <v>10</v>
      </c>
      <c r="C24">
        <v>1.8</v>
      </c>
      <c r="D24">
        <v>1</v>
      </c>
      <c r="E24">
        <v>1.8</v>
      </c>
      <c r="F24" s="1">
        <v>36351</v>
      </c>
      <c r="G24">
        <v>1.26</v>
      </c>
      <c r="H24">
        <f t="shared" si="0"/>
        <v>2</v>
      </c>
    </row>
    <row r="25" spans="1:8" x14ac:dyDescent="0.15">
      <c r="A25" t="s">
        <v>22</v>
      </c>
      <c r="B25" t="s">
        <v>10</v>
      </c>
      <c r="C25">
        <v>1.8</v>
      </c>
      <c r="D25">
        <v>1</v>
      </c>
      <c r="E25">
        <v>1.8</v>
      </c>
      <c r="F25" s="1">
        <v>36351</v>
      </c>
      <c r="G25">
        <v>1.26</v>
      </c>
      <c r="H25">
        <f t="shared" si="0"/>
        <v>2</v>
      </c>
    </row>
    <row r="26" spans="1:8" x14ac:dyDescent="0.15">
      <c r="A26" t="s">
        <v>22</v>
      </c>
      <c r="B26" t="s">
        <v>13</v>
      </c>
      <c r="C26">
        <v>2.8</v>
      </c>
      <c r="D26">
        <v>1</v>
      </c>
      <c r="E26">
        <v>2.8</v>
      </c>
      <c r="F26" s="1">
        <v>36351</v>
      </c>
      <c r="G26">
        <v>1.9599999999999997</v>
      </c>
      <c r="H26">
        <f t="shared" si="0"/>
        <v>3</v>
      </c>
    </row>
    <row r="27" spans="1:8" x14ac:dyDescent="0.15">
      <c r="A27" t="s">
        <v>5</v>
      </c>
      <c r="B27" t="s">
        <v>6</v>
      </c>
      <c r="C27">
        <v>3</v>
      </c>
      <c r="D27">
        <v>1</v>
      </c>
      <c r="E27">
        <v>3</v>
      </c>
      <c r="F27" s="1">
        <v>36352</v>
      </c>
      <c r="G27">
        <v>2.0999999999999996</v>
      </c>
      <c r="H27">
        <f t="shared" si="0"/>
        <v>3.3</v>
      </c>
    </row>
    <row r="28" spans="1:8" x14ac:dyDescent="0.15">
      <c r="A28" t="s">
        <v>7</v>
      </c>
      <c r="B28" t="s">
        <v>10</v>
      </c>
      <c r="C28">
        <v>1.8</v>
      </c>
      <c r="D28">
        <v>1</v>
      </c>
      <c r="E28">
        <v>1.8</v>
      </c>
      <c r="F28" s="1">
        <v>36352</v>
      </c>
      <c r="G28">
        <v>1.26</v>
      </c>
      <c r="H28">
        <f t="shared" si="0"/>
        <v>2</v>
      </c>
    </row>
    <row r="29" spans="1:8" x14ac:dyDescent="0.15">
      <c r="A29" t="s">
        <v>22</v>
      </c>
      <c r="B29" t="s">
        <v>13</v>
      </c>
      <c r="C29">
        <v>2.8</v>
      </c>
      <c r="D29">
        <v>1</v>
      </c>
      <c r="E29">
        <v>2.8</v>
      </c>
      <c r="F29" s="1">
        <v>36352</v>
      </c>
      <c r="G29">
        <v>1.9599999999999997</v>
      </c>
      <c r="H29">
        <f t="shared" si="0"/>
        <v>3</v>
      </c>
    </row>
    <row r="30" spans="1:8" x14ac:dyDescent="0.15">
      <c r="A30" t="s">
        <v>16</v>
      </c>
      <c r="B30" t="s">
        <v>10</v>
      </c>
      <c r="C30">
        <v>1.8</v>
      </c>
      <c r="D30">
        <v>1</v>
      </c>
      <c r="E30">
        <v>1.8</v>
      </c>
      <c r="F30" s="1">
        <v>36352</v>
      </c>
      <c r="G30">
        <v>1.26</v>
      </c>
      <c r="H30">
        <f t="shared" si="0"/>
        <v>2</v>
      </c>
    </row>
    <row r="31" spans="1:8" x14ac:dyDescent="0.15">
      <c r="A31" t="s">
        <v>20</v>
      </c>
      <c r="B31" t="s">
        <v>10</v>
      </c>
      <c r="C31">
        <v>1.8</v>
      </c>
      <c r="D31">
        <v>1</v>
      </c>
      <c r="E31">
        <v>1.8</v>
      </c>
      <c r="F31" s="1">
        <v>36352</v>
      </c>
      <c r="G31">
        <v>1.26</v>
      </c>
      <c r="H31">
        <f t="shared" si="0"/>
        <v>2</v>
      </c>
    </row>
    <row r="32" spans="1:8" x14ac:dyDescent="0.15">
      <c r="A32" t="s">
        <v>17</v>
      </c>
      <c r="B32" t="s">
        <v>18</v>
      </c>
      <c r="C32">
        <v>3</v>
      </c>
      <c r="D32">
        <v>1</v>
      </c>
      <c r="E32">
        <v>3</v>
      </c>
      <c r="F32" s="1">
        <v>36352</v>
      </c>
      <c r="G32">
        <v>2.0999999999999996</v>
      </c>
      <c r="H32">
        <f t="shared" si="0"/>
        <v>3.3</v>
      </c>
    </row>
    <row r="33" spans="1:8" x14ac:dyDescent="0.15">
      <c r="A33" t="s">
        <v>9</v>
      </c>
      <c r="B33" t="s">
        <v>13</v>
      </c>
      <c r="C33">
        <v>2.8</v>
      </c>
      <c r="D33">
        <v>1</v>
      </c>
      <c r="E33">
        <v>2.8</v>
      </c>
      <c r="F33" s="1">
        <v>36353</v>
      </c>
      <c r="G33">
        <v>1.9599999999999997</v>
      </c>
      <c r="H33">
        <f t="shared" si="0"/>
        <v>3</v>
      </c>
    </row>
    <row r="34" spans="1:8" x14ac:dyDescent="0.15">
      <c r="A34" t="s">
        <v>5</v>
      </c>
      <c r="B34" t="s">
        <v>8</v>
      </c>
      <c r="C34">
        <v>5</v>
      </c>
      <c r="D34">
        <v>1</v>
      </c>
      <c r="E34">
        <v>5</v>
      </c>
      <c r="F34" s="1">
        <v>36354</v>
      </c>
      <c r="G34">
        <v>3.5</v>
      </c>
      <c r="H34">
        <f t="shared" si="0"/>
        <v>5.2</v>
      </c>
    </row>
    <row r="35" spans="1:8" x14ac:dyDescent="0.15">
      <c r="A35" t="s">
        <v>14</v>
      </c>
      <c r="B35" t="s">
        <v>10</v>
      </c>
      <c r="C35">
        <v>1.8</v>
      </c>
      <c r="D35">
        <v>1</v>
      </c>
      <c r="E35">
        <v>1.8</v>
      </c>
      <c r="F35" s="1">
        <v>36354</v>
      </c>
      <c r="G35">
        <v>1.26</v>
      </c>
      <c r="H35">
        <f t="shared" si="0"/>
        <v>2</v>
      </c>
    </row>
    <row r="36" spans="1:8" x14ac:dyDescent="0.15">
      <c r="A36" t="s">
        <v>15</v>
      </c>
      <c r="B36" t="s">
        <v>13</v>
      </c>
      <c r="C36">
        <v>2.8</v>
      </c>
      <c r="D36">
        <v>1</v>
      </c>
      <c r="E36">
        <v>2.8</v>
      </c>
      <c r="F36" s="1">
        <v>36354</v>
      </c>
      <c r="G36">
        <v>1.9599999999999997</v>
      </c>
      <c r="H36">
        <f t="shared" si="0"/>
        <v>3</v>
      </c>
    </row>
    <row r="37" spans="1:8" x14ac:dyDescent="0.15">
      <c r="A37" t="s">
        <v>21</v>
      </c>
      <c r="B37" t="s">
        <v>6</v>
      </c>
      <c r="C37">
        <v>3</v>
      </c>
      <c r="D37">
        <v>1</v>
      </c>
      <c r="E37">
        <v>3</v>
      </c>
      <c r="F37" s="1">
        <v>36354</v>
      </c>
      <c r="G37">
        <v>2.0999999999999996</v>
      </c>
      <c r="H37">
        <f t="shared" si="0"/>
        <v>3.3</v>
      </c>
    </row>
    <row r="38" spans="1:8" x14ac:dyDescent="0.15">
      <c r="A38" t="s">
        <v>21</v>
      </c>
      <c r="B38" t="s">
        <v>10</v>
      </c>
      <c r="C38">
        <v>1.8</v>
      </c>
      <c r="D38">
        <v>1</v>
      </c>
      <c r="E38">
        <v>1.8</v>
      </c>
      <c r="F38" s="1">
        <v>36356</v>
      </c>
      <c r="G38">
        <v>1.26</v>
      </c>
      <c r="H38">
        <f t="shared" si="0"/>
        <v>2</v>
      </c>
    </row>
    <row r="39" spans="1:8" x14ac:dyDescent="0.15">
      <c r="A39" t="s">
        <v>15</v>
      </c>
      <c r="B39" t="s">
        <v>10</v>
      </c>
      <c r="C39">
        <v>1.8</v>
      </c>
      <c r="D39">
        <v>1</v>
      </c>
      <c r="E39">
        <v>1.8</v>
      </c>
      <c r="F39" s="1">
        <v>36357</v>
      </c>
      <c r="G39">
        <v>1.26</v>
      </c>
      <c r="H39">
        <f t="shared" si="0"/>
        <v>2</v>
      </c>
    </row>
    <row r="40" spans="1:8" x14ac:dyDescent="0.15">
      <c r="A40" t="s">
        <v>11</v>
      </c>
      <c r="B40" t="s">
        <v>13</v>
      </c>
      <c r="C40">
        <v>2.8</v>
      </c>
      <c r="D40">
        <v>1</v>
      </c>
      <c r="E40">
        <v>2.8</v>
      </c>
      <c r="F40" s="1">
        <v>36357</v>
      </c>
      <c r="G40">
        <v>1.9599999999999997</v>
      </c>
      <c r="H40">
        <f t="shared" si="0"/>
        <v>3</v>
      </c>
    </row>
    <row r="41" spans="1:8" x14ac:dyDescent="0.15">
      <c r="A41" t="s">
        <v>19</v>
      </c>
      <c r="B41" t="s">
        <v>18</v>
      </c>
      <c r="C41">
        <v>3</v>
      </c>
      <c r="D41">
        <v>1</v>
      </c>
      <c r="E41">
        <v>3</v>
      </c>
      <c r="F41" s="1">
        <v>36357</v>
      </c>
      <c r="G41">
        <v>2.0999999999999996</v>
      </c>
      <c r="H41">
        <f t="shared" si="0"/>
        <v>3.3</v>
      </c>
    </row>
    <row r="42" spans="1:8" x14ac:dyDescent="0.15">
      <c r="A42" t="s">
        <v>20</v>
      </c>
      <c r="B42" t="s">
        <v>18</v>
      </c>
      <c r="C42">
        <v>3</v>
      </c>
      <c r="D42">
        <v>1</v>
      </c>
      <c r="E42">
        <v>3</v>
      </c>
      <c r="F42" s="1">
        <v>36357</v>
      </c>
      <c r="G42">
        <v>2.0999999999999996</v>
      </c>
      <c r="H42">
        <f t="shared" si="0"/>
        <v>3.3</v>
      </c>
    </row>
    <row r="43" spans="1:8" x14ac:dyDescent="0.15">
      <c r="A43" t="s">
        <v>17</v>
      </c>
      <c r="B43" t="s">
        <v>10</v>
      </c>
      <c r="C43">
        <v>1.8</v>
      </c>
      <c r="D43">
        <v>1</v>
      </c>
      <c r="E43">
        <v>1.8</v>
      </c>
      <c r="F43" s="1">
        <v>36358</v>
      </c>
      <c r="G43">
        <v>1.26</v>
      </c>
      <c r="H43">
        <f t="shared" si="0"/>
        <v>2</v>
      </c>
    </row>
    <row r="44" spans="1:8" x14ac:dyDescent="0.15">
      <c r="A44" t="s">
        <v>7</v>
      </c>
      <c r="B44" t="s">
        <v>13</v>
      </c>
      <c r="C44">
        <v>2.8</v>
      </c>
      <c r="D44">
        <v>1</v>
      </c>
      <c r="E44">
        <v>2.8</v>
      </c>
      <c r="F44" s="1">
        <v>36359</v>
      </c>
      <c r="G44">
        <v>1.9599999999999997</v>
      </c>
      <c r="H44">
        <f t="shared" si="0"/>
        <v>3</v>
      </c>
    </row>
    <row r="45" spans="1:8" x14ac:dyDescent="0.15">
      <c r="A45" t="s">
        <v>9</v>
      </c>
      <c r="B45" t="s">
        <v>6</v>
      </c>
      <c r="C45">
        <v>3</v>
      </c>
      <c r="D45">
        <v>1</v>
      </c>
      <c r="E45">
        <v>3</v>
      </c>
      <c r="F45" s="1">
        <v>36359</v>
      </c>
      <c r="G45">
        <v>2.0999999999999996</v>
      </c>
      <c r="H45">
        <f t="shared" si="0"/>
        <v>3.3</v>
      </c>
    </row>
    <row r="46" spans="1:8" x14ac:dyDescent="0.15">
      <c r="A46" t="s">
        <v>20</v>
      </c>
      <c r="B46" t="s">
        <v>8</v>
      </c>
      <c r="C46">
        <v>5</v>
      </c>
      <c r="D46">
        <v>1</v>
      </c>
      <c r="E46">
        <v>5</v>
      </c>
      <c r="F46" s="1">
        <v>36359</v>
      </c>
      <c r="G46">
        <v>3.5</v>
      </c>
      <c r="H46">
        <f t="shared" si="0"/>
        <v>5.2</v>
      </c>
    </row>
    <row r="47" spans="1:8" x14ac:dyDescent="0.15">
      <c r="A47" t="s">
        <v>12</v>
      </c>
      <c r="B47" t="s">
        <v>13</v>
      </c>
      <c r="C47">
        <v>2.8</v>
      </c>
      <c r="D47">
        <v>1</v>
      </c>
      <c r="E47">
        <v>2.8</v>
      </c>
      <c r="F47" s="1">
        <v>36360</v>
      </c>
      <c r="G47">
        <v>1.9599999999999997</v>
      </c>
      <c r="H47">
        <f t="shared" si="0"/>
        <v>3</v>
      </c>
    </row>
    <row r="48" spans="1:8" x14ac:dyDescent="0.15">
      <c r="A48" t="s">
        <v>16</v>
      </c>
      <c r="B48" t="s">
        <v>18</v>
      </c>
      <c r="C48">
        <v>3</v>
      </c>
      <c r="D48">
        <v>1</v>
      </c>
      <c r="E48">
        <v>3</v>
      </c>
      <c r="F48" s="1">
        <v>36360</v>
      </c>
      <c r="G48">
        <v>2.0999999999999996</v>
      </c>
      <c r="H48">
        <f t="shared" si="0"/>
        <v>3.3</v>
      </c>
    </row>
    <row r="49" spans="1:8" x14ac:dyDescent="0.15">
      <c r="A49" t="s">
        <v>15</v>
      </c>
      <c r="B49" t="s">
        <v>10</v>
      </c>
      <c r="C49">
        <v>1.8</v>
      </c>
      <c r="D49">
        <v>1</v>
      </c>
      <c r="E49">
        <v>1.8</v>
      </c>
      <c r="F49" s="1">
        <v>36361</v>
      </c>
      <c r="G49">
        <v>1.26</v>
      </c>
      <c r="H49">
        <f t="shared" si="0"/>
        <v>2</v>
      </c>
    </row>
    <row r="50" spans="1:8" x14ac:dyDescent="0.15">
      <c r="A50" t="s">
        <v>5</v>
      </c>
      <c r="B50" t="s">
        <v>13</v>
      </c>
      <c r="C50">
        <v>2.8</v>
      </c>
      <c r="D50">
        <v>1</v>
      </c>
      <c r="E50">
        <v>2.8</v>
      </c>
      <c r="F50" s="1">
        <v>36362</v>
      </c>
      <c r="G50">
        <v>1.9599999999999997</v>
      </c>
      <c r="H50">
        <f t="shared" si="0"/>
        <v>3</v>
      </c>
    </row>
    <row r="51" spans="1:8" x14ac:dyDescent="0.15">
      <c r="A51" t="s">
        <v>22</v>
      </c>
      <c r="B51" t="s">
        <v>8</v>
      </c>
      <c r="C51">
        <v>5</v>
      </c>
      <c r="D51">
        <v>1</v>
      </c>
      <c r="E51">
        <v>5</v>
      </c>
      <c r="F51" s="1">
        <v>36362</v>
      </c>
      <c r="G51">
        <v>3.5</v>
      </c>
      <c r="H51">
        <f t="shared" si="0"/>
        <v>5.2</v>
      </c>
    </row>
    <row r="52" spans="1:8" x14ac:dyDescent="0.15">
      <c r="A52" t="s">
        <v>12</v>
      </c>
      <c r="B52" t="s">
        <v>13</v>
      </c>
      <c r="C52">
        <v>2.8</v>
      </c>
      <c r="D52">
        <v>1</v>
      </c>
      <c r="E52">
        <v>2.8</v>
      </c>
      <c r="F52" s="1">
        <v>36363</v>
      </c>
      <c r="G52">
        <v>1.9599999999999997</v>
      </c>
      <c r="H52">
        <f t="shared" si="0"/>
        <v>3</v>
      </c>
    </row>
    <row r="53" spans="1:8" x14ac:dyDescent="0.15">
      <c r="A53" t="s">
        <v>20</v>
      </c>
      <c r="B53" t="s">
        <v>18</v>
      </c>
      <c r="C53">
        <v>3</v>
      </c>
      <c r="D53">
        <v>1</v>
      </c>
      <c r="E53">
        <v>3</v>
      </c>
      <c r="F53" s="1">
        <v>36363</v>
      </c>
      <c r="G53">
        <v>2.0999999999999996</v>
      </c>
      <c r="H53">
        <f t="shared" si="0"/>
        <v>3.3</v>
      </c>
    </row>
    <row r="54" spans="1:8" x14ac:dyDescent="0.15">
      <c r="A54" t="s">
        <v>14</v>
      </c>
      <c r="B54" t="s">
        <v>10</v>
      </c>
      <c r="C54">
        <v>1.8</v>
      </c>
      <c r="D54">
        <v>1</v>
      </c>
      <c r="E54">
        <v>1.8</v>
      </c>
      <c r="F54" s="1">
        <v>36364</v>
      </c>
      <c r="G54">
        <v>1.26</v>
      </c>
      <c r="H54">
        <f t="shared" si="0"/>
        <v>2</v>
      </c>
    </row>
    <row r="55" spans="1:8" x14ac:dyDescent="0.15">
      <c r="A55" t="s">
        <v>16</v>
      </c>
      <c r="B55" t="s">
        <v>13</v>
      </c>
      <c r="C55">
        <v>2.8</v>
      </c>
      <c r="D55">
        <v>1</v>
      </c>
      <c r="E55">
        <v>2.8</v>
      </c>
      <c r="F55" s="1">
        <v>36364</v>
      </c>
      <c r="G55">
        <v>1.9599999999999997</v>
      </c>
      <c r="H55">
        <f t="shared" si="0"/>
        <v>3</v>
      </c>
    </row>
    <row r="56" spans="1:8" x14ac:dyDescent="0.15">
      <c r="A56" t="s">
        <v>17</v>
      </c>
      <c r="B56" t="s">
        <v>8</v>
      </c>
      <c r="C56">
        <v>5</v>
      </c>
      <c r="D56">
        <v>1</v>
      </c>
      <c r="E56">
        <v>5</v>
      </c>
      <c r="F56" s="1">
        <v>36364</v>
      </c>
      <c r="G56">
        <v>3.5</v>
      </c>
      <c r="H56">
        <f t="shared" si="0"/>
        <v>5.2</v>
      </c>
    </row>
    <row r="57" spans="1:8" x14ac:dyDescent="0.15">
      <c r="A57" t="s">
        <v>21</v>
      </c>
      <c r="B57" t="s">
        <v>6</v>
      </c>
      <c r="C57">
        <v>3</v>
      </c>
      <c r="D57">
        <v>1</v>
      </c>
      <c r="E57">
        <v>3</v>
      </c>
      <c r="F57" s="1">
        <v>36364</v>
      </c>
      <c r="G57">
        <v>2.0999999999999996</v>
      </c>
      <c r="H57">
        <f t="shared" si="0"/>
        <v>3.3</v>
      </c>
    </row>
    <row r="58" spans="1:8" x14ac:dyDescent="0.15">
      <c r="A58" t="s">
        <v>9</v>
      </c>
      <c r="B58" t="s">
        <v>13</v>
      </c>
      <c r="C58">
        <v>2.8</v>
      </c>
      <c r="D58">
        <v>1</v>
      </c>
      <c r="E58">
        <v>2.8</v>
      </c>
      <c r="F58" s="1">
        <v>36365</v>
      </c>
      <c r="G58">
        <v>1.9599999999999997</v>
      </c>
      <c r="H58">
        <f t="shared" si="0"/>
        <v>3</v>
      </c>
    </row>
    <row r="59" spans="1:8" x14ac:dyDescent="0.15">
      <c r="A59" t="s">
        <v>22</v>
      </c>
      <c r="B59" t="s">
        <v>13</v>
      </c>
      <c r="C59">
        <v>2.8</v>
      </c>
      <c r="D59">
        <v>1</v>
      </c>
      <c r="E59">
        <v>2.8</v>
      </c>
      <c r="F59" s="1">
        <v>36365</v>
      </c>
      <c r="G59">
        <v>1.9599999999999997</v>
      </c>
      <c r="H59">
        <f t="shared" si="0"/>
        <v>3</v>
      </c>
    </row>
    <row r="60" spans="1:8" x14ac:dyDescent="0.15">
      <c r="A60" t="s">
        <v>19</v>
      </c>
      <c r="B60" t="s">
        <v>18</v>
      </c>
      <c r="C60">
        <v>3</v>
      </c>
      <c r="D60">
        <v>1</v>
      </c>
      <c r="E60">
        <v>3</v>
      </c>
      <c r="F60" s="1">
        <v>36365</v>
      </c>
      <c r="G60">
        <v>2.0999999999999996</v>
      </c>
      <c r="H60">
        <f t="shared" si="0"/>
        <v>3.3</v>
      </c>
    </row>
    <row r="61" spans="1:8" x14ac:dyDescent="0.15">
      <c r="A61" t="s">
        <v>12</v>
      </c>
      <c r="B61" t="s">
        <v>18</v>
      </c>
      <c r="C61">
        <v>3</v>
      </c>
      <c r="D61">
        <v>1</v>
      </c>
      <c r="E61">
        <v>3</v>
      </c>
      <c r="F61" s="1">
        <v>36366</v>
      </c>
      <c r="G61">
        <v>2.0999999999999996</v>
      </c>
      <c r="H61">
        <f t="shared" si="0"/>
        <v>3.3</v>
      </c>
    </row>
    <row r="62" spans="1:8" x14ac:dyDescent="0.15">
      <c r="A62" t="s">
        <v>5</v>
      </c>
      <c r="B62" t="s">
        <v>23</v>
      </c>
      <c r="C62">
        <v>3.4</v>
      </c>
      <c r="D62">
        <v>1</v>
      </c>
      <c r="E62">
        <v>3.4</v>
      </c>
      <c r="F62" s="1">
        <v>36367</v>
      </c>
      <c r="G62">
        <v>2.38</v>
      </c>
      <c r="H62">
        <f t="shared" si="0"/>
        <v>3.6</v>
      </c>
    </row>
    <row r="63" spans="1:8" x14ac:dyDescent="0.15">
      <c r="A63" t="s">
        <v>14</v>
      </c>
      <c r="B63" t="s">
        <v>10</v>
      </c>
      <c r="C63">
        <v>1.8</v>
      </c>
      <c r="D63">
        <v>1</v>
      </c>
      <c r="E63">
        <v>1.8</v>
      </c>
      <c r="F63" s="1">
        <v>36368</v>
      </c>
      <c r="G63">
        <v>1.26</v>
      </c>
      <c r="H63">
        <f t="shared" si="0"/>
        <v>2</v>
      </c>
    </row>
    <row r="64" spans="1:8" x14ac:dyDescent="0.15">
      <c r="A64" t="s">
        <v>9</v>
      </c>
      <c r="B64" t="s">
        <v>10</v>
      </c>
      <c r="C64">
        <v>1.8</v>
      </c>
      <c r="D64">
        <v>1</v>
      </c>
      <c r="E64">
        <v>1.8</v>
      </c>
      <c r="F64" s="1">
        <v>36368</v>
      </c>
      <c r="G64">
        <v>1.26</v>
      </c>
      <c r="H64">
        <f t="shared" si="0"/>
        <v>2</v>
      </c>
    </row>
    <row r="65" spans="1:8" x14ac:dyDescent="0.15">
      <c r="A65" t="s">
        <v>15</v>
      </c>
      <c r="B65" t="s">
        <v>13</v>
      </c>
      <c r="C65">
        <v>2.8</v>
      </c>
      <c r="D65">
        <v>1</v>
      </c>
      <c r="E65">
        <v>2.8</v>
      </c>
      <c r="F65" s="1">
        <v>36369</v>
      </c>
      <c r="G65">
        <v>1.9599999999999997</v>
      </c>
      <c r="H65">
        <f t="shared" si="0"/>
        <v>3</v>
      </c>
    </row>
    <row r="66" spans="1:8" x14ac:dyDescent="0.15">
      <c r="A66" t="s">
        <v>20</v>
      </c>
      <c r="B66" t="s">
        <v>6</v>
      </c>
      <c r="C66">
        <v>3</v>
      </c>
      <c r="D66">
        <v>2</v>
      </c>
      <c r="E66">
        <v>6</v>
      </c>
      <c r="F66" s="1">
        <v>36369</v>
      </c>
      <c r="G66">
        <v>4.1999999999999993</v>
      </c>
      <c r="H66">
        <f t="shared" si="0"/>
        <v>3.3</v>
      </c>
    </row>
    <row r="67" spans="1:8" x14ac:dyDescent="0.15">
      <c r="A67" t="s">
        <v>21</v>
      </c>
      <c r="B67" t="s">
        <v>10</v>
      </c>
      <c r="C67">
        <v>1.8</v>
      </c>
      <c r="D67">
        <v>1</v>
      </c>
      <c r="E67">
        <v>1.8</v>
      </c>
      <c r="F67" s="1">
        <v>36369</v>
      </c>
      <c r="G67">
        <v>1.26</v>
      </c>
      <c r="H67">
        <f t="shared" ref="H67:H77" si="1">IF(OR(B67="可乐",B67="雪碧"),C67+0.3,C67+0.2)</f>
        <v>2</v>
      </c>
    </row>
    <row r="68" spans="1:8" x14ac:dyDescent="0.15">
      <c r="A68" t="s">
        <v>7</v>
      </c>
      <c r="B68" t="s">
        <v>10</v>
      </c>
      <c r="C68">
        <v>1.8</v>
      </c>
      <c r="D68">
        <v>1</v>
      </c>
      <c r="E68">
        <v>1.8</v>
      </c>
      <c r="F68" s="1">
        <v>36370</v>
      </c>
      <c r="G68">
        <v>1.26</v>
      </c>
      <c r="H68">
        <f t="shared" si="1"/>
        <v>2</v>
      </c>
    </row>
    <row r="69" spans="1:8" x14ac:dyDescent="0.15">
      <c r="A69" t="s">
        <v>15</v>
      </c>
      <c r="B69" t="s">
        <v>10</v>
      </c>
      <c r="C69">
        <v>1.8</v>
      </c>
      <c r="D69">
        <v>1</v>
      </c>
      <c r="E69">
        <v>1.8</v>
      </c>
      <c r="F69" s="1">
        <v>36370</v>
      </c>
      <c r="G69">
        <v>1.26</v>
      </c>
      <c r="H69">
        <f t="shared" si="1"/>
        <v>2</v>
      </c>
    </row>
    <row r="70" spans="1:8" x14ac:dyDescent="0.15">
      <c r="A70" t="s">
        <v>22</v>
      </c>
      <c r="B70" t="s">
        <v>13</v>
      </c>
      <c r="C70">
        <v>2.8</v>
      </c>
      <c r="D70">
        <v>1</v>
      </c>
      <c r="E70">
        <v>2.8</v>
      </c>
      <c r="F70" s="1">
        <v>36370</v>
      </c>
      <c r="G70">
        <v>1.9599999999999997</v>
      </c>
      <c r="H70">
        <f t="shared" si="1"/>
        <v>3</v>
      </c>
    </row>
    <row r="71" spans="1:8" x14ac:dyDescent="0.15">
      <c r="A71" t="s">
        <v>16</v>
      </c>
      <c r="B71" t="s">
        <v>13</v>
      </c>
      <c r="C71">
        <v>2.8</v>
      </c>
      <c r="D71">
        <v>1</v>
      </c>
      <c r="E71">
        <v>2.8</v>
      </c>
      <c r="F71" s="1">
        <v>36370</v>
      </c>
      <c r="G71">
        <v>1.9599999999999997</v>
      </c>
      <c r="H71">
        <f t="shared" si="1"/>
        <v>3</v>
      </c>
    </row>
    <row r="72" spans="1:8" x14ac:dyDescent="0.15">
      <c r="A72" t="s">
        <v>7</v>
      </c>
      <c r="B72" t="s">
        <v>18</v>
      </c>
      <c r="C72">
        <v>3</v>
      </c>
      <c r="D72">
        <v>1</v>
      </c>
      <c r="E72">
        <v>3</v>
      </c>
      <c r="F72" s="1">
        <v>36371</v>
      </c>
      <c r="G72">
        <v>2.0999999999999996</v>
      </c>
      <c r="H72">
        <f t="shared" si="1"/>
        <v>3.3</v>
      </c>
    </row>
    <row r="73" spans="1:8" x14ac:dyDescent="0.15">
      <c r="A73" t="s">
        <v>9</v>
      </c>
      <c r="B73" t="s">
        <v>10</v>
      </c>
      <c r="C73">
        <v>1.8</v>
      </c>
      <c r="D73">
        <v>1</v>
      </c>
      <c r="E73">
        <v>1.8</v>
      </c>
      <c r="F73" s="1">
        <v>36371</v>
      </c>
      <c r="G73">
        <v>1.26</v>
      </c>
      <c r="H73">
        <f t="shared" si="1"/>
        <v>2</v>
      </c>
    </row>
    <row r="74" spans="1:8" x14ac:dyDescent="0.15">
      <c r="A74" t="s">
        <v>5</v>
      </c>
      <c r="B74" t="s">
        <v>10</v>
      </c>
      <c r="C74">
        <v>1.8</v>
      </c>
      <c r="D74">
        <v>1</v>
      </c>
      <c r="E74">
        <v>1.8</v>
      </c>
      <c r="F74" s="1">
        <v>36372</v>
      </c>
      <c r="G74">
        <v>1.26</v>
      </c>
      <c r="H74">
        <f t="shared" si="1"/>
        <v>2</v>
      </c>
    </row>
    <row r="75" spans="1:8" x14ac:dyDescent="0.15">
      <c r="A75" t="s">
        <v>7</v>
      </c>
      <c r="B75" t="s">
        <v>10</v>
      </c>
      <c r="C75">
        <v>1.8</v>
      </c>
      <c r="D75">
        <v>1</v>
      </c>
      <c r="E75">
        <v>1.8</v>
      </c>
      <c r="F75" s="1">
        <v>36372</v>
      </c>
      <c r="G75">
        <v>1.26</v>
      </c>
      <c r="H75">
        <f t="shared" si="1"/>
        <v>2</v>
      </c>
    </row>
    <row r="76" spans="1:8" x14ac:dyDescent="0.15">
      <c r="A76" t="s">
        <v>12</v>
      </c>
      <c r="B76" t="s">
        <v>10</v>
      </c>
      <c r="C76">
        <v>1.8</v>
      </c>
      <c r="D76">
        <v>1</v>
      </c>
      <c r="E76">
        <v>1.8</v>
      </c>
      <c r="F76" s="1">
        <v>36372</v>
      </c>
      <c r="G76">
        <v>1.26</v>
      </c>
      <c r="H76">
        <f t="shared" si="1"/>
        <v>2</v>
      </c>
    </row>
    <row r="77" spans="1:8" x14ac:dyDescent="0.15">
      <c r="A77" t="s">
        <v>19</v>
      </c>
      <c r="B77" t="s">
        <v>10</v>
      </c>
      <c r="C77">
        <v>1.8</v>
      </c>
      <c r="D77">
        <v>1</v>
      </c>
      <c r="E77">
        <v>1.8</v>
      </c>
      <c r="F77" s="1">
        <v>36372</v>
      </c>
      <c r="G77">
        <v>1.26</v>
      </c>
      <c r="H77">
        <f t="shared" si="1"/>
        <v>2</v>
      </c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4"/>
  <sheetViews>
    <sheetView workbookViewId="0">
      <selection activeCell="D102" sqref="D102"/>
    </sheetView>
  </sheetViews>
  <sheetFormatPr defaultRowHeight="14.25" outlineLevelRow="2" x14ac:dyDescent="0.15"/>
  <cols>
    <col min="1" max="1" width="15.25" customWidth="1"/>
  </cols>
  <sheetData>
    <row r="1" spans="1:3" x14ac:dyDescent="0.15">
      <c r="A1" t="s">
        <v>2</v>
      </c>
      <c r="B1" t="s">
        <v>28</v>
      </c>
      <c r="C1" t="s">
        <v>31</v>
      </c>
    </row>
    <row r="2" spans="1:3" hidden="1" outlineLevel="2" x14ac:dyDescent="0.15">
      <c r="A2" t="s">
        <v>10</v>
      </c>
      <c r="B2">
        <v>1.8</v>
      </c>
      <c r="C2">
        <v>2</v>
      </c>
    </row>
    <row r="3" spans="1:3" hidden="1" outlineLevel="2" x14ac:dyDescent="0.15">
      <c r="A3" t="s">
        <v>10</v>
      </c>
      <c r="B3">
        <v>1.8</v>
      </c>
      <c r="C3">
        <v>2</v>
      </c>
    </row>
    <row r="4" spans="1:3" hidden="1" outlineLevel="2" x14ac:dyDescent="0.15">
      <c r="A4" t="s">
        <v>10</v>
      </c>
      <c r="B4">
        <v>1.8</v>
      </c>
      <c r="C4">
        <v>2</v>
      </c>
    </row>
    <row r="5" spans="1:3" hidden="1" outlineLevel="2" x14ac:dyDescent="0.15">
      <c r="A5" t="s">
        <v>10</v>
      </c>
      <c r="B5">
        <v>1.8</v>
      </c>
      <c r="C5">
        <v>2</v>
      </c>
    </row>
    <row r="6" spans="1:3" hidden="1" outlineLevel="2" x14ac:dyDescent="0.15">
      <c r="A6" t="s">
        <v>10</v>
      </c>
      <c r="B6">
        <v>1.8</v>
      </c>
      <c r="C6">
        <v>2</v>
      </c>
    </row>
    <row r="7" spans="1:3" hidden="1" outlineLevel="2" x14ac:dyDescent="0.15">
      <c r="A7" t="s">
        <v>10</v>
      </c>
      <c r="B7">
        <v>1.8</v>
      </c>
      <c r="C7">
        <v>2</v>
      </c>
    </row>
    <row r="8" spans="1:3" hidden="1" outlineLevel="2" x14ac:dyDescent="0.15">
      <c r="A8" t="s">
        <v>10</v>
      </c>
      <c r="B8">
        <v>1.8</v>
      </c>
      <c r="C8">
        <v>2</v>
      </c>
    </row>
    <row r="9" spans="1:3" hidden="1" outlineLevel="2" x14ac:dyDescent="0.15">
      <c r="A9" t="s">
        <v>10</v>
      </c>
      <c r="B9">
        <v>1.8</v>
      </c>
      <c r="C9">
        <v>2</v>
      </c>
    </row>
    <row r="10" spans="1:3" hidden="1" outlineLevel="2" x14ac:dyDescent="0.15">
      <c r="A10" t="s">
        <v>10</v>
      </c>
      <c r="B10">
        <v>1.8</v>
      </c>
      <c r="C10">
        <v>2</v>
      </c>
    </row>
    <row r="11" spans="1:3" hidden="1" outlineLevel="2" x14ac:dyDescent="0.15">
      <c r="A11" t="s">
        <v>10</v>
      </c>
      <c r="B11">
        <v>1.8</v>
      </c>
      <c r="C11">
        <v>2</v>
      </c>
    </row>
    <row r="12" spans="1:3" hidden="1" outlineLevel="2" x14ac:dyDescent="0.15">
      <c r="A12" t="s">
        <v>10</v>
      </c>
      <c r="B12">
        <v>1.8</v>
      </c>
      <c r="C12">
        <v>2</v>
      </c>
    </row>
    <row r="13" spans="1:3" hidden="1" outlineLevel="2" x14ac:dyDescent="0.15">
      <c r="A13" t="s">
        <v>10</v>
      </c>
      <c r="B13">
        <v>1.8</v>
      </c>
      <c r="C13">
        <v>2</v>
      </c>
    </row>
    <row r="14" spans="1:3" hidden="1" outlineLevel="2" x14ac:dyDescent="0.15">
      <c r="A14" t="s">
        <v>10</v>
      </c>
      <c r="B14">
        <v>1.8</v>
      </c>
      <c r="C14">
        <v>2</v>
      </c>
    </row>
    <row r="15" spans="1:3" hidden="1" outlineLevel="2" x14ac:dyDescent="0.15">
      <c r="A15" t="s">
        <v>10</v>
      </c>
      <c r="B15">
        <v>1.8</v>
      </c>
      <c r="C15">
        <v>2</v>
      </c>
    </row>
    <row r="16" spans="1:3" hidden="1" outlineLevel="2" x14ac:dyDescent="0.15">
      <c r="A16" t="s">
        <v>10</v>
      </c>
      <c r="B16">
        <v>1.8</v>
      </c>
      <c r="C16">
        <v>2</v>
      </c>
    </row>
    <row r="17" spans="1:3" hidden="1" outlineLevel="2" x14ac:dyDescent="0.15">
      <c r="A17" t="s">
        <v>10</v>
      </c>
      <c r="B17">
        <v>1.8</v>
      </c>
      <c r="C17">
        <v>2</v>
      </c>
    </row>
    <row r="18" spans="1:3" hidden="1" outlineLevel="2" x14ac:dyDescent="0.15">
      <c r="A18" t="s">
        <v>10</v>
      </c>
      <c r="B18">
        <v>1.8</v>
      </c>
      <c r="C18">
        <v>2</v>
      </c>
    </row>
    <row r="19" spans="1:3" hidden="1" outlineLevel="2" x14ac:dyDescent="0.15">
      <c r="A19" t="s">
        <v>10</v>
      </c>
      <c r="B19">
        <v>1.8</v>
      </c>
      <c r="C19">
        <v>2</v>
      </c>
    </row>
    <row r="20" spans="1:3" hidden="1" outlineLevel="2" x14ac:dyDescent="0.15">
      <c r="A20" t="s">
        <v>10</v>
      </c>
      <c r="B20">
        <v>1.8</v>
      </c>
      <c r="C20">
        <v>2</v>
      </c>
    </row>
    <row r="21" spans="1:3" hidden="1" outlineLevel="2" x14ac:dyDescent="0.15">
      <c r="A21" t="s">
        <v>10</v>
      </c>
      <c r="B21">
        <v>1.8</v>
      </c>
      <c r="C21">
        <v>2</v>
      </c>
    </row>
    <row r="22" spans="1:3" hidden="1" outlineLevel="2" x14ac:dyDescent="0.15">
      <c r="A22" t="s">
        <v>10</v>
      </c>
      <c r="B22">
        <v>1.8</v>
      </c>
      <c r="C22">
        <v>2</v>
      </c>
    </row>
    <row r="23" spans="1:3" hidden="1" outlineLevel="2" x14ac:dyDescent="0.15">
      <c r="A23" t="s">
        <v>10</v>
      </c>
      <c r="B23">
        <v>1.8</v>
      </c>
      <c r="C23">
        <v>2</v>
      </c>
    </row>
    <row r="24" spans="1:3" hidden="1" outlineLevel="2" x14ac:dyDescent="0.15">
      <c r="A24" t="s">
        <v>10</v>
      </c>
      <c r="B24">
        <v>1.8</v>
      </c>
      <c r="C24">
        <v>2</v>
      </c>
    </row>
    <row r="25" spans="1:3" hidden="1" outlineLevel="2" x14ac:dyDescent="0.15">
      <c r="A25" t="s">
        <v>10</v>
      </c>
      <c r="B25">
        <v>1.8</v>
      </c>
      <c r="C25">
        <v>2</v>
      </c>
    </row>
    <row r="26" spans="1:3" hidden="1" outlineLevel="2" x14ac:dyDescent="0.15">
      <c r="A26" t="s">
        <v>10</v>
      </c>
      <c r="B26">
        <v>1.8</v>
      </c>
      <c r="C26">
        <v>2</v>
      </c>
    </row>
    <row r="27" spans="1:3" outlineLevel="1" collapsed="1" x14ac:dyDescent="0.15">
      <c r="A27" s="22" t="s">
        <v>33</v>
      </c>
      <c r="B27">
        <f>SUBTOTAL(9,B2:B26)</f>
        <v>44.999999999999986</v>
      </c>
      <c r="C27">
        <f>SUBTOTAL(9,C2:C26)</f>
        <v>50</v>
      </c>
    </row>
    <row r="28" spans="1:3" hidden="1" outlineLevel="2" x14ac:dyDescent="0.15">
      <c r="A28" t="s">
        <v>8</v>
      </c>
      <c r="B28">
        <v>5</v>
      </c>
      <c r="C28">
        <v>5.2</v>
      </c>
    </row>
    <row r="29" spans="1:3" hidden="1" outlineLevel="2" x14ac:dyDescent="0.15">
      <c r="A29" t="s">
        <v>8</v>
      </c>
      <c r="B29">
        <v>5</v>
      </c>
      <c r="C29">
        <v>5.2</v>
      </c>
    </row>
    <row r="30" spans="1:3" hidden="1" outlineLevel="2" x14ac:dyDescent="0.15">
      <c r="A30" t="s">
        <v>8</v>
      </c>
      <c r="B30">
        <v>5</v>
      </c>
      <c r="C30">
        <v>5.2</v>
      </c>
    </row>
    <row r="31" spans="1:3" hidden="1" outlineLevel="2" x14ac:dyDescent="0.15">
      <c r="A31" t="s">
        <v>8</v>
      </c>
      <c r="B31">
        <v>5</v>
      </c>
      <c r="C31">
        <v>5.2</v>
      </c>
    </row>
    <row r="32" spans="1:3" hidden="1" outlineLevel="2" x14ac:dyDescent="0.15">
      <c r="A32" t="s">
        <v>8</v>
      </c>
      <c r="B32">
        <v>5</v>
      </c>
      <c r="C32">
        <v>5.2</v>
      </c>
    </row>
    <row r="33" spans="1:3" hidden="1" outlineLevel="2" x14ac:dyDescent="0.15">
      <c r="A33" t="s">
        <v>8</v>
      </c>
      <c r="B33">
        <v>5</v>
      </c>
      <c r="C33">
        <v>5.2</v>
      </c>
    </row>
    <row r="34" spans="1:3" outlineLevel="1" collapsed="1" x14ac:dyDescent="0.15">
      <c r="A34" s="22" t="s">
        <v>34</v>
      </c>
      <c r="B34">
        <f>SUBTOTAL(9,B28:B33)</f>
        <v>30</v>
      </c>
      <c r="C34">
        <f>SUBTOTAL(9,C28:C33)</f>
        <v>31.2</v>
      </c>
    </row>
    <row r="35" spans="1:3" hidden="1" outlineLevel="2" x14ac:dyDescent="0.15">
      <c r="A35" t="s">
        <v>6</v>
      </c>
      <c r="B35">
        <v>3</v>
      </c>
      <c r="C35">
        <v>3.3</v>
      </c>
    </row>
    <row r="36" spans="1:3" hidden="1" outlineLevel="2" x14ac:dyDescent="0.15">
      <c r="A36" t="s">
        <v>6</v>
      </c>
      <c r="B36">
        <v>5</v>
      </c>
      <c r="C36">
        <v>5.3</v>
      </c>
    </row>
    <row r="37" spans="1:3" hidden="1" outlineLevel="2" x14ac:dyDescent="0.15">
      <c r="A37" t="s">
        <v>6</v>
      </c>
      <c r="B37">
        <v>3</v>
      </c>
      <c r="C37">
        <v>3.3</v>
      </c>
    </row>
    <row r="38" spans="1:3" hidden="1" outlineLevel="2" x14ac:dyDescent="0.15">
      <c r="A38" t="s">
        <v>6</v>
      </c>
      <c r="B38">
        <v>3</v>
      </c>
      <c r="C38">
        <v>3.3</v>
      </c>
    </row>
    <row r="39" spans="1:3" hidden="1" outlineLevel="2" x14ac:dyDescent="0.15">
      <c r="A39" t="s">
        <v>6</v>
      </c>
      <c r="B39">
        <v>5</v>
      </c>
      <c r="C39">
        <v>5.3</v>
      </c>
    </row>
    <row r="40" spans="1:3" hidden="1" outlineLevel="2" x14ac:dyDescent="0.15">
      <c r="A40" t="s">
        <v>6</v>
      </c>
      <c r="B40">
        <v>3</v>
      </c>
      <c r="C40">
        <v>3.3</v>
      </c>
    </row>
    <row r="41" spans="1:3" hidden="1" outlineLevel="2" x14ac:dyDescent="0.15">
      <c r="A41" t="s">
        <v>6</v>
      </c>
      <c r="B41">
        <v>5</v>
      </c>
      <c r="C41">
        <v>5.3</v>
      </c>
    </row>
    <row r="42" spans="1:3" hidden="1" outlineLevel="2" x14ac:dyDescent="0.15">
      <c r="A42" t="s">
        <v>6</v>
      </c>
      <c r="B42">
        <v>3</v>
      </c>
      <c r="C42">
        <v>3.3</v>
      </c>
    </row>
    <row r="43" spans="1:3" hidden="1" outlineLevel="2" x14ac:dyDescent="0.15">
      <c r="A43" t="s">
        <v>6</v>
      </c>
      <c r="B43">
        <v>3</v>
      </c>
      <c r="C43">
        <v>3.3</v>
      </c>
    </row>
    <row r="44" spans="1:3" hidden="1" outlineLevel="2" x14ac:dyDescent="0.15">
      <c r="A44" t="s">
        <v>6</v>
      </c>
      <c r="B44">
        <v>3</v>
      </c>
      <c r="C44">
        <v>3.3</v>
      </c>
    </row>
    <row r="45" spans="1:3" hidden="1" outlineLevel="2" x14ac:dyDescent="0.15">
      <c r="A45" t="s">
        <v>6</v>
      </c>
      <c r="B45">
        <v>3</v>
      </c>
      <c r="C45">
        <v>3.3</v>
      </c>
    </row>
    <row r="46" spans="1:3" hidden="1" outlineLevel="2" x14ac:dyDescent="0.15">
      <c r="A46" t="s">
        <v>6</v>
      </c>
      <c r="B46">
        <v>3</v>
      </c>
      <c r="C46">
        <v>3.3</v>
      </c>
    </row>
    <row r="47" spans="1:3" outlineLevel="1" collapsed="1" x14ac:dyDescent="0.15">
      <c r="A47" s="22" t="s">
        <v>35</v>
      </c>
      <c r="B47">
        <f>SUBTOTAL(9,B35:B46)</f>
        <v>42</v>
      </c>
      <c r="C47">
        <f>SUBTOTAL(9,C35:C46)</f>
        <v>45.599999999999987</v>
      </c>
    </row>
    <row r="48" spans="1:3" hidden="1" outlineLevel="2" x14ac:dyDescent="0.15">
      <c r="A48" t="s">
        <v>23</v>
      </c>
      <c r="B48">
        <v>3.4</v>
      </c>
      <c r="C48">
        <v>3.6</v>
      </c>
    </row>
    <row r="49" spans="1:3" outlineLevel="1" collapsed="1" x14ac:dyDescent="0.15">
      <c r="A49" s="22" t="s">
        <v>36</v>
      </c>
      <c r="B49">
        <f>SUBTOTAL(9,B48:B48)</f>
        <v>3.4</v>
      </c>
      <c r="C49">
        <f>SUBTOTAL(9,C48:C48)</f>
        <v>3.6</v>
      </c>
    </row>
    <row r="50" spans="1:3" hidden="1" outlineLevel="2" x14ac:dyDescent="0.15">
      <c r="A50" t="s">
        <v>13</v>
      </c>
      <c r="B50">
        <v>2.8</v>
      </c>
      <c r="C50">
        <v>3</v>
      </c>
    </row>
    <row r="51" spans="1:3" hidden="1" outlineLevel="2" x14ac:dyDescent="0.15">
      <c r="A51" t="s">
        <v>13</v>
      </c>
      <c r="B51">
        <v>2.8</v>
      </c>
      <c r="C51">
        <v>3</v>
      </c>
    </row>
    <row r="52" spans="1:3" hidden="1" outlineLevel="2" x14ac:dyDescent="0.15">
      <c r="A52" t="s">
        <v>13</v>
      </c>
      <c r="B52">
        <v>2.8</v>
      </c>
      <c r="C52">
        <v>3</v>
      </c>
    </row>
    <row r="53" spans="1:3" hidden="1" outlineLevel="2" x14ac:dyDescent="0.15">
      <c r="A53" t="s">
        <v>13</v>
      </c>
      <c r="B53">
        <v>2.8</v>
      </c>
      <c r="C53">
        <v>3</v>
      </c>
    </row>
    <row r="54" spans="1:3" hidden="1" outlineLevel="2" x14ac:dyDescent="0.15">
      <c r="A54" t="s">
        <v>13</v>
      </c>
      <c r="B54">
        <v>2.8</v>
      </c>
      <c r="C54">
        <v>3</v>
      </c>
    </row>
    <row r="55" spans="1:3" hidden="1" outlineLevel="2" x14ac:dyDescent="0.15">
      <c r="A55" t="s">
        <v>13</v>
      </c>
      <c r="B55">
        <v>2.8</v>
      </c>
      <c r="C55">
        <v>3</v>
      </c>
    </row>
    <row r="56" spans="1:3" hidden="1" outlineLevel="2" x14ac:dyDescent="0.15">
      <c r="A56" t="s">
        <v>13</v>
      </c>
      <c r="B56">
        <v>2.8</v>
      </c>
      <c r="C56">
        <v>3</v>
      </c>
    </row>
    <row r="57" spans="1:3" hidden="1" outlineLevel="2" x14ac:dyDescent="0.15">
      <c r="A57" t="s">
        <v>13</v>
      </c>
      <c r="B57">
        <v>2.8</v>
      </c>
      <c r="C57">
        <v>3</v>
      </c>
    </row>
    <row r="58" spans="1:3" hidden="1" outlineLevel="2" x14ac:dyDescent="0.15">
      <c r="A58" t="s">
        <v>13</v>
      </c>
      <c r="B58">
        <v>2.8</v>
      </c>
      <c r="C58">
        <v>3</v>
      </c>
    </row>
    <row r="59" spans="1:3" hidden="1" outlineLevel="2" x14ac:dyDescent="0.15">
      <c r="A59" t="s">
        <v>13</v>
      </c>
      <c r="B59">
        <v>2.8</v>
      </c>
      <c r="C59">
        <v>3</v>
      </c>
    </row>
    <row r="60" spans="1:3" hidden="1" outlineLevel="2" x14ac:dyDescent="0.15">
      <c r="A60" t="s">
        <v>13</v>
      </c>
      <c r="B60">
        <v>2.8</v>
      </c>
      <c r="C60">
        <v>3</v>
      </c>
    </row>
    <row r="61" spans="1:3" hidden="1" outlineLevel="2" x14ac:dyDescent="0.15">
      <c r="A61" t="s">
        <v>13</v>
      </c>
      <c r="B61">
        <v>2.8</v>
      </c>
      <c r="C61">
        <v>3</v>
      </c>
    </row>
    <row r="62" spans="1:3" hidden="1" outlineLevel="2" x14ac:dyDescent="0.15">
      <c r="A62" t="s">
        <v>13</v>
      </c>
      <c r="B62">
        <v>2.8</v>
      </c>
      <c r="C62">
        <v>3</v>
      </c>
    </row>
    <row r="63" spans="1:3" hidden="1" outlineLevel="2" x14ac:dyDescent="0.15">
      <c r="A63" t="s">
        <v>13</v>
      </c>
      <c r="B63">
        <v>2.8</v>
      </c>
      <c r="C63">
        <v>3</v>
      </c>
    </row>
    <row r="64" spans="1:3" hidden="1" outlineLevel="2" x14ac:dyDescent="0.15">
      <c r="A64" t="s">
        <v>13</v>
      </c>
      <c r="B64">
        <v>2.8</v>
      </c>
      <c r="C64">
        <v>3</v>
      </c>
    </row>
    <row r="65" spans="1:3" hidden="1" outlineLevel="2" x14ac:dyDescent="0.15">
      <c r="A65" t="s">
        <v>13</v>
      </c>
      <c r="B65">
        <v>2.8</v>
      </c>
      <c r="C65">
        <v>3</v>
      </c>
    </row>
    <row r="66" spans="1:3" hidden="1" outlineLevel="2" x14ac:dyDescent="0.15">
      <c r="A66" t="s">
        <v>13</v>
      </c>
      <c r="B66">
        <v>2.8</v>
      </c>
      <c r="C66">
        <v>3</v>
      </c>
    </row>
    <row r="67" spans="1:3" hidden="1" outlineLevel="2" x14ac:dyDescent="0.15">
      <c r="A67" t="s">
        <v>13</v>
      </c>
      <c r="B67">
        <v>2.8</v>
      </c>
      <c r="C67">
        <v>3</v>
      </c>
    </row>
    <row r="68" spans="1:3" hidden="1" outlineLevel="2" x14ac:dyDescent="0.15">
      <c r="A68" t="s">
        <v>13</v>
      </c>
      <c r="B68">
        <v>2.8</v>
      </c>
      <c r="C68">
        <v>3</v>
      </c>
    </row>
    <row r="69" spans="1:3" outlineLevel="1" collapsed="1" x14ac:dyDescent="0.15">
      <c r="A69" s="22" t="s">
        <v>37</v>
      </c>
      <c r="B69">
        <f>SUBTOTAL(9,B50:B68)</f>
        <v>53.199999999999982</v>
      </c>
      <c r="C69">
        <f>SUBTOTAL(9,C50:C68)</f>
        <v>57</v>
      </c>
    </row>
    <row r="70" spans="1:3" hidden="1" outlineLevel="2" x14ac:dyDescent="0.15">
      <c r="A70" t="s">
        <v>18</v>
      </c>
      <c r="B70">
        <v>3</v>
      </c>
      <c r="C70">
        <v>3.3</v>
      </c>
    </row>
    <row r="71" spans="1:3" hidden="1" outlineLevel="2" x14ac:dyDescent="0.15">
      <c r="A71" t="s">
        <v>18</v>
      </c>
      <c r="B71">
        <v>3</v>
      </c>
      <c r="C71">
        <v>3.3</v>
      </c>
    </row>
    <row r="72" spans="1:3" hidden="1" outlineLevel="2" x14ac:dyDescent="0.15">
      <c r="A72" t="s">
        <v>18</v>
      </c>
      <c r="B72">
        <v>3</v>
      </c>
      <c r="C72">
        <v>3.3</v>
      </c>
    </row>
    <row r="73" spans="1:3" hidden="1" outlineLevel="2" x14ac:dyDescent="0.15">
      <c r="A73" t="s">
        <v>18</v>
      </c>
      <c r="B73">
        <v>3</v>
      </c>
      <c r="C73">
        <v>3.3</v>
      </c>
    </row>
    <row r="74" spans="1:3" hidden="1" outlineLevel="2" x14ac:dyDescent="0.15">
      <c r="A74" t="s">
        <v>18</v>
      </c>
      <c r="B74">
        <v>3</v>
      </c>
      <c r="C74">
        <v>3.3</v>
      </c>
    </row>
    <row r="75" spans="1:3" hidden="1" outlineLevel="2" x14ac:dyDescent="0.15">
      <c r="A75" t="s">
        <v>18</v>
      </c>
      <c r="B75">
        <v>3</v>
      </c>
      <c r="C75">
        <v>3.3</v>
      </c>
    </row>
    <row r="76" spans="1:3" hidden="1" outlineLevel="2" x14ac:dyDescent="0.15">
      <c r="A76" t="s">
        <v>18</v>
      </c>
      <c r="B76">
        <v>3</v>
      </c>
      <c r="C76">
        <v>3.3</v>
      </c>
    </row>
    <row r="77" spans="1:3" hidden="1" outlineLevel="2" x14ac:dyDescent="0.15">
      <c r="A77" t="s">
        <v>18</v>
      </c>
      <c r="B77">
        <v>3</v>
      </c>
      <c r="C77">
        <v>3.3</v>
      </c>
    </row>
    <row r="78" spans="1:3" hidden="1" outlineLevel="2" x14ac:dyDescent="0.15">
      <c r="A78" t="s">
        <v>18</v>
      </c>
      <c r="B78">
        <v>3</v>
      </c>
      <c r="C78">
        <v>3.3</v>
      </c>
    </row>
    <row r="79" spans="1:3" hidden="1" outlineLevel="2" x14ac:dyDescent="0.15">
      <c r="A79" t="s">
        <v>18</v>
      </c>
      <c r="B79">
        <v>3</v>
      </c>
      <c r="C79">
        <v>3.3</v>
      </c>
    </row>
    <row r="80" spans="1:3" hidden="1" outlineLevel="2" x14ac:dyDescent="0.15">
      <c r="A80" t="s">
        <v>18</v>
      </c>
      <c r="B80">
        <v>3</v>
      </c>
      <c r="C80">
        <v>3.3</v>
      </c>
    </row>
    <row r="81" spans="1:3" hidden="1" outlineLevel="2" x14ac:dyDescent="0.15">
      <c r="A81" t="s">
        <v>18</v>
      </c>
      <c r="B81">
        <v>3</v>
      </c>
      <c r="C81">
        <v>3.3</v>
      </c>
    </row>
    <row r="82" spans="1:3" hidden="1" outlineLevel="2" x14ac:dyDescent="0.15">
      <c r="A82" t="s">
        <v>18</v>
      </c>
      <c r="B82">
        <v>3</v>
      </c>
      <c r="C82">
        <v>3.3</v>
      </c>
    </row>
    <row r="83" spans="1:3" outlineLevel="1" collapsed="1" x14ac:dyDescent="0.15">
      <c r="A83" s="22" t="s">
        <v>38</v>
      </c>
      <c r="B83">
        <f>SUBTOTAL(9,B70:B82)</f>
        <v>39</v>
      </c>
      <c r="C83">
        <f>SUBTOTAL(9,C70:C82)</f>
        <v>42.899999999999991</v>
      </c>
    </row>
    <row r="84" spans="1:3" x14ac:dyDescent="0.15">
      <c r="A84" s="22" t="s">
        <v>39</v>
      </c>
      <c r="B84">
        <f>SUBTOTAL(9,B2:B82)</f>
        <v>212.60000000000016</v>
      </c>
      <c r="C84">
        <f>SUBTOTAL(9,C2:C82)</f>
        <v>230.30000000000013</v>
      </c>
    </row>
  </sheetData>
  <sortState ref="A2:C77">
    <sortCondition ref="A2:A77"/>
  </sortState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调后价</vt:lpstr>
      <vt:lpstr>Sheet3</vt:lpstr>
    </vt:vector>
  </TitlesOfParts>
  <Company>Lenovo (Beijing) Limited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User</dc:creator>
  <cp:lastModifiedBy>wwjt</cp:lastModifiedBy>
  <dcterms:created xsi:type="dcterms:W3CDTF">2013-03-04T01:10:40Z</dcterms:created>
  <dcterms:modified xsi:type="dcterms:W3CDTF">2018-10-19T07:18:10Z</dcterms:modified>
</cp:coreProperties>
</file>