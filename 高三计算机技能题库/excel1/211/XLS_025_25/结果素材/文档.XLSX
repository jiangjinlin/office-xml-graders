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9275" windowHeight="11145"/>
  </bookViews>
  <sheets>
    <sheet name="Sheet1" sheetId="9" r:id="rId1"/>
    <sheet name="Sheet2" sheetId="10" r:id="rId2"/>
    <sheet name="Sheet3" sheetId="11" r:id="rId3"/>
  </sheets>
  <definedNames>
    <definedName name="_xlnm._FilterDatabase" localSheetId="0" hidden="1">Sheet1!$A$2:$M$396</definedName>
    <definedName name="_xlnm.Criteria" localSheetId="0">Sheet1!$P$2:$Q$4</definedName>
    <definedName name="_xlnm.Extract" localSheetId="0">Sheet1!$P$9:$AB$9</definedName>
  </definedNames>
  <calcPr calcId="144525"/>
</workbook>
</file>

<file path=xl/calcChain.xml><?xml version="1.0" encoding="utf-8"?>
<calcChain xmlns="http://schemas.openxmlformats.org/spreadsheetml/2006/main">
  <c r="Q4" i="9" l="1"/>
  <c r="Q3" i="9"/>
  <c r="B6" i="11"/>
  <c r="A6" i="11"/>
  <c r="B5" i="11"/>
  <c r="A5" i="11"/>
  <c r="B4" i="11"/>
  <c r="A4" i="11"/>
  <c r="B3" i="11"/>
  <c r="A3" i="11"/>
  <c r="B2" i="11"/>
  <c r="A2" i="11"/>
  <c r="B1" i="11"/>
  <c r="A1" i="11"/>
  <c r="M402" i="10"/>
  <c r="M401" i="10"/>
  <c r="M389" i="10"/>
  <c r="M360" i="10"/>
  <c r="M39" i="10"/>
  <c r="M20" i="10"/>
  <c r="M388" i="10"/>
  <c r="M359" i="10"/>
  <c r="M358" i="10"/>
  <c r="M357" i="10"/>
  <c r="M356" i="10"/>
  <c r="M355" i="10"/>
  <c r="M387" i="10"/>
  <c r="M354" i="10"/>
  <c r="M353" i="10"/>
  <c r="M38" i="10"/>
  <c r="M352" i="10"/>
  <c r="M386" i="10"/>
  <c r="M351" i="10"/>
  <c r="M350" i="10"/>
  <c r="M349" i="10"/>
  <c r="M348" i="10"/>
  <c r="M347" i="10"/>
  <c r="M346" i="10"/>
  <c r="M345" i="10"/>
  <c r="M344" i="10"/>
  <c r="M343" i="10"/>
  <c r="M342" i="10"/>
  <c r="M341" i="10"/>
  <c r="M340" i="10"/>
  <c r="M339" i="10"/>
  <c r="M385" i="10"/>
  <c r="M338" i="10"/>
  <c r="M337" i="10"/>
  <c r="M336" i="10"/>
  <c r="M335" i="10"/>
  <c r="M334" i="10"/>
  <c r="M333" i="10"/>
  <c r="M384" i="10"/>
  <c r="M37" i="10"/>
  <c r="M332" i="10"/>
  <c r="M331" i="10"/>
  <c r="M330" i="10"/>
  <c r="M329" i="10"/>
  <c r="M328" i="10"/>
  <c r="M327" i="10"/>
  <c r="M326" i="10"/>
  <c r="M325" i="10"/>
  <c r="M324" i="10"/>
  <c r="M19" i="10"/>
  <c r="M323" i="10"/>
  <c r="M322" i="10"/>
  <c r="M321" i="10"/>
  <c r="M383" i="10"/>
  <c r="M320" i="10"/>
  <c r="M319" i="10"/>
  <c r="M318" i="10"/>
  <c r="M317" i="10"/>
  <c r="M316" i="10"/>
  <c r="M315" i="10"/>
  <c r="M314" i="10"/>
  <c r="M313" i="10"/>
  <c r="M312" i="10"/>
  <c r="M311" i="10"/>
  <c r="M310" i="10"/>
  <c r="M309" i="10"/>
  <c r="M308" i="10"/>
  <c r="M36" i="10"/>
  <c r="M307" i="10"/>
  <c r="M306" i="10"/>
  <c r="M305" i="10"/>
  <c r="M304" i="10"/>
  <c r="M303" i="10"/>
  <c r="M302" i="10"/>
  <c r="M301" i="10"/>
  <c r="M300" i="10"/>
  <c r="M299" i="10"/>
  <c r="M298" i="10"/>
  <c r="M297" i="10"/>
  <c r="M296" i="10"/>
  <c r="M382" i="10"/>
  <c r="M295" i="10"/>
  <c r="M294" i="10"/>
  <c r="M293" i="10"/>
  <c r="M292" i="10"/>
  <c r="M291" i="10"/>
  <c r="M290" i="10"/>
  <c r="M289" i="10"/>
  <c r="M288" i="10"/>
  <c r="M287" i="10"/>
  <c r="M286" i="10"/>
  <c r="M285" i="10"/>
  <c r="M284" i="10"/>
  <c r="M35" i="10"/>
  <c r="M283" i="10"/>
  <c r="M282" i="10"/>
  <c r="M281" i="10"/>
  <c r="M280" i="10"/>
  <c r="M279" i="10"/>
  <c r="M18" i="10"/>
  <c r="M278" i="10"/>
  <c r="M277" i="10"/>
  <c r="M276" i="10"/>
  <c r="M275" i="10"/>
  <c r="M274" i="10"/>
  <c r="M381" i="10"/>
  <c r="M273" i="10"/>
  <c r="M272" i="10"/>
  <c r="M271" i="10"/>
  <c r="M270" i="10"/>
  <c r="M269" i="10"/>
  <c r="M268" i="10"/>
  <c r="M267" i="10"/>
  <c r="M266" i="10"/>
  <c r="M265" i="10"/>
  <c r="M264" i="10"/>
  <c r="M263" i="10"/>
  <c r="M17" i="10"/>
  <c r="M262" i="10"/>
  <c r="M261" i="10"/>
  <c r="M260" i="10"/>
  <c r="M259" i="10"/>
  <c r="M258" i="10"/>
  <c r="M257" i="10"/>
  <c r="M256" i="10"/>
  <c r="M255" i="10"/>
  <c r="M254" i="10"/>
  <c r="M34" i="10"/>
  <c r="M253" i="10"/>
  <c r="M252" i="10"/>
  <c r="M251" i="10"/>
  <c r="M380" i="10"/>
  <c r="M250" i="10"/>
  <c r="M249" i="10"/>
  <c r="M16" i="10"/>
  <c r="M248" i="10"/>
  <c r="M247" i="10"/>
  <c r="M246" i="10"/>
  <c r="M245" i="10"/>
  <c r="M244" i="10"/>
  <c r="M243" i="10"/>
  <c r="M242" i="10"/>
  <c r="M241" i="10"/>
  <c r="M240" i="10"/>
  <c r="M239" i="10"/>
  <c r="M238" i="10"/>
  <c r="M237" i="10"/>
  <c r="M236" i="10"/>
  <c r="M379" i="10"/>
  <c r="M15" i="10"/>
  <c r="M235" i="10"/>
  <c r="M234" i="10"/>
  <c r="M233" i="10"/>
  <c r="M232" i="10"/>
  <c r="M378" i="10"/>
  <c r="M231" i="10"/>
  <c r="M230" i="10"/>
  <c r="M229" i="10"/>
  <c r="M228" i="10"/>
  <c r="M227" i="10"/>
  <c r="M226" i="10"/>
  <c r="M14" i="10"/>
  <c r="M225" i="10"/>
  <c r="M224" i="10"/>
  <c r="M223" i="10"/>
  <c r="M222" i="10"/>
  <c r="M33" i="10"/>
  <c r="M221" i="10"/>
  <c r="M220" i="10"/>
  <c r="M219" i="10"/>
  <c r="M218" i="10"/>
  <c r="M217" i="10"/>
  <c r="M216" i="10"/>
  <c r="M215" i="10"/>
  <c r="M214" i="10"/>
  <c r="M213" i="10"/>
  <c r="M377" i="10"/>
  <c r="M212" i="10"/>
  <c r="M211" i="10"/>
  <c r="M210" i="10"/>
  <c r="M209" i="10"/>
  <c r="M208" i="10"/>
  <c r="M13" i="10"/>
  <c r="M207" i="10"/>
  <c r="M32" i="10"/>
  <c r="M206" i="10"/>
  <c r="M205" i="10"/>
  <c r="M376" i="10"/>
  <c r="M375" i="10"/>
  <c r="M204" i="10"/>
  <c r="M203" i="10"/>
  <c r="M202" i="10"/>
  <c r="M201" i="10"/>
  <c r="M200" i="10"/>
  <c r="M199" i="10"/>
  <c r="M198" i="10"/>
  <c r="M197" i="10"/>
  <c r="M196" i="10"/>
  <c r="M195" i="10"/>
  <c r="M194" i="10"/>
  <c r="M12" i="10"/>
  <c r="M193" i="10"/>
  <c r="M192" i="10"/>
  <c r="M191" i="10"/>
  <c r="M190" i="10"/>
  <c r="M374" i="10"/>
  <c r="M189" i="10"/>
  <c r="M188" i="10"/>
  <c r="M187" i="10"/>
  <c r="M31" i="10"/>
  <c r="M186" i="10"/>
  <c r="M185" i="10"/>
  <c r="M400" i="10"/>
  <c r="M184" i="10"/>
  <c r="M183" i="10"/>
  <c r="M182" i="10"/>
  <c r="M181" i="10"/>
  <c r="M180" i="10"/>
  <c r="M179" i="10"/>
  <c r="M178" i="10"/>
  <c r="M177" i="10"/>
  <c r="M176" i="10"/>
  <c r="M175" i="10"/>
  <c r="M174" i="10"/>
  <c r="M373" i="10"/>
  <c r="M173" i="10"/>
  <c r="M172" i="10"/>
  <c r="M11" i="10"/>
  <c r="M171" i="10"/>
  <c r="M170" i="10"/>
  <c r="M30" i="10"/>
  <c r="M169" i="10"/>
  <c r="M168" i="10"/>
  <c r="M167" i="10"/>
  <c r="M166" i="10"/>
  <c r="M165" i="10"/>
  <c r="M164" i="10"/>
  <c r="M163" i="10"/>
  <c r="M399" i="10"/>
  <c r="M372" i="10"/>
  <c r="M162" i="10"/>
  <c r="M161" i="10"/>
  <c r="M160" i="10"/>
  <c r="M159" i="10"/>
  <c r="M158" i="10"/>
  <c r="M29" i="10"/>
  <c r="M157" i="10"/>
  <c r="M156" i="10"/>
  <c r="M155" i="10"/>
  <c r="M154" i="10"/>
  <c r="M153" i="10"/>
  <c r="M152" i="10"/>
  <c r="M371" i="10"/>
  <c r="M151" i="10"/>
  <c r="M150" i="10"/>
  <c r="M149" i="10"/>
  <c r="M148" i="10"/>
  <c r="M147" i="10"/>
  <c r="M146" i="10"/>
  <c r="M145" i="10"/>
  <c r="M144" i="10"/>
  <c r="M143" i="10"/>
  <c r="M28" i="10"/>
  <c r="M142" i="10"/>
  <c r="M141" i="10"/>
  <c r="M398" i="10"/>
  <c r="M140" i="10"/>
  <c r="M10" i="10"/>
  <c r="M139" i="10"/>
  <c r="M138" i="10"/>
  <c r="M137" i="10"/>
  <c r="M136" i="10"/>
  <c r="M27" i="10"/>
  <c r="M135" i="10"/>
  <c r="M134" i="10"/>
  <c r="M133" i="10"/>
  <c r="M370" i="10"/>
  <c r="M132" i="10"/>
  <c r="M131" i="10"/>
  <c r="M130" i="10"/>
  <c r="M129" i="10"/>
  <c r="M9" i="10"/>
  <c r="M128" i="10"/>
  <c r="M127" i="10"/>
  <c r="M126" i="10"/>
  <c r="M125" i="10"/>
  <c r="M124" i="10"/>
  <c r="M123" i="10"/>
  <c r="M397" i="10"/>
  <c r="M122" i="10"/>
  <c r="M121" i="10"/>
  <c r="M120" i="10"/>
  <c r="M119" i="10"/>
  <c r="M8" i="10"/>
  <c r="M118" i="10"/>
  <c r="M117" i="10"/>
  <c r="M26" i="10"/>
  <c r="M116" i="10"/>
  <c r="M115" i="10"/>
  <c r="M114" i="10"/>
  <c r="M113" i="10"/>
  <c r="M112" i="10"/>
  <c r="M111" i="10"/>
  <c r="M110" i="10"/>
  <c r="M109" i="10"/>
  <c r="M7" i="10"/>
  <c r="M108" i="10"/>
  <c r="M107" i="10"/>
  <c r="M106" i="10"/>
  <c r="M25" i="10"/>
  <c r="M105" i="10"/>
  <c r="M104" i="10"/>
  <c r="M396" i="10"/>
  <c r="M103" i="10"/>
  <c r="M102" i="10"/>
  <c r="M101" i="10"/>
  <c r="M100" i="10"/>
  <c r="M99" i="10"/>
  <c r="M98" i="10"/>
  <c r="M97" i="10"/>
  <c r="M6" i="10"/>
  <c r="M96" i="10"/>
  <c r="M369" i="10"/>
  <c r="M95" i="10"/>
  <c r="M94" i="10"/>
  <c r="M93" i="10"/>
  <c r="M92" i="10"/>
  <c r="M395" i="10"/>
  <c r="M91" i="10"/>
  <c r="M90" i="10"/>
  <c r="M24" i="10"/>
  <c r="M89" i="10"/>
  <c r="M5" i="10"/>
  <c r="M23" i="10"/>
  <c r="M88" i="10"/>
  <c r="M87" i="10"/>
  <c r="M394" i="10"/>
  <c r="M86" i="10"/>
  <c r="M85" i="10"/>
  <c r="M368" i="10"/>
  <c r="M84" i="10"/>
  <c r="M22" i="10"/>
  <c r="M83" i="10"/>
  <c r="M82" i="10"/>
  <c r="M81" i="10"/>
  <c r="M80" i="10"/>
  <c r="M79" i="10"/>
  <c r="M78" i="10"/>
  <c r="M77" i="10"/>
  <c r="M76" i="10"/>
  <c r="M75" i="10"/>
  <c r="M74" i="10"/>
  <c r="M367" i="10"/>
  <c r="M73" i="10"/>
  <c r="M393" i="10"/>
  <c r="M72" i="10"/>
  <c r="M71" i="10"/>
  <c r="M366" i="10"/>
  <c r="M70" i="10"/>
  <c r="M69" i="10"/>
  <c r="M4" i="10"/>
  <c r="M68" i="10"/>
  <c r="M67" i="10"/>
  <c r="M66" i="10"/>
  <c r="M65" i="10"/>
  <c r="M21" i="10"/>
  <c r="M64" i="10"/>
  <c r="M63" i="10"/>
  <c r="M62" i="10"/>
  <c r="M61" i="10"/>
  <c r="M60" i="10"/>
  <c r="M365" i="10"/>
  <c r="M59" i="10"/>
  <c r="M392" i="10"/>
  <c r="M364" i="10"/>
  <c r="M58" i="10"/>
  <c r="M57" i="10"/>
  <c r="M56" i="10"/>
  <c r="M55" i="10"/>
  <c r="M54" i="10"/>
  <c r="M363" i="10"/>
  <c r="M3" i="10"/>
  <c r="M53" i="10"/>
  <c r="M52" i="10"/>
  <c r="M51" i="10"/>
  <c r="M50" i="10"/>
  <c r="M49" i="10"/>
  <c r="M362" i="10"/>
  <c r="M48" i="10"/>
  <c r="M47" i="10"/>
  <c r="M46" i="10"/>
  <c r="M45" i="10"/>
  <c r="M391" i="10"/>
  <c r="M44" i="10"/>
  <c r="M43" i="10"/>
  <c r="M42" i="10"/>
  <c r="M41" i="10"/>
  <c r="M40" i="10"/>
  <c r="M390" i="10"/>
  <c r="M361" i="10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" i="9"/>
</calcChain>
</file>

<file path=xl/sharedStrings.xml><?xml version="1.0" encoding="utf-8"?>
<sst xmlns="http://schemas.openxmlformats.org/spreadsheetml/2006/main" count="4922" uniqueCount="1219">
  <si>
    <t>学号</t>
  </si>
  <si>
    <t>姓名</t>
  </si>
  <si>
    <t>性别</t>
  </si>
  <si>
    <t>出生日期</t>
  </si>
  <si>
    <t>籍贯</t>
  </si>
  <si>
    <t>090010144</t>
  </si>
  <si>
    <t>褚梦佳</t>
  </si>
  <si>
    <t>女</t>
  </si>
  <si>
    <t>山东</t>
  </si>
  <si>
    <t>090010145</t>
  </si>
  <si>
    <t>蔡敏梅</t>
  </si>
  <si>
    <t>上海</t>
  </si>
  <si>
    <t>090010146</t>
  </si>
  <si>
    <t>赵林莉</t>
  </si>
  <si>
    <t>江苏</t>
  </si>
  <si>
    <t>090010147</t>
  </si>
  <si>
    <t>糜义杰</t>
  </si>
  <si>
    <t>男</t>
  </si>
  <si>
    <t>090010148</t>
  </si>
  <si>
    <t>周丽萍</t>
  </si>
  <si>
    <t>090010149</t>
  </si>
  <si>
    <t>王英</t>
  </si>
  <si>
    <t>090010150</t>
  </si>
  <si>
    <t>陈子雅</t>
  </si>
  <si>
    <t>090010151</t>
  </si>
  <si>
    <t>周文洁</t>
  </si>
  <si>
    <t>090010152</t>
  </si>
  <si>
    <t>成立</t>
  </si>
  <si>
    <t>090010153</t>
  </si>
  <si>
    <t>陈晖</t>
  </si>
  <si>
    <t>090010154</t>
  </si>
  <si>
    <t>王玉芳</t>
  </si>
  <si>
    <t>090010155</t>
  </si>
  <si>
    <t>邵艳</t>
  </si>
  <si>
    <t>090010156</t>
  </si>
  <si>
    <t>殷岳峰</t>
  </si>
  <si>
    <t>090020201</t>
  </si>
  <si>
    <t>张友琴</t>
  </si>
  <si>
    <t>090020202</t>
  </si>
  <si>
    <t>冯军</t>
  </si>
  <si>
    <t>090020203</t>
  </si>
  <si>
    <t>齐海栓</t>
  </si>
  <si>
    <t>河南</t>
  </si>
  <si>
    <t>090020204</t>
  </si>
  <si>
    <t>屠金康</t>
  </si>
  <si>
    <t>090020205</t>
  </si>
  <si>
    <t>顾继影</t>
  </si>
  <si>
    <t>090020206</t>
  </si>
  <si>
    <t>彭卓</t>
  </si>
  <si>
    <t>090020207</t>
  </si>
  <si>
    <t>田柳青</t>
  </si>
  <si>
    <t>090020208</t>
  </si>
  <si>
    <t>胡康轩</t>
  </si>
  <si>
    <t>090020209</t>
  </si>
  <si>
    <t>周花</t>
  </si>
  <si>
    <t>090020210</t>
  </si>
  <si>
    <t>石分分</t>
  </si>
  <si>
    <t>090020211</t>
  </si>
  <si>
    <t>周艳</t>
  </si>
  <si>
    <t>090020212</t>
  </si>
  <si>
    <t>杨月</t>
  </si>
  <si>
    <t>北京</t>
  </si>
  <si>
    <t>090020213</t>
  </si>
  <si>
    <t>殷莺</t>
  </si>
  <si>
    <t>090020214</t>
  </si>
  <si>
    <t>孙中琦</t>
  </si>
  <si>
    <t>090020215</t>
  </si>
  <si>
    <t>蒋立昀</t>
  </si>
  <si>
    <t>090020216</t>
  </si>
  <si>
    <t>王海云</t>
  </si>
  <si>
    <t>090020217</t>
  </si>
  <si>
    <t>陈树树</t>
  </si>
  <si>
    <t>090020218</t>
  </si>
  <si>
    <t>陈美玲</t>
  </si>
  <si>
    <t>090020219</t>
  </si>
  <si>
    <t>李菲菲</t>
  </si>
  <si>
    <t>090020220</t>
  </si>
  <si>
    <t>白鑫</t>
  </si>
  <si>
    <t>090020221</t>
  </si>
  <si>
    <t>梁梅霞</t>
  </si>
  <si>
    <t>090020222</t>
  </si>
  <si>
    <t>陈思思</t>
  </si>
  <si>
    <t>090020223</t>
  </si>
  <si>
    <t>董升柳</t>
  </si>
  <si>
    <t>090020224</t>
  </si>
  <si>
    <t>李汤蕊</t>
  </si>
  <si>
    <t>090020225</t>
  </si>
  <si>
    <t>王子明</t>
  </si>
  <si>
    <t>090020226</t>
  </si>
  <si>
    <t>江玉龙</t>
  </si>
  <si>
    <t>090020227</t>
  </si>
  <si>
    <t>李操</t>
  </si>
  <si>
    <t>090020228</t>
  </si>
  <si>
    <t>仲静静</t>
  </si>
  <si>
    <t>090020229</t>
  </si>
  <si>
    <t>刘德霞</t>
  </si>
  <si>
    <t>090020230</t>
  </si>
  <si>
    <t>张瀚文</t>
  </si>
  <si>
    <t>090020231</t>
  </si>
  <si>
    <t>童瑞</t>
  </si>
  <si>
    <t>090020232</t>
  </si>
  <si>
    <t>吕俐诸</t>
  </si>
  <si>
    <t>090020233</t>
  </si>
  <si>
    <t>陈珊珊</t>
  </si>
  <si>
    <t>090020234</t>
  </si>
  <si>
    <t>刘滢</t>
  </si>
  <si>
    <t>090020235</t>
  </si>
  <si>
    <t>张刚柱</t>
  </si>
  <si>
    <t>090030101</t>
  </si>
  <si>
    <t>孙珊珊</t>
  </si>
  <si>
    <t>090030102</t>
  </si>
  <si>
    <t>管颖</t>
  </si>
  <si>
    <t>090030103</t>
  </si>
  <si>
    <t>朱姜鸣</t>
  </si>
  <si>
    <t>090030104</t>
  </si>
  <si>
    <t>谢娇</t>
  </si>
  <si>
    <t>090030105</t>
  </si>
  <si>
    <t>王叶萍</t>
  </si>
  <si>
    <t>090030106</t>
  </si>
  <si>
    <t>龚金丽</t>
  </si>
  <si>
    <t>090030107</t>
  </si>
  <si>
    <t>周永峰</t>
  </si>
  <si>
    <t>090030108</t>
  </si>
  <si>
    <t>曹红辉</t>
  </si>
  <si>
    <t>090030109</t>
  </si>
  <si>
    <t>焦银峰</t>
  </si>
  <si>
    <t>090030110</t>
  </si>
  <si>
    <t>周来芬</t>
  </si>
  <si>
    <t>090030111</t>
  </si>
  <si>
    <t>王益莉</t>
  </si>
  <si>
    <t>090030112</t>
  </si>
  <si>
    <t>庄静静</t>
  </si>
  <si>
    <t>090030113</t>
  </si>
  <si>
    <t>陈奇志</t>
  </si>
  <si>
    <t>090030114</t>
  </si>
  <si>
    <t>黄明</t>
  </si>
  <si>
    <t>090030115</t>
  </si>
  <si>
    <t>朱莉莉</t>
  </si>
  <si>
    <t>090030116</t>
  </si>
  <si>
    <t>宋海燕</t>
  </si>
  <si>
    <t>090030117</t>
  </si>
  <si>
    <t>李萍</t>
  </si>
  <si>
    <t>090030118</t>
  </si>
  <si>
    <t>张亮亮</t>
  </si>
  <si>
    <t>090030119</t>
  </si>
  <si>
    <t>吴俊通</t>
  </si>
  <si>
    <t>090030120</t>
  </si>
  <si>
    <t>奚冬青</t>
  </si>
  <si>
    <t>090030121</t>
  </si>
  <si>
    <t>陈澄</t>
  </si>
  <si>
    <t>090030122</t>
  </si>
  <si>
    <t>张蓓玉</t>
  </si>
  <si>
    <t>090030123</t>
  </si>
  <si>
    <t>管丽锦</t>
  </si>
  <si>
    <t>090030124</t>
  </si>
  <si>
    <t>李彩群</t>
  </si>
  <si>
    <t>090030125</t>
  </si>
  <si>
    <t>赵天凤</t>
  </si>
  <si>
    <t>090030126</t>
  </si>
  <si>
    <t>蒋勇</t>
  </si>
  <si>
    <t>090040101</t>
  </si>
  <si>
    <t>顾海山</t>
  </si>
  <si>
    <t>090040102</t>
  </si>
  <si>
    <t>龙发仁</t>
  </si>
  <si>
    <t>090040103</t>
  </si>
  <si>
    <t>梁鑫</t>
  </si>
  <si>
    <t>090040104</t>
  </si>
  <si>
    <t>顾小俊</t>
  </si>
  <si>
    <t>090040105</t>
  </si>
  <si>
    <t>潘臻</t>
  </si>
  <si>
    <t>090040106</t>
  </si>
  <si>
    <t>郭长庚</t>
  </si>
  <si>
    <t>090040107</t>
  </si>
  <si>
    <t>蔡秉滕</t>
  </si>
  <si>
    <t>090040108</t>
  </si>
  <si>
    <t>蔡航</t>
  </si>
  <si>
    <t>090040109</t>
  </si>
  <si>
    <t>王凯</t>
  </si>
  <si>
    <t>090040110</t>
  </si>
  <si>
    <t>赵阳</t>
  </si>
  <si>
    <t>090040111</t>
  </si>
  <si>
    <t>王秋实</t>
  </si>
  <si>
    <t>090040112</t>
  </si>
  <si>
    <t>孔白莲</t>
  </si>
  <si>
    <t>090040113</t>
  </si>
  <si>
    <t>孙炜昊</t>
  </si>
  <si>
    <t>090040114</t>
  </si>
  <si>
    <t>孙小峰</t>
  </si>
  <si>
    <t>090040115</t>
  </si>
  <si>
    <t>张媛媛</t>
  </si>
  <si>
    <t>090040116</t>
  </si>
  <si>
    <t>曹苏明</t>
  </si>
  <si>
    <t>090040117</t>
  </si>
  <si>
    <t>司海霞</t>
  </si>
  <si>
    <t>090040118</t>
  </si>
  <si>
    <t>张源</t>
  </si>
  <si>
    <t>090040119</t>
  </si>
  <si>
    <t>何中雪</t>
  </si>
  <si>
    <t>090040120</t>
  </si>
  <si>
    <t>沈洋</t>
  </si>
  <si>
    <t>090040121</t>
  </si>
  <si>
    <t>李洋</t>
  </si>
  <si>
    <t>090040122</t>
  </si>
  <si>
    <t>肖寒</t>
  </si>
  <si>
    <t>090040123</t>
  </si>
  <si>
    <t>高嘉</t>
  </si>
  <si>
    <t>090040124</t>
  </si>
  <si>
    <t>张磊</t>
  </si>
  <si>
    <t>090040125</t>
  </si>
  <si>
    <t>缪志香</t>
  </si>
  <si>
    <t>090040126</t>
  </si>
  <si>
    <t>钱红春</t>
  </si>
  <si>
    <t>090050201</t>
  </si>
  <si>
    <t>徐玮</t>
  </si>
  <si>
    <t>090050202</t>
  </si>
  <si>
    <t>邝辰阳</t>
  </si>
  <si>
    <t>090050203</t>
  </si>
  <si>
    <t>王桃生</t>
  </si>
  <si>
    <t>090050204</t>
  </si>
  <si>
    <t>吴杰</t>
  </si>
  <si>
    <t>090050205</t>
  </si>
  <si>
    <t>何晓峰</t>
  </si>
  <si>
    <t>090050206</t>
  </si>
  <si>
    <t>杨欣</t>
  </si>
  <si>
    <t>090050207</t>
  </si>
  <si>
    <t>王强</t>
  </si>
  <si>
    <t>090050208</t>
  </si>
  <si>
    <t>诸丹峰</t>
  </si>
  <si>
    <t>090050209</t>
  </si>
  <si>
    <t>浦周吉</t>
  </si>
  <si>
    <t>090050210</t>
  </si>
  <si>
    <t>赵云龙</t>
  </si>
  <si>
    <t>090050211</t>
  </si>
  <si>
    <t>黄晓勇</t>
  </si>
  <si>
    <t>090050212</t>
  </si>
  <si>
    <t>徐志晔</t>
  </si>
  <si>
    <t>090050213</t>
  </si>
  <si>
    <t>黄星星</t>
  </si>
  <si>
    <t>090050214</t>
  </si>
  <si>
    <t>嵇剑超</t>
  </si>
  <si>
    <t>090050215</t>
  </si>
  <si>
    <t>黄炎</t>
  </si>
  <si>
    <t>090050216</t>
  </si>
  <si>
    <t>李祥艳</t>
  </si>
  <si>
    <t>090050217</t>
  </si>
  <si>
    <t>陈曼丽</t>
  </si>
  <si>
    <t>090050218</t>
  </si>
  <si>
    <t>江川</t>
  </si>
  <si>
    <t>090050219</t>
  </si>
  <si>
    <t>张文富</t>
  </si>
  <si>
    <t>090050220</t>
  </si>
  <si>
    <t>祁静</t>
  </si>
  <si>
    <t>090050221</t>
  </si>
  <si>
    <t>张翠翠</t>
  </si>
  <si>
    <t>090050222</t>
  </si>
  <si>
    <t>唐瑜</t>
  </si>
  <si>
    <t>090050223</t>
  </si>
  <si>
    <t>王严</t>
  </si>
  <si>
    <t>090050224</t>
  </si>
  <si>
    <t>李爱林</t>
  </si>
  <si>
    <t>090050225</t>
  </si>
  <si>
    <t>金林</t>
  </si>
  <si>
    <t>090050226</t>
  </si>
  <si>
    <t>李展</t>
  </si>
  <si>
    <t>090050227</t>
  </si>
  <si>
    <t>张春丽</t>
  </si>
  <si>
    <t>090050228</t>
  </si>
  <si>
    <t>杨云</t>
  </si>
  <si>
    <t>090050229</t>
  </si>
  <si>
    <t>曾彩虹</t>
  </si>
  <si>
    <t>090050230</t>
  </si>
  <si>
    <t>刘芳</t>
  </si>
  <si>
    <t>090050231</t>
  </si>
  <si>
    <t>许美玲</t>
  </si>
  <si>
    <t>090050232</t>
  </si>
  <si>
    <t>孟新翔</t>
  </si>
  <si>
    <t>090050233</t>
  </si>
  <si>
    <t>韩玉鑫</t>
  </si>
  <si>
    <t>090050234</t>
  </si>
  <si>
    <t>祁欣</t>
  </si>
  <si>
    <t>090050235</t>
  </si>
  <si>
    <t>李玉祥</t>
  </si>
  <si>
    <t>090050236</t>
  </si>
  <si>
    <t>曹光雪</t>
  </si>
  <si>
    <t>090050237</t>
  </si>
  <si>
    <t>张柯</t>
  </si>
  <si>
    <t>090050238</t>
  </si>
  <si>
    <t>王桥</t>
  </si>
  <si>
    <t>090050239</t>
  </si>
  <si>
    <t>魏冉</t>
  </si>
  <si>
    <t>090050240</t>
  </si>
  <si>
    <t>郭迪</t>
  </si>
  <si>
    <t>090050241</t>
  </si>
  <si>
    <t>张浩</t>
  </si>
  <si>
    <t>090050242</t>
  </si>
  <si>
    <t>高虎</t>
  </si>
  <si>
    <t>090050243</t>
  </si>
  <si>
    <t>魏媛</t>
  </si>
  <si>
    <t>090050244</t>
  </si>
  <si>
    <t>王琦</t>
  </si>
  <si>
    <t>090050245</t>
  </si>
  <si>
    <t>王倩</t>
  </si>
  <si>
    <t>090050246</t>
  </si>
  <si>
    <t>周萌</t>
  </si>
  <si>
    <t>090050247</t>
  </si>
  <si>
    <t>刘佳</t>
  </si>
  <si>
    <t>090050248</t>
  </si>
  <si>
    <t>陈其</t>
  </si>
  <si>
    <t>090050249</t>
  </si>
  <si>
    <t>梁宝山</t>
  </si>
  <si>
    <t>090050250</t>
  </si>
  <si>
    <t>李健</t>
  </si>
  <si>
    <t>090050251</t>
  </si>
  <si>
    <t>孙汉林</t>
  </si>
  <si>
    <t>090050252</t>
  </si>
  <si>
    <t>周佳</t>
  </si>
  <si>
    <t>090050253</t>
  </si>
  <si>
    <t>梁彬</t>
  </si>
  <si>
    <t>090050254</t>
  </si>
  <si>
    <t>王三磊</t>
  </si>
  <si>
    <t>090060301</t>
  </si>
  <si>
    <t>章银兰</t>
  </si>
  <si>
    <t>090060302</t>
  </si>
  <si>
    <t>周洪彬</t>
  </si>
  <si>
    <t>090060303</t>
  </si>
  <si>
    <t>姜立英</t>
  </si>
  <si>
    <t>090060304</t>
  </si>
  <si>
    <t>赵锐</t>
  </si>
  <si>
    <t>090060305</t>
  </si>
  <si>
    <t>雷沁</t>
  </si>
  <si>
    <t>090060306</t>
  </si>
  <si>
    <t>王秀娟</t>
  </si>
  <si>
    <t>090060307</t>
  </si>
  <si>
    <t>戴方敏</t>
  </si>
  <si>
    <t>090060308</t>
  </si>
  <si>
    <t>黄长杰</t>
  </si>
  <si>
    <t>090060309</t>
  </si>
  <si>
    <t>马兰</t>
  </si>
  <si>
    <t>090060310</t>
  </si>
  <si>
    <t>林春艳</t>
  </si>
  <si>
    <t>090060311</t>
  </si>
  <si>
    <t>于清</t>
  </si>
  <si>
    <t>090060312</t>
  </si>
  <si>
    <t>章勇</t>
  </si>
  <si>
    <t>090060313</t>
  </si>
  <si>
    <t>易斌</t>
  </si>
  <si>
    <t>090060314</t>
  </si>
  <si>
    <t>梁建华</t>
  </si>
  <si>
    <t>090060315</t>
  </si>
  <si>
    <t>王文闻</t>
  </si>
  <si>
    <t>090060316</t>
  </si>
  <si>
    <t>刘国强</t>
  </si>
  <si>
    <t>090060317</t>
  </si>
  <si>
    <t>张金友</t>
  </si>
  <si>
    <t>090060318</t>
  </si>
  <si>
    <t>李连星</t>
  </si>
  <si>
    <t>090060319</t>
  </si>
  <si>
    <t>李钢</t>
  </si>
  <si>
    <t>090060320</t>
  </si>
  <si>
    <t>范小雷</t>
  </si>
  <si>
    <t>090060321</t>
  </si>
  <si>
    <t>郑宇洋</t>
  </si>
  <si>
    <t>090060322</t>
  </si>
  <si>
    <t>宫学峰</t>
  </si>
  <si>
    <t>090060323</t>
  </si>
  <si>
    <t>丁斌</t>
  </si>
  <si>
    <t>090060324</t>
  </si>
  <si>
    <t>廖天成</t>
  </si>
  <si>
    <t>090060325</t>
  </si>
  <si>
    <t>孙燕娟</t>
  </si>
  <si>
    <t>090060326</t>
  </si>
  <si>
    <t>张成双</t>
  </si>
  <si>
    <t>090060327</t>
  </si>
  <si>
    <t>沈玲</t>
  </si>
  <si>
    <t>090060328</t>
  </si>
  <si>
    <t>窦鸿稼</t>
  </si>
  <si>
    <t>090060329</t>
  </si>
  <si>
    <t>薛黎丹</t>
  </si>
  <si>
    <t>090060330</t>
  </si>
  <si>
    <t>井一竹</t>
  </si>
  <si>
    <t>090060331</t>
  </si>
  <si>
    <t>潘星亮</t>
  </si>
  <si>
    <t>090060332</t>
  </si>
  <si>
    <t>张强</t>
  </si>
  <si>
    <t>090060333</t>
  </si>
  <si>
    <t>练浩宏</t>
  </si>
  <si>
    <t>090060334</t>
  </si>
  <si>
    <t>王志超</t>
  </si>
  <si>
    <t>090070401</t>
  </si>
  <si>
    <t>王峰婷</t>
  </si>
  <si>
    <t>090070402</t>
  </si>
  <si>
    <t>梁志斌</t>
  </si>
  <si>
    <t>090070403</t>
  </si>
  <si>
    <t>邱葵花</t>
  </si>
  <si>
    <t>090070404</t>
  </si>
  <si>
    <t>林小艳</t>
  </si>
  <si>
    <t>090070405</t>
  </si>
  <si>
    <t>曾敏</t>
  </si>
  <si>
    <t>090070406</t>
  </si>
  <si>
    <t>曾艺广</t>
  </si>
  <si>
    <t>090070407</t>
  </si>
  <si>
    <t>罗琛琅</t>
  </si>
  <si>
    <t>090070408</t>
  </si>
  <si>
    <t>陈霓</t>
  </si>
  <si>
    <t>090070409</t>
  </si>
  <si>
    <t>陆玉霞</t>
  </si>
  <si>
    <t>090070410</t>
  </si>
  <si>
    <t>黄小芬</t>
  </si>
  <si>
    <t>090070411</t>
  </si>
  <si>
    <t>杨铷洋</t>
  </si>
  <si>
    <t>090070412</t>
  </si>
  <si>
    <t>陈建军</t>
  </si>
  <si>
    <t>090070413</t>
  </si>
  <si>
    <t>杨国秀</t>
  </si>
  <si>
    <t>090070414</t>
  </si>
  <si>
    <t>黄结玲</t>
  </si>
  <si>
    <t>090070415</t>
  </si>
  <si>
    <t>戴碧珊</t>
  </si>
  <si>
    <t>090070416</t>
  </si>
  <si>
    <t>周东亮</t>
  </si>
  <si>
    <t>090070417</t>
  </si>
  <si>
    <t>潘演婷</t>
  </si>
  <si>
    <t>090070418</t>
  </si>
  <si>
    <t>谭朝晖</t>
  </si>
  <si>
    <t>090070419</t>
  </si>
  <si>
    <t>李雪莹</t>
  </si>
  <si>
    <t>090070420</t>
  </si>
  <si>
    <t>李韵华</t>
  </si>
  <si>
    <t>090070421</t>
  </si>
  <si>
    <t>林运富</t>
  </si>
  <si>
    <t>090070422</t>
  </si>
  <si>
    <t>冯冬妮</t>
  </si>
  <si>
    <t>090070423</t>
  </si>
  <si>
    <t>叶莹</t>
  </si>
  <si>
    <t>090070424</t>
  </si>
  <si>
    <t>冯飞龙</t>
  </si>
  <si>
    <t>090070425</t>
  </si>
  <si>
    <t>莫嘉婷</t>
  </si>
  <si>
    <t>090070426</t>
  </si>
  <si>
    <t>陈树锴</t>
  </si>
  <si>
    <t>090070427</t>
  </si>
  <si>
    <t>陈翔</t>
  </si>
  <si>
    <t>090070428</t>
  </si>
  <si>
    <t>丘岳安</t>
  </si>
  <si>
    <t>090080501</t>
  </si>
  <si>
    <t>庄思瑜</t>
  </si>
  <si>
    <t>090080502</t>
  </si>
  <si>
    <t>黄丽美</t>
  </si>
  <si>
    <t>090080503</t>
  </si>
  <si>
    <t>倪晓敏</t>
  </si>
  <si>
    <t>090080504</t>
  </si>
  <si>
    <t>徐丽</t>
  </si>
  <si>
    <t>090080505</t>
  </si>
  <si>
    <t>郭帅婷</t>
  </si>
  <si>
    <t>090080506</t>
  </si>
  <si>
    <t>许园园</t>
  </si>
  <si>
    <t>090080507</t>
  </si>
  <si>
    <t>蔡爱思</t>
  </si>
  <si>
    <t>090080508</t>
  </si>
  <si>
    <t>王华</t>
  </si>
  <si>
    <t>090080509</t>
  </si>
  <si>
    <t>黄鑫楼</t>
  </si>
  <si>
    <t>090010101</t>
  </si>
  <si>
    <t>董红</t>
  </si>
  <si>
    <t>090010102</t>
  </si>
  <si>
    <t>王海霞</t>
  </si>
  <si>
    <t>090010103</t>
  </si>
  <si>
    <t>闫静</t>
  </si>
  <si>
    <t>090010104</t>
  </si>
  <si>
    <t>裴娟娟</t>
  </si>
  <si>
    <t>090010105</t>
  </si>
  <si>
    <t>曹淤青</t>
  </si>
  <si>
    <t>090010106</t>
  </si>
  <si>
    <t>毛翠柳</t>
  </si>
  <si>
    <t>090010107</t>
  </si>
  <si>
    <t>胡云</t>
  </si>
  <si>
    <t>090010108</t>
  </si>
  <si>
    <t>谢洁</t>
  </si>
  <si>
    <t>090010109</t>
  </si>
  <si>
    <t>杨学胜</t>
  </si>
  <si>
    <t>090010110</t>
  </si>
  <si>
    <t>强兆娣</t>
  </si>
  <si>
    <t>090010111</t>
  </si>
  <si>
    <t>徐佳佳</t>
  </si>
  <si>
    <t>090010112</t>
  </si>
  <si>
    <t>汤勇</t>
  </si>
  <si>
    <t>090010113</t>
  </si>
  <si>
    <t>谢京平</t>
  </si>
  <si>
    <t>090010114</t>
  </si>
  <si>
    <t>唐红霞</t>
  </si>
  <si>
    <t>090010115</t>
  </si>
  <si>
    <t>顾荣荣</t>
  </si>
  <si>
    <t>090010116</t>
  </si>
  <si>
    <t>钱继英</t>
  </si>
  <si>
    <t>090010117</t>
  </si>
  <si>
    <t>丁明亚</t>
  </si>
  <si>
    <t>090010118</t>
  </si>
  <si>
    <t>朱志香</t>
  </si>
  <si>
    <t>090010119</t>
  </si>
  <si>
    <t>王亚丽</t>
  </si>
  <si>
    <t>090010120</t>
  </si>
  <si>
    <t>刘晓芳</t>
  </si>
  <si>
    <t>090010121</t>
  </si>
  <si>
    <t>王岩</t>
  </si>
  <si>
    <t>090010122</t>
  </si>
  <si>
    <t>韦道静</t>
  </si>
  <si>
    <t>090010123</t>
  </si>
  <si>
    <t>孙芹</t>
  </si>
  <si>
    <t>090010124</t>
  </si>
  <si>
    <t>缪茂桂</t>
  </si>
  <si>
    <t>090010125</t>
  </si>
  <si>
    <t>钱丽萍</t>
  </si>
  <si>
    <t>090010126</t>
  </si>
  <si>
    <t>陈洁</t>
  </si>
  <si>
    <t>090010127</t>
  </si>
  <si>
    <t>李芳</t>
  </si>
  <si>
    <t>090010128</t>
  </si>
  <si>
    <t>王云</t>
  </si>
  <si>
    <t>090010129</t>
  </si>
  <si>
    <t>金雨婷</t>
  </si>
  <si>
    <t>090010130</t>
  </si>
  <si>
    <t>高建艮</t>
  </si>
  <si>
    <t>090010131</t>
  </si>
  <si>
    <t>侯亚</t>
  </si>
  <si>
    <t>090010132</t>
  </si>
  <si>
    <t>陆锦花</t>
  </si>
  <si>
    <t>090010133</t>
  </si>
  <si>
    <t>周华军</t>
  </si>
  <si>
    <t>090010134</t>
  </si>
  <si>
    <t>李文静</t>
  </si>
  <si>
    <t>090010135</t>
  </si>
  <si>
    <t>骆军华</t>
  </si>
  <si>
    <t>090010136</t>
  </si>
  <si>
    <t>吴雅雯</t>
  </si>
  <si>
    <t>090010137</t>
  </si>
  <si>
    <t>苏静</t>
  </si>
  <si>
    <t>090010138</t>
  </si>
  <si>
    <t>李娟</t>
  </si>
  <si>
    <t>090010139</t>
  </si>
  <si>
    <t>司康</t>
  </si>
  <si>
    <t>090010140</t>
  </si>
  <si>
    <t>金恩恩</t>
  </si>
  <si>
    <t>090010141</t>
  </si>
  <si>
    <t>吳夢懿</t>
  </si>
  <si>
    <t>090010142</t>
  </si>
  <si>
    <t>徐婷</t>
  </si>
  <si>
    <t>090080510</t>
  </si>
  <si>
    <t>王娜</t>
  </si>
  <si>
    <t>090080511</t>
  </si>
  <si>
    <t>刘亮亮</t>
  </si>
  <si>
    <t>090080512</t>
  </si>
  <si>
    <t>秦韦</t>
  </si>
  <si>
    <t>090080513</t>
  </si>
  <si>
    <t>薛春霞</t>
  </si>
  <si>
    <t>090080514</t>
  </si>
  <si>
    <t>陈书楠</t>
  </si>
  <si>
    <t>090080515</t>
  </si>
  <si>
    <t>王婷婷</t>
  </si>
  <si>
    <t>090080516</t>
  </si>
  <si>
    <t>周兵</t>
  </si>
  <si>
    <t>090080517</t>
  </si>
  <si>
    <t>葛源源</t>
  </si>
  <si>
    <t>090080518</t>
  </si>
  <si>
    <t>朱莉</t>
  </si>
  <si>
    <t>090080519</t>
  </si>
  <si>
    <t>陈燕</t>
  </si>
  <si>
    <t>090080520</t>
  </si>
  <si>
    <t>汪燕</t>
  </si>
  <si>
    <t>090080521</t>
  </si>
  <si>
    <t>陆鑫鑫</t>
  </si>
  <si>
    <t>090080522</t>
  </si>
  <si>
    <t>王敏</t>
  </si>
  <si>
    <t>090080523</t>
  </si>
  <si>
    <t>王玥</t>
  </si>
  <si>
    <t>090080524</t>
  </si>
  <si>
    <t>张晓晖</t>
  </si>
  <si>
    <t>090080525</t>
  </si>
  <si>
    <t>许炳华</t>
  </si>
  <si>
    <t>090080526</t>
  </si>
  <si>
    <t>梁春辉</t>
  </si>
  <si>
    <t>090080527</t>
  </si>
  <si>
    <t>薛军</t>
  </si>
  <si>
    <t>090080528</t>
  </si>
  <si>
    <t>顾石磊</t>
  </si>
  <si>
    <t>090080529</t>
  </si>
  <si>
    <t>盛浩亮</t>
  </si>
  <si>
    <t>090080530</t>
  </si>
  <si>
    <t>章彬彬</t>
  </si>
  <si>
    <t>090080531</t>
  </si>
  <si>
    <t>杨靖华</t>
  </si>
  <si>
    <t>090080532</t>
  </si>
  <si>
    <t>汤小梅</t>
  </si>
  <si>
    <t>090080533</t>
  </si>
  <si>
    <t>季威</t>
  </si>
  <si>
    <t>090080534</t>
  </si>
  <si>
    <t>丁晓丹</t>
  </si>
  <si>
    <t>090080535</t>
  </si>
  <si>
    <t>施宇</t>
  </si>
  <si>
    <t>090080536</t>
  </si>
  <si>
    <t>马云南</t>
  </si>
  <si>
    <t>090080537</t>
  </si>
  <si>
    <t>王振</t>
  </si>
  <si>
    <t>090080538</t>
  </si>
  <si>
    <t>张金龙</t>
  </si>
  <si>
    <t>090080539</t>
  </si>
  <si>
    <t>王洁</t>
  </si>
  <si>
    <t>090080540</t>
  </si>
  <si>
    <t>陶志勇</t>
  </si>
  <si>
    <t>090080541</t>
  </si>
  <si>
    <t>宋宏飞</t>
  </si>
  <si>
    <t>090080542</t>
  </si>
  <si>
    <t>李明华</t>
  </si>
  <si>
    <t>090080543</t>
  </si>
  <si>
    <t>高荟妍</t>
  </si>
  <si>
    <t>090080544</t>
  </si>
  <si>
    <t>唐德岗</t>
  </si>
  <si>
    <t>090080545</t>
  </si>
  <si>
    <t>周军</t>
  </si>
  <si>
    <t>090080546</t>
  </si>
  <si>
    <t>王文茂</t>
  </si>
  <si>
    <t>090080547</t>
  </si>
  <si>
    <t>范来吉</t>
  </si>
  <si>
    <t>090080548</t>
  </si>
  <si>
    <t>孙国林</t>
  </si>
  <si>
    <t>090080549</t>
  </si>
  <si>
    <t>唐杰</t>
  </si>
  <si>
    <t>090090601</t>
  </si>
  <si>
    <t>彭先锋</t>
  </si>
  <si>
    <t>090090602</t>
  </si>
  <si>
    <t>王丽</t>
  </si>
  <si>
    <t>090090603</t>
  </si>
  <si>
    <t>徐莉莉</t>
  </si>
  <si>
    <t>090090604</t>
  </si>
  <si>
    <t>孙友年</t>
  </si>
  <si>
    <t>090090605</t>
  </si>
  <si>
    <t>张国珍</t>
  </si>
  <si>
    <t>090090606</t>
  </si>
  <si>
    <t>张春英</t>
  </si>
  <si>
    <t>090090607</t>
  </si>
  <si>
    <t>睢培</t>
  </si>
  <si>
    <t>090090608</t>
  </si>
  <si>
    <t>钱文娟</t>
  </si>
  <si>
    <t>090090609</t>
  </si>
  <si>
    <t>姚仙芳</t>
  </si>
  <si>
    <t>090090610</t>
  </si>
  <si>
    <t>单秋玲</t>
  </si>
  <si>
    <t>090090611</t>
  </si>
  <si>
    <t>张瑜</t>
  </si>
  <si>
    <t>090090612</t>
  </si>
  <si>
    <t>沈颖</t>
  </si>
  <si>
    <t>090090613</t>
  </si>
  <si>
    <t>吴佳颖</t>
  </si>
  <si>
    <t>090090614</t>
  </si>
  <si>
    <t>苗盼盼</t>
  </si>
  <si>
    <t>090090615</t>
  </si>
  <si>
    <t>赵莉</t>
  </si>
  <si>
    <t>090090616</t>
  </si>
  <si>
    <t>孙翔</t>
  </si>
  <si>
    <t>090090617</t>
  </si>
  <si>
    <t>蒋美华</t>
  </si>
  <si>
    <t>090090618</t>
  </si>
  <si>
    <t>戌丽俊</t>
  </si>
  <si>
    <t>090090619</t>
  </si>
  <si>
    <t>时盛兰</t>
  </si>
  <si>
    <t>090090620</t>
  </si>
  <si>
    <t>090090621</t>
  </si>
  <si>
    <t>沙春萍</t>
  </si>
  <si>
    <t>090090622</t>
  </si>
  <si>
    <t>施俊良</t>
  </si>
  <si>
    <t>090090623</t>
  </si>
  <si>
    <t>欧银银</t>
  </si>
  <si>
    <t>090090624</t>
  </si>
  <si>
    <t>钱金花</t>
  </si>
  <si>
    <t>090090625</t>
  </si>
  <si>
    <t>施紫娟</t>
  </si>
  <si>
    <t>090090626</t>
  </si>
  <si>
    <t>张萍</t>
  </si>
  <si>
    <t>090090627</t>
  </si>
  <si>
    <t>袁东波</t>
  </si>
  <si>
    <t>090090628</t>
  </si>
  <si>
    <t>徐珏</t>
  </si>
  <si>
    <t>090090629</t>
  </si>
  <si>
    <t>史梅萍</t>
  </si>
  <si>
    <t>090090630</t>
  </si>
  <si>
    <t>王璐</t>
  </si>
  <si>
    <t>090090631</t>
  </si>
  <si>
    <t>谢文雅</t>
  </si>
  <si>
    <t>090090632</t>
  </si>
  <si>
    <t>吴旭华</t>
  </si>
  <si>
    <t>090090633</t>
  </si>
  <si>
    <t>姜玲</t>
  </si>
  <si>
    <t>090090634</t>
  </si>
  <si>
    <t>黄佳玉</t>
  </si>
  <si>
    <t>090090635</t>
  </si>
  <si>
    <t>吕俊</t>
  </si>
  <si>
    <t>090090636</t>
  </si>
  <si>
    <t>周利娟</t>
  </si>
  <si>
    <t>090090637</t>
  </si>
  <si>
    <t>赵菁</t>
  </si>
  <si>
    <t>090090638</t>
  </si>
  <si>
    <t>曹立波</t>
  </si>
  <si>
    <t>090090639</t>
  </si>
  <si>
    <t>徐晓英</t>
  </si>
  <si>
    <t>090090640</t>
  </si>
  <si>
    <t>王雪琴</t>
  </si>
  <si>
    <t>090090641</t>
  </si>
  <si>
    <t>090090642</t>
  </si>
  <si>
    <t>夏娜</t>
  </si>
  <si>
    <t>090090643</t>
  </si>
  <si>
    <t>张晓霞</t>
  </si>
  <si>
    <t>090090644</t>
  </si>
  <si>
    <t>王雯霞</t>
  </si>
  <si>
    <t>090090645</t>
  </si>
  <si>
    <t>黄慕秋</t>
  </si>
  <si>
    <t>090090646</t>
  </si>
  <si>
    <t>俞静霞</t>
  </si>
  <si>
    <t>090100701</t>
  </si>
  <si>
    <t>黄晓红</t>
  </si>
  <si>
    <t>090100702</t>
  </si>
  <si>
    <t>黄秋红</t>
  </si>
  <si>
    <t>090100703</t>
  </si>
  <si>
    <t>饶秋凤</t>
  </si>
  <si>
    <t>090100704</t>
  </si>
  <si>
    <t>林小丽</t>
  </si>
  <si>
    <t>090100705</t>
  </si>
  <si>
    <t>林晓晓</t>
  </si>
  <si>
    <t>090100706</t>
  </si>
  <si>
    <t>林毓萍</t>
  </si>
  <si>
    <t>090100707</t>
  </si>
  <si>
    <t>刘金玲</t>
  </si>
  <si>
    <t>090100708</t>
  </si>
  <si>
    <t>刘婷婷</t>
  </si>
  <si>
    <t>090100709</t>
  </si>
  <si>
    <t>刘秀玲</t>
  </si>
  <si>
    <t>090100710</t>
  </si>
  <si>
    <t>陈玲莉</t>
  </si>
  <si>
    <t>090100711</t>
  </si>
  <si>
    <t>陈丽莉</t>
  </si>
  <si>
    <t>090100712</t>
  </si>
  <si>
    <t>陈聪红</t>
  </si>
  <si>
    <t>090100713</t>
  </si>
  <si>
    <t>林小兰</t>
  </si>
  <si>
    <t>090100714</t>
  </si>
  <si>
    <t>林湘茹</t>
  </si>
  <si>
    <t>090100715</t>
  </si>
  <si>
    <t>林淑婷</t>
  </si>
  <si>
    <t>090100716</t>
  </si>
  <si>
    <t>林巧真</t>
  </si>
  <si>
    <t>090100717</t>
  </si>
  <si>
    <t>林美云</t>
  </si>
  <si>
    <t>090100718</t>
  </si>
  <si>
    <t>林梅琴</t>
  </si>
  <si>
    <t>090100719</t>
  </si>
  <si>
    <t>陈婷婷</t>
  </si>
  <si>
    <t>090100720</t>
  </si>
  <si>
    <t>郭超丽</t>
  </si>
  <si>
    <t>090100721</t>
  </si>
  <si>
    <t>何舒涛</t>
  </si>
  <si>
    <t>090100722</t>
  </si>
  <si>
    <t>黄俊华</t>
  </si>
  <si>
    <t>090100723</t>
  </si>
  <si>
    <t>黄海燕</t>
  </si>
  <si>
    <t>090100724</t>
  </si>
  <si>
    <t>黄逢娇</t>
  </si>
  <si>
    <t>090100725</t>
  </si>
  <si>
    <t>黄春茹</t>
  </si>
  <si>
    <t>090100726</t>
  </si>
  <si>
    <t>洪秋冬</t>
  </si>
  <si>
    <t>090100727</t>
  </si>
  <si>
    <t>陈智琼</t>
  </si>
  <si>
    <t>090100728</t>
  </si>
  <si>
    <t>陈小红</t>
  </si>
  <si>
    <t>090100729</t>
  </si>
  <si>
    <t>陈小英</t>
  </si>
  <si>
    <t>090100730</t>
  </si>
  <si>
    <t>陈晓琳</t>
  </si>
  <si>
    <t>090100731</t>
  </si>
  <si>
    <t>陈燕青</t>
  </si>
  <si>
    <t>090100732</t>
  </si>
  <si>
    <t>苏丽娟</t>
  </si>
  <si>
    <t>090100733</t>
  </si>
  <si>
    <t>苏爱琴</t>
  </si>
  <si>
    <t>090100734</t>
  </si>
  <si>
    <t>施泽超</t>
  </si>
  <si>
    <t>090100735</t>
  </si>
  <si>
    <t>施婷婷</t>
  </si>
  <si>
    <t>090100736</t>
  </si>
  <si>
    <t>黄玲玲</t>
  </si>
  <si>
    <t>090100737</t>
  </si>
  <si>
    <t>蔡奕晶</t>
  </si>
  <si>
    <t>090100738</t>
  </si>
  <si>
    <t>090100739</t>
  </si>
  <si>
    <t>柯雅雅</t>
  </si>
  <si>
    <t>090100740</t>
  </si>
  <si>
    <t>康婷婷</t>
  </si>
  <si>
    <t>090010143</t>
  </si>
  <si>
    <t>杨晓烨</t>
  </si>
  <si>
    <t>文学院</t>
  </si>
  <si>
    <t>外文院</t>
  </si>
  <si>
    <t>数科院</t>
  </si>
  <si>
    <t>物科院</t>
  </si>
  <si>
    <t>生科院</t>
  </si>
  <si>
    <t>地科院</t>
  </si>
  <si>
    <t>化科院</t>
  </si>
  <si>
    <t>法学院</t>
  </si>
  <si>
    <t>公管院</t>
  </si>
  <si>
    <t>体科院</t>
  </si>
  <si>
    <t>院系</t>
    <phoneticPr fontId="3" type="noConversion"/>
  </si>
  <si>
    <t>C语言</t>
    <phoneticPr fontId="3" type="noConversion"/>
  </si>
  <si>
    <t>Word</t>
    <phoneticPr fontId="3" type="noConversion"/>
  </si>
  <si>
    <t>Excel</t>
    <phoneticPr fontId="3" type="noConversion"/>
  </si>
  <si>
    <t>PPT</t>
    <phoneticPr fontId="3" type="noConversion"/>
  </si>
  <si>
    <t>Access</t>
    <phoneticPr fontId="3" type="noConversion"/>
  </si>
  <si>
    <t>成绩</t>
    <phoneticPr fontId="3" type="noConversion"/>
  </si>
  <si>
    <t>编号</t>
  </si>
  <si>
    <t>001</t>
    <phoneticPr fontId="3" type="noConversion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</si>
  <si>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</si>
  <si>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</si>
  <si>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</si>
  <si>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</si>
  <si>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</si>
  <si>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</si>
  <si>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</si>
  <si>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</si>
  <si>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</si>
  <si>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</si>
  <si>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</si>
  <si>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</si>
  <si>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</si>
  <si>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</si>
  <si>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</si>
  <si>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</si>
  <si>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</si>
  <si>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</si>
  <si>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</si>
  <si>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</si>
  <si>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</si>
  <si>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</si>
  <si>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</si>
  <si>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</si>
  <si>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</si>
  <si>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</si>
  <si>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</si>
  <si>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</si>
  <si>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</si>
  <si>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</si>
  <si>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</si>
  <si>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</si>
  <si>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</si>
  <si>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</si>
  <si>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</si>
  <si>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</si>
  <si>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</si>
  <si>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</si>
  <si>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</si>
  <si>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</si>
  <si>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</si>
  <si>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</si>
  <si>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</si>
  <si>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</si>
  <si>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</si>
  <si>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</si>
  <si>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</si>
  <si>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</si>
  <si>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</si>
  <si>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</si>
  <si>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</si>
  <si>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</si>
  <si>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</si>
  <si>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</si>
  <si>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</si>
  <si>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</si>
  <si>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</si>
  <si>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</si>
  <si>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</si>
  <si>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</si>
  <si>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</si>
  <si>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</si>
  <si>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</si>
  <si>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</si>
  <si>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</si>
  <si>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</si>
  <si>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</si>
  <si>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</si>
  <si>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</si>
  <si>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</si>
  <si>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</si>
  <si>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</si>
  <si>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</si>
  <si>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</si>
  <si>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</si>
  <si>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</si>
  <si>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</si>
  <si>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</si>
  <si>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</si>
  <si>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</si>
  <si>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</si>
  <si>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</si>
  <si>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</si>
  <si>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</si>
  <si>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</si>
  <si>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</si>
  <si>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</si>
  <si>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</si>
  <si>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</si>
  <si>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</si>
  <si>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</si>
  <si>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</si>
  <si>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</si>
  <si>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</si>
  <si>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</si>
  <si>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</si>
  <si>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</si>
  <si>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</si>
  <si>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</si>
  <si>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</si>
  <si>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</si>
  <si>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</si>
  <si>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</si>
  <si>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</si>
  <si>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</si>
  <si>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</si>
  <si>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</si>
  <si>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</si>
  <si>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</si>
  <si>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</si>
  <si>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</si>
  <si>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</si>
  <si>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</si>
  <si>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</si>
  <si>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</si>
  <si>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</si>
  <si>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</si>
  <si>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</si>
  <si>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</si>
  <si>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</si>
  <si>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</si>
  <si>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</si>
  <si>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</si>
  <si>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</si>
  <si>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</si>
  <si>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</si>
  <si>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</si>
  <si>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</si>
  <si>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</si>
  <si>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</si>
  <si>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</si>
  <si>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</si>
  <si>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</si>
  <si>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</si>
  <si>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</si>
  <si>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</si>
  <si>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</si>
  <si>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</si>
  <si>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</si>
  <si>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</si>
  <si>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</si>
  <si>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</si>
  <si>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</si>
  <si>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</si>
  <si>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</si>
  <si>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</si>
  <si>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</si>
  <si>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</si>
  <si>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</si>
  <si>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</si>
  <si>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</si>
  <si>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</si>
  <si>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</si>
  <si>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</si>
  <si>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</si>
  <si>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</si>
  <si>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</si>
  <si>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</si>
  <si>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</si>
  <si>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</si>
  <si>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</si>
  <si>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</si>
  <si>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</si>
  <si>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</si>
  <si>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</si>
  <si>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</si>
  <si>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</si>
  <si>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</si>
  <si>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</si>
  <si>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</si>
  <si>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</si>
  <si>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</si>
  <si>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</si>
  <si>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</si>
  <si>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</si>
  <si>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</si>
  <si>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</si>
  <si>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</si>
  <si>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</si>
  <si>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</si>
  <si>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</si>
  <si>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</si>
  <si>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</si>
  <si>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</si>
  <si>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</si>
  <si>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</si>
  <si>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</si>
  <si>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</si>
  <si>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</si>
  <si>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</si>
  <si>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</si>
  <si>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</si>
  <si>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</si>
  <si>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</si>
  <si>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</si>
  <si>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</si>
  <si>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</si>
  <si>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</si>
  <si>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</si>
  <si>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</si>
  <si>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</si>
  <si>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</si>
  <si>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</si>
  <si>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</si>
  <si>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</si>
  <si>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</si>
  <si>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</si>
  <si>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</si>
  <si>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</si>
  <si>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</si>
  <si>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</si>
  <si>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</si>
  <si>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</si>
  <si>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</si>
  <si>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</si>
  <si>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</si>
  <si>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</si>
  <si>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</si>
  <si>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</si>
  <si>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</si>
  <si>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</si>
  <si>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</si>
  <si>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</si>
  <si>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</si>
  <si>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</si>
  <si>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</si>
  <si>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</si>
  <si>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</si>
  <si>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</si>
  <si>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</si>
  <si>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</si>
  <si>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</si>
  <si>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</si>
  <si>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</si>
  <si>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</si>
  <si>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</si>
  <si>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</si>
  <si>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</si>
  <si>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</si>
  <si>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</si>
  <si>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</si>
  <si>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</si>
  <si>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</si>
  <si>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</si>
  <si>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</si>
  <si>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</si>
  <si>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</si>
  <si>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</si>
  <si>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</si>
  <si>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</si>
  <si>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</si>
  <si>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</si>
  <si>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</si>
  <si>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</si>
  <si>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</si>
  <si>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</si>
  <si>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</si>
  <si>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</si>
  <si>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</si>
  <si>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</si>
  <si>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</si>
  <si>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</si>
  <si>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</si>
  <si>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</si>
  <si>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</si>
  <si>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</si>
  <si>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</si>
  <si>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</si>
  <si>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</si>
  <si>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</si>
  <si>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</si>
  <si>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</si>
  <si>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</si>
  <si>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</si>
  <si>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</si>
  <si>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</si>
  <si>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</si>
  <si>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</si>
  <si>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</si>
  <si>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</si>
  <si>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</si>
  <si>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</si>
  <si>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</si>
  <si>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</si>
  <si>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</si>
  <si>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</si>
  <si>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</si>
  <si>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</si>
  <si>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</si>
  <si>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</si>
  <si>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</si>
  <si>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</si>
  <si>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</si>
  <si>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</si>
  <si>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</si>
  <si>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</si>
  <si>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</si>
  <si>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</si>
  <si>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</si>
  <si>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</si>
  <si>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</si>
  <si>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</si>
  <si>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</si>
  <si>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</si>
  <si>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</si>
  <si>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</si>
  <si>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</si>
  <si>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</si>
  <si>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</si>
  <si>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</si>
  <si>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</si>
  <si>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</si>
  <si>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</si>
  <si>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</si>
  <si>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</si>
  <si>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</si>
  <si>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</si>
  <si>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</si>
  <si>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</si>
  <si>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</si>
  <si>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</si>
  <si>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</si>
  <si>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</si>
  <si>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</si>
  <si>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</si>
  <si>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</si>
  <si>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</si>
  <si>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</si>
  <si>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</si>
  <si>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</si>
  <si>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</si>
  <si>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</si>
  <si>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</si>
  <si>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</si>
  <si>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</si>
  <si>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</si>
  <si>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</si>
  <si>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</si>
  <si>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</si>
  <si>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</si>
  <si>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</si>
  <si>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</si>
  <si>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</si>
  <si>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</si>
  <si>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</si>
  <si>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</si>
  <si>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</si>
  <si>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</si>
  <si>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</si>
  <si>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</si>
  <si>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</si>
  <si>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</si>
  <si>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</si>
  <si>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</si>
  <si>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</si>
  <si>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</si>
  <si>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</si>
  <si>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</si>
  <si>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</si>
  <si>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</si>
  <si>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</si>
  <si>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</si>
  <si>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</si>
  <si>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</si>
  <si>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</si>
  <si>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</si>
  <si>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</si>
  <si>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</si>
  <si>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</si>
  <si>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</si>
  <si>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</si>
  <si>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</si>
  <si>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</si>
  <si>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</si>
  <si>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</si>
  <si>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</si>
  <si>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</si>
  <si>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</si>
  <si>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</si>
  <si>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</si>
  <si>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</si>
  <si>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</si>
  <si>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</si>
  <si>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</si>
  <si>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</si>
  <si>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</si>
  <si>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</si>
  <si>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</si>
  <si>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</si>
  <si>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</si>
  <si>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</si>
  <si>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</si>
  <si>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</si>
  <si>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计算机专业成绩</t>
    <phoneticPr fontId="3" type="noConversion"/>
  </si>
  <si>
    <t>北京 平均值</t>
  </si>
  <si>
    <t>河南 平均值</t>
  </si>
  <si>
    <t>江苏 平均值</t>
  </si>
  <si>
    <t>山东 平均值</t>
  </si>
  <si>
    <t>上海 平均值</t>
  </si>
  <si>
    <t>总计平均值</t>
  </si>
  <si>
    <t>籍贯</t>
    <phoneticPr fontId="7" type="noConversion"/>
  </si>
  <si>
    <t>河南</t>
    <phoneticPr fontId="7" type="noConversion"/>
  </si>
  <si>
    <t>山东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</si>
</sst>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dd\-mmm\-yy"/>
    <numFmt numFmtId="177" formatCode="0.0_ "/>
  </numFmts>
  <fonts count="8" x14ac:knownFonts="1">
    <font>
      <sz val="12"/>
      <name val="宋体"/>
      <charset val="134"/>
    </font>
    <font>
      <sz val="9"/>
      <color indexed="8"/>
      <name val="宋体"/>
      <charset val="134"/>
    </font>
    <font>
      <sz val="12"/>
      <color indexed="8"/>
      <name val="宋体"/>
      <charset val="134"/>
    </font>
    <font>
      <sz val="9"/>
      <name val="宋体"/>
      <charset val="134"/>
    </font>
    <font>
      <sz val="16"/>
      <name val="宋体"/>
      <family val="3"/>
      <charset val="134"/>
    </font>
    <font>
      <sz val="16"/>
      <color rgb="FF0070C0"/>
      <name val="黑体"/>
      <family val="3"/>
      <charset val="134"/>
    </font>
    <font>
      <b/>
      <sz val="9"/>
      <color indexed="8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Continuous"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1" fillId="0" borderId="1" xfId="1" applyFont="1" applyFill="1" applyBorder="1" applyAlignment="1">
      <alignment wrapText="1"/>
    </xf>
    <xf numFmtId="176" fontId="1" fillId="0" borderId="1" xfId="1" applyNumberFormat="1" applyFont="1" applyFill="1" applyBorder="1" applyAlignment="1">
      <alignment horizontal="right" wrapText="1"/>
    </xf>
    <xf numFmtId="0" fontId="1" fillId="0" borderId="1" xfId="1" applyFont="1" applyFill="1" applyBorder="1" applyAlignment="1">
      <alignment horizontal="right" wrapText="1"/>
    </xf>
    <xf numFmtId="177" fontId="0" fillId="0" borderId="1" xfId="0" applyNumberFormat="1" applyBorder="1">
      <alignment vertical="center"/>
    </xf>
    <xf numFmtId="0" fontId="6" fillId="0" borderId="1" xfId="1" applyFont="1" applyFill="1" applyBorder="1" applyAlignment="1">
      <alignment wrapText="1"/>
    </xf>
    <xf numFmtId="0" fontId="0" fillId="0" borderId="0" xfId="0" quotePrefix="1" applyBorder="1">
      <alignment vertical="center"/>
    </xf>
    <xf numFmtId="0" fontId="1" fillId="0" borderId="0" xfId="1" applyFont="1" applyFill="1" applyBorder="1" applyAlignment="1">
      <alignment wrapText="1"/>
    </xf>
    <xf numFmtId="176" fontId="1" fillId="0" borderId="0" xfId="1" applyNumberFormat="1" applyFont="1" applyFill="1" applyBorder="1" applyAlignment="1">
      <alignment horizontal="right" wrapText="1"/>
    </xf>
    <xf numFmtId="0" fontId="1" fillId="0" borderId="0" xfId="1" applyFont="1" applyFill="1" applyBorder="1" applyAlignment="1">
      <alignment horizontal="right" wrapText="1"/>
    </xf>
    <xf numFmtId="177" fontId="0" fillId="0" borderId="0" xfId="0" applyNumberFormat="1" applyBorder="1">
      <alignment vertical="center"/>
    </xf>
    <xf numFmtId="0" fontId="6" fillId="0" borderId="0" xfId="1" applyFont="1" applyFill="1" applyBorder="1" applyAlignment="1">
      <alignment wrapText="1"/>
    </xf>
    <xf numFmtId="177" fontId="0" fillId="0" borderId="0" xfId="0" applyNumberFormat="1">
      <alignment vertical="center"/>
    </xf>
  </cellXfs>
  <cellStyles count="2">
    <cellStyle name="常规" xfId="0" builtinId="0"/>
    <cellStyle name="常规_Sheet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Sheet3!$A$1:$A$5</c:f>
              <c:strCache>
                <c:ptCount val="5"/>
                <c:pt idx="0">
                  <c:v>北京 平均值</c:v>
                </c:pt>
                <c:pt idx="1">
                  <c:v>河南 平均值</c:v>
                </c:pt>
                <c:pt idx="2">
                  <c:v>江苏 平均值</c:v>
                </c:pt>
                <c:pt idx="3">
                  <c:v>山东 平均值</c:v>
                </c:pt>
                <c:pt idx="4">
                  <c:v>上海 平均值</c:v>
                </c:pt>
              </c:strCache>
            </c:strRef>
          </c:cat>
          <c:val>
            <c:numRef>
              <c:f>Sheet3!$B$1:$B$5</c:f>
              <c:numCache>
                <c:formatCode>0.0_ </c:formatCode>
                <c:ptCount val="5"/>
                <c:pt idx="0">
                  <c:v>65.529411764705884</c:v>
                </c:pt>
                <c:pt idx="1">
                  <c:v>64.944444444444443</c:v>
                </c:pt>
                <c:pt idx="2">
                  <c:v>72.231250000000003</c:v>
                </c:pt>
                <c:pt idx="3">
                  <c:v>63.857142857142854</c:v>
                </c:pt>
                <c:pt idx="4">
                  <c:v>76.818181818181813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4739200"/>
        <c:axId val="214745088"/>
        <c:axId val="0"/>
      </c:bar3DChart>
      <c:catAx>
        <c:axId val="214739200"/>
        <c:scaling>
          <c:orientation val="minMax"/>
        </c:scaling>
        <c:delete val="0"/>
        <c:axPos val="b"/>
        <c:majorTickMark val="out"/>
        <c:minorTickMark val="none"/>
        <c:tickLblPos val="nextTo"/>
        <c:crossAx val="214745088"/>
        <c:crosses val="autoZero"/>
        <c:auto val="1"/>
        <c:lblAlgn val="ctr"/>
        <c:lblOffset val="100"/>
        <c:noMultiLvlLbl val="0"/>
      </c:catAx>
      <c:valAx>
        <c:axId val="214745088"/>
        <c:scaling>
          <c:orientation val="minMax"/>
        </c:scaling>
        <c:delete val="0"/>
        <c:axPos val="l"/>
        <c:majorGridlines/>
        <c:numFmt formatCode="0.0_ " sourceLinked="1"/>
        <c:majorTickMark val="out"/>
        <c:minorTickMark val="none"/>
        <c:tickLblPos val="nextTo"/>
        <c:crossAx val="2147392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161924</xdr:colOff>
      <xdr:row>3</xdr:row>
      <xdr:rowOff>166687</xdr:rowOff>
    </xdr:from>
    <xdr:to>
      <xdr:col>12</xdr:col>
      <xdr:colOff>533399</xdr:colOff>
      <xdr:row>19</xdr:row>
      <xdr:rowOff>14287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96"/>
  <sheetViews>
    <sheetView tabSelected="1" workbookViewId="0">
      <selection activeCell="P9" sqref="P9"/>
    </sheetView>
  </sheetViews>
  <sheetFormatPr defaultRowHeight="14.25" x14ac:dyDescent="0.15"/>
  <cols>
    <col min="2" max="2" width="8.25" bestFit="1" customWidth="1"/>
    <col min="3" max="3" width="6" bestFit="1" customWidth="1"/>
    <col min="4" max="4" width="5.5" bestFit="1" customWidth="1"/>
    <col min="5" max="5" width="9.5" bestFit="1" customWidth="1"/>
    <col min="6" max="6" width="5.5" bestFit="1" customWidth="1"/>
    <col min="7" max="7" width="6" bestFit="1" customWidth="1"/>
    <col min="8" max="12" width="6.625" customWidth="1"/>
  </cols>
  <sheetData>
    <row r="1" spans="1:28" s="1" customFormat="1" ht="32.1" customHeight="1" x14ac:dyDescent="0.15">
      <c r="A1" s="2" t="s">
        <v>1209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28" x14ac:dyDescent="0.15">
      <c r="A2" s="3" t="s">
        <v>814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807</v>
      </c>
      <c r="H2" s="3" t="s">
        <v>808</v>
      </c>
      <c r="I2" s="3" t="s">
        <v>809</v>
      </c>
      <c r="J2" s="3" t="s">
        <v>810</v>
      </c>
      <c r="K2" s="3" t="s">
        <v>811</v>
      </c>
      <c r="L2" s="3" t="s">
        <v>812</v>
      </c>
      <c r="M2" s="3" t="s">
        <v>813</v>
      </c>
      <c r="P2" t="s">
        <v>1216</v>
      </c>
    </row>
    <row r="3" spans="1:28" x14ac:dyDescent="0.15">
      <c r="A3" s="4" t="s">
        <v>815</v>
      </c>
      <c r="B3" s="5" t="s">
        <v>5</v>
      </c>
      <c r="C3" s="5" t="s">
        <v>6</v>
      </c>
      <c r="D3" s="5" t="s">
        <v>7</v>
      </c>
      <c r="E3" s="6">
        <v>33288</v>
      </c>
      <c r="F3" s="5" t="s">
        <v>8</v>
      </c>
      <c r="G3" s="5" t="s">
        <v>797</v>
      </c>
      <c r="H3" s="7">
        <v>14</v>
      </c>
      <c r="I3" s="7">
        <v>15</v>
      </c>
      <c r="J3" s="7">
        <v>10</v>
      </c>
      <c r="K3" s="7">
        <v>6</v>
      </c>
      <c r="L3" s="7">
        <v>9</v>
      </c>
      <c r="M3" s="8">
        <f>IF(COUNTIF(H3:L3,"=0")&gt;=2,0,SUM(H3:L3))</f>
        <v>54</v>
      </c>
      <c r="P3" t="s">
        <v>1217</v>
      </c>
      <c r="Q3" t="e">
        <f>成绩&gt;AVERAGE($M$3:$M$396)</f>
        <v>#NAME?</v>
      </c>
    </row>
    <row r="4" spans="1:28" x14ac:dyDescent="0.15">
      <c r="A4" s="4" t="s">
        <v>816</v>
      </c>
      <c r="B4" s="5" t="s">
        <v>9</v>
      </c>
      <c r="C4" s="5" t="s">
        <v>10</v>
      </c>
      <c r="D4" s="5" t="s">
        <v>7</v>
      </c>
      <c r="E4" s="6">
        <v>33280</v>
      </c>
      <c r="F4" s="5" t="s">
        <v>11</v>
      </c>
      <c r="G4" s="5" t="s">
        <v>797</v>
      </c>
      <c r="H4" s="7">
        <v>11</v>
      </c>
      <c r="I4" s="7">
        <v>19</v>
      </c>
      <c r="J4" s="7">
        <v>19</v>
      </c>
      <c r="K4" s="7">
        <v>10</v>
      </c>
      <c r="L4" s="7">
        <v>9</v>
      </c>
      <c r="M4" s="8">
        <f t="shared" ref="M4:M67" si="0">IF(COUNTIF(H4:L4,"=0")&gt;=2,0,SUM(H4:L4))</f>
        <v>68</v>
      </c>
      <c r="P4" t="s">
        <v>1218</v>
      </c>
      <c r="Q4" t="e">
        <f>成绩&gt;AVERAGE($M$3:$M$396)</f>
        <v>#NAME?</v>
      </c>
    </row>
    <row r="5" spans="1:28" x14ac:dyDescent="0.15">
      <c r="A5" s="4" t="s">
        <v>817</v>
      </c>
      <c r="B5" s="5" t="s">
        <v>12</v>
      </c>
      <c r="C5" s="5" t="s">
        <v>13</v>
      </c>
      <c r="D5" s="5" t="s">
        <v>7</v>
      </c>
      <c r="E5" s="6">
        <v>33574</v>
      </c>
      <c r="F5" s="5" t="s">
        <v>14</v>
      </c>
      <c r="G5" s="5" t="s">
        <v>797</v>
      </c>
      <c r="H5" s="7">
        <v>35</v>
      </c>
      <c r="I5" s="7">
        <v>20</v>
      </c>
      <c r="J5" s="7">
        <v>17</v>
      </c>
      <c r="K5" s="7">
        <v>7</v>
      </c>
      <c r="L5" s="7">
        <v>9</v>
      </c>
      <c r="M5" s="8">
        <f t="shared" si="0"/>
        <v>88</v>
      </c>
    </row>
    <row r="6" spans="1:28" x14ac:dyDescent="0.15">
      <c r="A6" s="4" t="s">
        <v>818</v>
      </c>
      <c r="B6" s="5" t="s">
        <v>15</v>
      </c>
      <c r="C6" s="5" t="s">
        <v>16</v>
      </c>
      <c r="D6" s="5" t="s">
        <v>17</v>
      </c>
      <c r="E6" s="6">
        <v>33514</v>
      </c>
      <c r="F6" s="5" t="s">
        <v>14</v>
      </c>
      <c r="G6" s="5" t="s">
        <v>797</v>
      </c>
      <c r="H6" s="7">
        <v>29</v>
      </c>
      <c r="I6" s="7">
        <v>19</v>
      </c>
      <c r="J6" s="7">
        <v>19</v>
      </c>
      <c r="K6" s="7">
        <v>10</v>
      </c>
      <c r="L6" s="7">
        <v>9</v>
      </c>
      <c r="M6" s="8">
        <f t="shared" si="0"/>
        <v>86</v>
      </c>
    </row>
    <row r="7" spans="1:28" x14ac:dyDescent="0.15">
      <c r="A7" s="4" t="s">
        <v>819</v>
      </c>
      <c r="B7" s="5" t="s">
        <v>18</v>
      </c>
      <c r="C7" s="5" t="s">
        <v>19</v>
      </c>
      <c r="D7" s="5" t="s">
        <v>7</v>
      </c>
      <c r="E7" s="6">
        <v>33314</v>
      </c>
      <c r="F7" s="5" t="s">
        <v>14</v>
      </c>
      <c r="G7" s="5" t="s">
        <v>797</v>
      </c>
      <c r="H7" s="7">
        <v>24</v>
      </c>
      <c r="I7" s="7">
        <v>18</v>
      </c>
      <c r="J7" s="7">
        <v>14</v>
      </c>
      <c r="K7" s="7">
        <v>7</v>
      </c>
      <c r="L7" s="7">
        <v>9</v>
      </c>
      <c r="M7" s="8">
        <f t="shared" si="0"/>
        <v>72</v>
      </c>
    </row>
    <row r="8" spans="1:28" x14ac:dyDescent="0.15">
      <c r="A8" s="4" t="s">
        <v>820</v>
      </c>
      <c r="B8" s="5" t="s">
        <v>20</v>
      </c>
      <c r="C8" s="5" t="s">
        <v>21</v>
      </c>
      <c r="D8" s="5" t="s">
        <v>7</v>
      </c>
      <c r="E8" s="6">
        <v>33430</v>
      </c>
      <c r="F8" s="5" t="s">
        <v>14</v>
      </c>
      <c r="G8" s="5" t="s">
        <v>797</v>
      </c>
      <c r="H8" s="7">
        <v>20</v>
      </c>
      <c r="I8" s="7">
        <v>20</v>
      </c>
      <c r="J8" s="7">
        <v>16</v>
      </c>
      <c r="K8" s="7">
        <v>10</v>
      </c>
      <c r="L8" s="7">
        <v>9</v>
      </c>
      <c r="M8" s="8">
        <f t="shared" si="0"/>
        <v>75</v>
      </c>
    </row>
    <row r="9" spans="1:28" x14ac:dyDescent="0.15">
      <c r="A9" s="4" t="s">
        <v>821</v>
      </c>
      <c r="B9" s="5" t="s">
        <v>22</v>
      </c>
      <c r="C9" s="5" t="s">
        <v>23</v>
      </c>
      <c r="D9" s="5" t="s">
        <v>17</v>
      </c>
      <c r="E9" s="6">
        <v>33286</v>
      </c>
      <c r="F9" s="5" t="s">
        <v>14</v>
      </c>
      <c r="G9" s="5" t="s">
        <v>797</v>
      </c>
      <c r="H9" s="7">
        <v>22</v>
      </c>
      <c r="I9" s="7">
        <v>18</v>
      </c>
      <c r="J9" s="7">
        <v>16</v>
      </c>
      <c r="K9" s="7">
        <v>10</v>
      </c>
      <c r="L9" s="7">
        <v>9</v>
      </c>
      <c r="M9" s="8">
        <f t="shared" si="0"/>
        <v>75</v>
      </c>
      <c r="P9" s="3" t="s">
        <v>814</v>
      </c>
      <c r="Q9" s="3" t="s">
        <v>0</v>
      </c>
      <c r="R9" s="3" t="s">
        <v>1</v>
      </c>
      <c r="S9" s="3" t="s">
        <v>2</v>
      </c>
      <c r="T9" s="3" t="s">
        <v>3</v>
      </c>
      <c r="U9" s="3" t="s">
        <v>4</v>
      </c>
      <c r="V9" s="3" t="s">
        <v>807</v>
      </c>
      <c r="W9" s="3" t="s">
        <v>808</v>
      </c>
      <c r="X9" s="3" t="s">
        <v>809</v>
      </c>
      <c r="Y9" s="3" t="s">
        <v>810</v>
      </c>
      <c r="Z9" s="3" t="s">
        <v>811</v>
      </c>
      <c r="AA9" s="3" t="s">
        <v>812</v>
      </c>
      <c r="AB9" s="3" t="s">
        <v>813</v>
      </c>
    </row>
    <row r="10" spans="1:28" x14ac:dyDescent="0.15">
      <c r="A10" s="4" t="s">
        <v>822</v>
      </c>
      <c r="B10" s="5" t="s">
        <v>24</v>
      </c>
      <c r="C10" s="5" t="s">
        <v>25</v>
      </c>
      <c r="D10" s="5" t="s">
        <v>7</v>
      </c>
      <c r="E10" s="6">
        <v>33317</v>
      </c>
      <c r="F10" s="5" t="s">
        <v>11</v>
      </c>
      <c r="G10" s="5" t="s">
        <v>797</v>
      </c>
      <c r="H10" s="7">
        <v>28</v>
      </c>
      <c r="I10" s="7">
        <v>20</v>
      </c>
      <c r="J10" s="7">
        <v>12</v>
      </c>
      <c r="K10" s="7">
        <v>10</v>
      </c>
      <c r="L10" s="7">
        <v>9</v>
      </c>
      <c r="M10" s="8">
        <f t="shared" si="0"/>
        <v>79</v>
      </c>
      <c r="P10" s="4" t="s">
        <v>834</v>
      </c>
      <c r="Q10" s="5" t="s">
        <v>474</v>
      </c>
      <c r="R10" s="5" t="s">
        <v>475</v>
      </c>
      <c r="S10" s="5" t="s">
        <v>7</v>
      </c>
      <c r="T10" s="6">
        <v>33382</v>
      </c>
      <c r="U10" s="5" t="s">
        <v>8</v>
      </c>
      <c r="V10" s="5" t="s">
        <v>797</v>
      </c>
      <c r="W10" s="7">
        <v>29</v>
      </c>
      <c r="X10" s="7">
        <v>16</v>
      </c>
      <c r="Y10" s="7">
        <v>18</v>
      </c>
      <c r="Z10" s="7">
        <v>10</v>
      </c>
      <c r="AA10" s="7">
        <v>9</v>
      </c>
      <c r="AB10" s="8">
        <v>82</v>
      </c>
    </row>
    <row r="11" spans="1:28" x14ac:dyDescent="0.15">
      <c r="A11" s="4" t="s">
        <v>823</v>
      </c>
      <c r="B11" s="5" t="s">
        <v>26</v>
      </c>
      <c r="C11" s="5" t="s">
        <v>27</v>
      </c>
      <c r="D11" s="5" t="s">
        <v>17</v>
      </c>
      <c r="E11" s="6">
        <v>33287</v>
      </c>
      <c r="F11" s="5" t="s">
        <v>14</v>
      </c>
      <c r="G11" s="5" t="s">
        <v>797</v>
      </c>
      <c r="H11" s="7">
        <v>26</v>
      </c>
      <c r="I11" s="7">
        <v>18</v>
      </c>
      <c r="J11" s="7">
        <v>18</v>
      </c>
      <c r="K11" s="7">
        <v>10</v>
      </c>
      <c r="L11" s="7">
        <v>9</v>
      </c>
      <c r="M11" s="8">
        <f t="shared" si="0"/>
        <v>81</v>
      </c>
      <c r="P11" s="4" t="s">
        <v>843</v>
      </c>
      <c r="Q11" s="5" t="s">
        <v>492</v>
      </c>
      <c r="R11" s="5" t="s">
        <v>493</v>
      </c>
      <c r="S11" s="5" t="s">
        <v>7</v>
      </c>
      <c r="T11" s="6">
        <v>33241</v>
      </c>
      <c r="U11" s="5" t="s">
        <v>8</v>
      </c>
      <c r="V11" s="5" t="s">
        <v>797</v>
      </c>
      <c r="W11" s="7">
        <v>30</v>
      </c>
      <c r="X11" s="7">
        <v>19</v>
      </c>
      <c r="Y11" s="7">
        <v>19</v>
      </c>
      <c r="Z11" s="7">
        <v>8</v>
      </c>
      <c r="AA11" s="7">
        <v>9</v>
      </c>
      <c r="AB11" s="8">
        <v>85</v>
      </c>
    </row>
    <row r="12" spans="1:28" x14ac:dyDescent="0.15">
      <c r="A12" s="4" t="s">
        <v>824</v>
      </c>
      <c r="B12" s="5" t="s">
        <v>28</v>
      </c>
      <c r="C12" s="5" t="s">
        <v>29</v>
      </c>
      <c r="D12" s="5" t="s">
        <v>17</v>
      </c>
      <c r="E12" s="6">
        <v>33283</v>
      </c>
      <c r="F12" s="5" t="s">
        <v>14</v>
      </c>
      <c r="G12" s="5" t="s">
        <v>797</v>
      </c>
      <c r="H12" s="7">
        <v>26</v>
      </c>
      <c r="I12" s="7">
        <v>20</v>
      </c>
      <c r="J12" s="7">
        <v>16</v>
      </c>
      <c r="K12" s="7">
        <v>9</v>
      </c>
      <c r="L12" s="7">
        <v>9</v>
      </c>
      <c r="M12" s="8">
        <f t="shared" si="0"/>
        <v>80</v>
      </c>
      <c r="P12" s="4" t="s">
        <v>849</v>
      </c>
      <c r="Q12" s="5" t="s">
        <v>504</v>
      </c>
      <c r="R12" s="5" t="s">
        <v>505</v>
      </c>
      <c r="S12" s="5" t="s">
        <v>7</v>
      </c>
      <c r="T12" s="6">
        <v>33514</v>
      </c>
      <c r="U12" s="5" t="s">
        <v>42</v>
      </c>
      <c r="V12" s="5" t="s">
        <v>797</v>
      </c>
      <c r="W12" s="7">
        <v>34</v>
      </c>
      <c r="X12" s="7">
        <v>19</v>
      </c>
      <c r="Y12" s="7">
        <v>19</v>
      </c>
      <c r="Z12" s="7">
        <v>10</v>
      </c>
      <c r="AA12" s="7">
        <v>10</v>
      </c>
      <c r="AB12" s="8">
        <v>92</v>
      </c>
    </row>
    <row r="13" spans="1:28" x14ac:dyDescent="0.15">
      <c r="A13" s="4" t="s">
        <v>825</v>
      </c>
      <c r="B13" s="5" t="s">
        <v>30</v>
      </c>
      <c r="C13" s="5" t="s">
        <v>31</v>
      </c>
      <c r="D13" s="5" t="s">
        <v>7</v>
      </c>
      <c r="E13" s="6">
        <v>33431</v>
      </c>
      <c r="F13" s="5" t="s">
        <v>14</v>
      </c>
      <c r="G13" s="5" t="s">
        <v>797</v>
      </c>
      <c r="H13" s="7">
        <v>33</v>
      </c>
      <c r="I13" s="7">
        <v>20</v>
      </c>
      <c r="J13" s="7">
        <v>19</v>
      </c>
      <c r="K13" s="7">
        <v>10</v>
      </c>
      <c r="L13" s="7">
        <v>9</v>
      </c>
      <c r="M13" s="8">
        <f t="shared" si="0"/>
        <v>91</v>
      </c>
      <c r="P13" s="4" t="s">
        <v>873</v>
      </c>
      <c r="Q13" s="5" t="s">
        <v>40</v>
      </c>
      <c r="R13" s="5" t="s">
        <v>41</v>
      </c>
      <c r="S13" s="5" t="s">
        <v>17</v>
      </c>
      <c r="T13" s="6">
        <v>33239</v>
      </c>
      <c r="U13" s="5" t="s">
        <v>42</v>
      </c>
      <c r="V13" s="5" t="s">
        <v>798</v>
      </c>
      <c r="W13" s="7">
        <v>31</v>
      </c>
      <c r="X13" s="7">
        <v>18</v>
      </c>
      <c r="Y13" s="7">
        <v>19</v>
      </c>
      <c r="Z13" s="7">
        <v>10</v>
      </c>
      <c r="AA13" s="7">
        <v>9</v>
      </c>
      <c r="AB13" s="8">
        <v>87</v>
      </c>
    </row>
    <row r="14" spans="1:28" x14ac:dyDescent="0.15">
      <c r="A14" s="4" t="s">
        <v>826</v>
      </c>
      <c r="B14" s="5" t="s">
        <v>32</v>
      </c>
      <c r="C14" s="5" t="s">
        <v>33</v>
      </c>
      <c r="D14" s="5" t="s">
        <v>7</v>
      </c>
      <c r="E14" s="6">
        <v>33251</v>
      </c>
      <c r="F14" s="5" t="s">
        <v>14</v>
      </c>
      <c r="G14" s="5" t="s">
        <v>797</v>
      </c>
      <c r="H14" s="7">
        <v>24</v>
      </c>
      <c r="I14" s="7">
        <v>20</v>
      </c>
      <c r="J14" s="7">
        <v>20</v>
      </c>
      <c r="K14" s="7">
        <v>10</v>
      </c>
      <c r="L14" s="7">
        <v>9</v>
      </c>
      <c r="M14" s="8">
        <f t="shared" si="0"/>
        <v>83</v>
      </c>
      <c r="P14" s="4" t="s">
        <v>875</v>
      </c>
      <c r="Q14" s="5" t="s">
        <v>45</v>
      </c>
      <c r="R14" s="5" t="s">
        <v>46</v>
      </c>
      <c r="S14" s="5" t="s">
        <v>17</v>
      </c>
      <c r="T14" s="6">
        <v>33365</v>
      </c>
      <c r="U14" s="5" t="s">
        <v>8</v>
      </c>
      <c r="V14" s="5" t="s">
        <v>798</v>
      </c>
      <c r="W14" s="7">
        <v>27</v>
      </c>
      <c r="X14" s="7">
        <v>20</v>
      </c>
      <c r="Y14" s="7">
        <v>18</v>
      </c>
      <c r="Z14" s="7">
        <v>9</v>
      </c>
      <c r="AA14" s="7">
        <v>2</v>
      </c>
      <c r="AB14" s="8">
        <v>76</v>
      </c>
    </row>
    <row r="15" spans="1:28" x14ac:dyDescent="0.15">
      <c r="A15" s="4" t="s">
        <v>827</v>
      </c>
      <c r="B15" s="5" t="s">
        <v>34</v>
      </c>
      <c r="C15" s="5" t="s">
        <v>35</v>
      </c>
      <c r="D15" s="5" t="s">
        <v>17</v>
      </c>
      <c r="E15" s="6">
        <v>33570</v>
      </c>
      <c r="F15" s="5" t="s">
        <v>8</v>
      </c>
      <c r="G15" s="5" t="s">
        <v>797</v>
      </c>
      <c r="H15" s="7">
        <v>15</v>
      </c>
      <c r="I15" s="7">
        <v>15</v>
      </c>
      <c r="J15" s="7">
        <v>19</v>
      </c>
      <c r="K15" s="7">
        <v>7</v>
      </c>
      <c r="L15" s="7">
        <v>9</v>
      </c>
      <c r="M15" s="8">
        <f t="shared" si="0"/>
        <v>65</v>
      </c>
      <c r="P15" s="4" t="s">
        <v>881</v>
      </c>
      <c r="Q15" s="5" t="s">
        <v>57</v>
      </c>
      <c r="R15" s="5" t="s">
        <v>58</v>
      </c>
      <c r="S15" s="5" t="s">
        <v>7</v>
      </c>
      <c r="T15" s="6">
        <v>33613</v>
      </c>
      <c r="U15" s="5" t="s">
        <v>42</v>
      </c>
      <c r="V15" s="5" t="s">
        <v>798</v>
      </c>
      <c r="W15" s="7">
        <v>20</v>
      </c>
      <c r="X15" s="7">
        <v>17</v>
      </c>
      <c r="Y15" s="7">
        <v>18</v>
      </c>
      <c r="Z15" s="7">
        <v>8</v>
      </c>
      <c r="AA15" s="7">
        <v>9</v>
      </c>
      <c r="AB15" s="8">
        <v>72</v>
      </c>
    </row>
    <row r="16" spans="1:28" x14ac:dyDescent="0.15">
      <c r="A16" s="4" t="s">
        <v>828</v>
      </c>
      <c r="B16" s="5" t="s">
        <v>462</v>
      </c>
      <c r="C16" s="5" t="s">
        <v>463</v>
      </c>
      <c r="D16" s="5" t="s">
        <v>7</v>
      </c>
      <c r="E16" s="6">
        <v>33349</v>
      </c>
      <c r="F16" s="5" t="s">
        <v>14</v>
      </c>
      <c r="G16" s="5" t="s">
        <v>797</v>
      </c>
      <c r="H16" s="7">
        <v>31</v>
      </c>
      <c r="I16" s="7">
        <v>9</v>
      </c>
      <c r="J16" s="7">
        <v>0</v>
      </c>
      <c r="K16" s="7">
        <v>4</v>
      </c>
      <c r="L16" s="7">
        <v>8</v>
      </c>
      <c r="M16" s="8">
        <f t="shared" si="0"/>
        <v>52</v>
      </c>
      <c r="P16" s="4" t="s">
        <v>884</v>
      </c>
      <c r="Q16" s="5" t="s">
        <v>64</v>
      </c>
      <c r="R16" s="5" t="s">
        <v>65</v>
      </c>
      <c r="S16" s="5" t="s">
        <v>17</v>
      </c>
      <c r="T16" s="6">
        <v>33281</v>
      </c>
      <c r="U16" s="5" t="s">
        <v>42</v>
      </c>
      <c r="V16" s="5" t="s">
        <v>798</v>
      </c>
      <c r="W16" s="7">
        <v>25</v>
      </c>
      <c r="X16" s="7">
        <v>18</v>
      </c>
      <c r="Y16" s="7">
        <v>15</v>
      </c>
      <c r="Z16" s="7">
        <v>10</v>
      </c>
      <c r="AA16" s="7">
        <v>5</v>
      </c>
      <c r="AB16" s="8">
        <v>73</v>
      </c>
    </row>
    <row r="17" spans="1:28" x14ac:dyDescent="0.15">
      <c r="A17" s="4" t="s">
        <v>829</v>
      </c>
      <c r="B17" s="5" t="s">
        <v>464</v>
      </c>
      <c r="C17" s="5" t="s">
        <v>465</v>
      </c>
      <c r="D17" s="5" t="s">
        <v>7</v>
      </c>
      <c r="E17" s="6">
        <v>33402</v>
      </c>
      <c r="F17" s="5" t="s">
        <v>14</v>
      </c>
      <c r="G17" s="5" t="s">
        <v>797</v>
      </c>
      <c r="H17" s="7">
        <v>32</v>
      </c>
      <c r="I17" s="7">
        <v>20</v>
      </c>
      <c r="J17" s="7">
        <v>18</v>
      </c>
      <c r="K17" s="7">
        <v>10</v>
      </c>
      <c r="L17" s="7">
        <v>10</v>
      </c>
      <c r="M17" s="8">
        <f t="shared" si="0"/>
        <v>90</v>
      </c>
      <c r="P17" s="4" t="s">
        <v>918</v>
      </c>
      <c r="Q17" s="5" t="s">
        <v>132</v>
      </c>
      <c r="R17" s="5" t="s">
        <v>133</v>
      </c>
      <c r="S17" s="5" t="s">
        <v>17</v>
      </c>
      <c r="T17" s="6">
        <v>33292</v>
      </c>
      <c r="U17" s="5" t="s">
        <v>42</v>
      </c>
      <c r="V17" s="5" t="s">
        <v>799</v>
      </c>
      <c r="W17" s="7">
        <v>23</v>
      </c>
      <c r="X17" s="7">
        <v>15</v>
      </c>
      <c r="Y17" s="7">
        <v>19</v>
      </c>
      <c r="Z17" s="7">
        <v>6</v>
      </c>
      <c r="AA17" s="7">
        <v>9</v>
      </c>
      <c r="AB17" s="8">
        <v>72</v>
      </c>
    </row>
    <row r="18" spans="1:28" x14ac:dyDescent="0.15">
      <c r="A18" s="4" t="s">
        <v>830</v>
      </c>
      <c r="B18" s="5" t="s">
        <v>466</v>
      </c>
      <c r="C18" s="5" t="s">
        <v>467</v>
      </c>
      <c r="D18" s="5" t="s">
        <v>7</v>
      </c>
      <c r="E18" s="6">
        <v>33557</v>
      </c>
      <c r="F18" s="5" t="s">
        <v>14</v>
      </c>
      <c r="G18" s="5" t="s">
        <v>797</v>
      </c>
      <c r="H18" s="7">
        <v>33</v>
      </c>
      <c r="I18" s="7">
        <v>18</v>
      </c>
      <c r="J18" s="7">
        <v>10</v>
      </c>
      <c r="K18" s="7">
        <v>10</v>
      </c>
      <c r="L18" s="7">
        <v>10</v>
      </c>
      <c r="M18" s="8">
        <f t="shared" si="0"/>
        <v>81</v>
      </c>
      <c r="P18" s="4" t="s">
        <v>938</v>
      </c>
      <c r="Q18" s="5" t="s">
        <v>172</v>
      </c>
      <c r="R18" s="5" t="s">
        <v>173</v>
      </c>
      <c r="S18" s="5" t="s">
        <v>17</v>
      </c>
      <c r="T18" s="6">
        <v>33278</v>
      </c>
      <c r="U18" s="5" t="s">
        <v>8</v>
      </c>
      <c r="V18" s="5" t="s">
        <v>800</v>
      </c>
      <c r="W18" s="7">
        <v>22</v>
      </c>
      <c r="X18" s="7">
        <v>20</v>
      </c>
      <c r="Y18" s="7">
        <v>17</v>
      </c>
      <c r="Z18" s="7">
        <v>10</v>
      </c>
      <c r="AA18" s="7">
        <v>9</v>
      </c>
      <c r="AB18" s="8">
        <v>78</v>
      </c>
    </row>
    <row r="19" spans="1:28" x14ac:dyDescent="0.15">
      <c r="A19" s="4" t="s">
        <v>831</v>
      </c>
      <c r="B19" s="5" t="s">
        <v>468</v>
      </c>
      <c r="C19" s="5" t="s">
        <v>469</v>
      </c>
      <c r="D19" s="5" t="s">
        <v>7</v>
      </c>
      <c r="E19" s="6">
        <v>33524</v>
      </c>
      <c r="F19" s="5" t="s">
        <v>14</v>
      </c>
      <c r="G19" s="5" t="s">
        <v>797</v>
      </c>
      <c r="H19" s="7">
        <v>31</v>
      </c>
      <c r="I19" s="7">
        <v>18</v>
      </c>
      <c r="J19" s="7">
        <v>19</v>
      </c>
      <c r="K19" s="7">
        <v>10</v>
      </c>
      <c r="L19" s="7">
        <v>7</v>
      </c>
      <c r="M19" s="8">
        <f t="shared" si="0"/>
        <v>85</v>
      </c>
      <c r="P19" s="4" t="s">
        <v>952</v>
      </c>
      <c r="Q19" s="5" t="s">
        <v>200</v>
      </c>
      <c r="R19" s="5" t="s">
        <v>201</v>
      </c>
      <c r="S19" s="5" t="s">
        <v>17</v>
      </c>
      <c r="T19" s="6">
        <v>33436</v>
      </c>
      <c r="U19" s="5" t="s">
        <v>42</v>
      </c>
      <c r="V19" s="5" t="s">
        <v>800</v>
      </c>
      <c r="W19" s="7">
        <v>34</v>
      </c>
      <c r="X19" s="7">
        <v>19</v>
      </c>
      <c r="Y19" s="7">
        <v>18</v>
      </c>
      <c r="Z19" s="7">
        <v>9</v>
      </c>
      <c r="AA19" s="7">
        <v>10</v>
      </c>
      <c r="AB19" s="8">
        <v>90</v>
      </c>
    </row>
    <row r="20" spans="1:28" x14ac:dyDescent="0.15">
      <c r="A20" s="4" t="s">
        <v>832</v>
      </c>
      <c r="B20" s="5" t="s">
        <v>470</v>
      </c>
      <c r="C20" s="5" t="s">
        <v>471</v>
      </c>
      <c r="D20" s="5" t="s">
        <v>17</v>
      </c>
      <c r="E20" s="6">
        <v>33286</v>
      </c>
      <c r="F20" s="5" t="s">
        <v>14</v>
      </c>
      <c r="G20" s="5" t="s">
        <v>797</v>
      </c>
      <c r="H20" s="7">
        <v>27</v>
      </c>
      <c r="I20" s="7">
        <v>18</v>
      </c>
      <c r="J20" s="7">
        <v>20</v>
      </c>
      <c r="K20" s="7">
        <v>10</v>
      </c>
      <c r="L20" s="7">
        <v>9</v>
      </c>
      <c r="M20" s="8">
        <f t="shared" si="0"/>
        <v>84</v>
      </c>
      <c r="P20" s="4" t="s">
        <v>984</v>
      </c>
      <c r="Q20" s="5" t="s">
        <v>264</v>
      </c>
      <c r="R20" s="5" t="s">
        <v>265</v>
      </c>
      <c r="S20" s="5" t="s">
        <v>7</v>
      </c>
      <c r="T20" s="6">
        <v>33548</v>
      </c>
      <c r="U20" s="5" t="s">
        <v>42</v>
      </c>
      <c r="V20" s="5" t="s">
        <v>801</v>
      </c>
      <c r="W20" s="7">
        <v>35</v>
      </c>
      <c r="X20" s="7">
        <v>20</v>
      </c>
      <c r="Y20" s="7">
        <v>18</v>
      </c>
      <c r="Z20" s="7">
        <v>10</v>
      </c>
      <c r="AA20" s="7">
        <v>9</v>
      </c>
      <c r="AB20" s="8">
        <v>92</v>
      </c>
    </row>
    <row r="21" spans="1:28" x14ac:dyDescent="0.15">
      <c r="A21" s="4" t="s">
        <v>833</v>
      </c>
      <c r="B21" s="5" t="s">
        <v>472</v>
      </c>
      <c r="C21" s="5" t="s">
        <v>473</v>
      </c>
      <c r="D21" s="5" t="s">
        <v>7</v>
      </c>
      <c r="E21" s="6">
        <v>33512</v>
      </c>
      <c r="F21" s="5" t="s">
        <v>61</v>
      </c>
      <c r="G21" s="5" t="s">
        <v>797</v>
      </c>
      <c r="H21" s="7">
        <v>28</v>
      </c>
      <c r="I21" s="7">
        <v>20</v>
      </c>
      <c r="J21" s="7">
        <v>18</v>
      </c>
      <c r="K21" s="7">
        <v>10</v>
      </c>
      <c r="L21" s="7">
        <v>10</v>
      </c>
      <c r="M21" s="8">
        <f t="shared" si="0"/>
        <v>86</v>
      </c>
      <c r="P21" s="4" t="s">
        <v>990</v>
      </c>
      <c r="Q21" s="5" t="s">
        <v>276</v>
      </c>
      <c r="R21" s="5" t="s">
        <v>277</v>
      </c>
      <c r="S21" s="5" t="s">
        <v>7</v>
      </c>
      <c r="T21" s="6">
        <v>33289</v>
      </c>
      <c r="U21" s="5" t="s">
        <v>8</v>
      </c>
      <c r="V21" s="5" t="s">
        <v>801</v>
      </c>
      <c r="W21" s="7">
        <v>22</v>
      </c>
      <c r="X21" s="7">
        <v>20</v>
      </c>
      <c r="Y21" s="7">
        <v>19</v>
      </c>
      <c r="Z21" s="7">
        <v>10</v>
      </c>
      <c r="AA21" s="7">
        <v>9</v>
      </c>
      <c r="AB21" s="8">
        <v>80</v>
      </c>
    </row>
    <row r="22" spans="1:28" x14ac:dyDescent="0.15">
      <c r="A22" s="4" t="s">
        <v>834</v>
      </c>
      <c r="B22" s="5" t="s">
        <v>474</v>
      </c>
      <c r="C22" s="5" t="s">
        <v>475</v>
      </c>
      <c r="D22" s="5" t="s">
        <v>7</v>
      </c>
      <c r="E22" s="6">
        <v>33382</v>
      </c>
      <c r="F22" s="5" t="s">
        <v>8</v>
      </c>
      <c r="G22" s="5" t="s">
        <v>797</v>
      </c>
      <c r="H22" s="7">
        <v>29</v>
      </c>
      <c r="I22" s="7">
        <v>16</v>
      </c>
      <c r="J22" s="7">
        <v>18</v>
      </c>
      <c r="K22" s="7">
        <v>10</v>
      </c>
      <c r="L22" s="7">
        <v>9</v>
      </c>
      <c r="M22" s="8">
        <f t="shared" si="0"/>
        <v>82</v>
      </c>
      <c r="P22" s="4" t="s">
        <v>1005</v>
      </c>
      <c r="Q22" s="5" t="s">
        <v>306</v>
      </c>
      <c r="R22" s="5" t="s">
        <v>307</v>
      </c>
      <c r="S22" s="5" t="s">
        <v>7</v>
      </c>
      <c r="T22" s="6">
        <v>33291</v>
      </c>
      <c r="U22" s="5" t="s">
        <v>42</v>
      </c>
      <c r="V22" s="5" t="s">
        <v>801</v>
      </c>
      <c r="W22" s="7">
        <v>30</v>
      </c>
      <c r="X22" s="7">
        <v>19</v>
      </c>
      <c r="Y22" s="7">
        <v>18</v>
      </c>
      <c r="Z22" s="7">
        <v>8</v>
      </c>
      <c r="AA22" s="7">
        <v>9</v>
      </c>
      <c r="AB22" s="8">
        <v>84</v>
      </c>
    </row>
    <row r="23" spans="1:28" x14ac:dyDescent="0.15">
      <c r="A23" s="4" t="s">
        <v>835</v>
      </c>
      <c r="B23" s="5" t="s">
        <v>476</v>
      </c>
      <c r="C23" s="5" t="s">
        <v>477</v>
      </c>
      <c r="D23" s="5" t="s">
        <v>7</v>
      </c>
      <c r="E23" s="6">
        <v>33528</v>
      </c>
      <c r="F23" s="5" t="s">
        <v>14</v>
      </c>
      <c r="G23" s="5" t="s">
        <v>797</v>
      </c>
      <c r="H23" s="7">
        <v>30</v>
      </c>
      <c r="I23" s="7">
        <v>18</v>
      </c>
      <c r="J23" s="7">
        <v>20</v>
      </c>
      <c r="K23" s="7">
        <v>10</v>
      </c>
      <c r="L23" s="7">
        <v>9</v>
      </c>
      <c r="M23" s="8">
        <f t="shared" si="0"/>
        <v>87</v>
      </c>
      <c r="P23" s="4" t="s">
        <v>1009</v>
      </c>
      <c r="Q23" s="5" t="s">
        <v>314</v>
      </c>
      <c r="R23" s="5" t="s">
        <v>315</v>
      </c>
      <c r="S23" s="5" t="s">
        <v>7</v>
      </c>
      <c r="T23" s="6">
        <v>33311</v>
      </c>
      <c r="U23" s="5" t="s">
        <v>8</v>
      </c>
      <c r="V23" s="5" t="s">
        <v>801</v>
      </c>
      <c r="W23" s="7">
        <v>36</v>
      </c>
      <c r="X23" s="7">
        <v>19</v>
      </c>
      <c r="Y23" s="7">
        <v>19</v>
      </c>
      <c r="Z23" s="7">
        <v>10</v>
      </c>
      <c r="AA23" s="7">
        <v>10</v>
      </c>
      <c r="AB23" s="8">
        <v>94</v>
      </c>
    </row>
    <row r="24" spans="1:28" x14ac:dyDescent="0.15">
      <c r="A24" s="4" t="s">
        <v>836</v>
      </c>
      <c r="B24" s="5" t="s">
        <v>478</v>
      </c>
      <c r="C24" s="5" t="s">
        <v>479</v>
      </c>
      <c r="D24" s="5" t="s">
        <v>17</v>
      </c>
      <c r="E24" s="6">
        <v>33563</v>
      </c>
      <c r="F24" s="5" t="s">
        <v>14</v>
      </c>
      <c r="G24" s="5" t="s">
        <v>797</v>
      </c>
      <c r="H24" s="7">
        <v>32</v>
      </c>
      <c r="I24" s="7">
        <v>19</v>
      </c>
      <c r="J24" s="7">
        <v>20</v>
      </c>
      <c r="K24" s="7">
        <v>10</v>
      </c>
      <c r="L24" s="7">
        <v>9</v>
      </c>
      <c r="M24" s="8">
        <f t="shared" si="0"/>
        <v>90</v>
      </c>
      <c r="P24" s="4" t="s">
        <v>1026</v>
      </c>
      <c r="Q24" s="5" t="s">
        <v>348</v>
      </c>
      <c r="R24" s="5" t="s">
        <v>349</v>
      </c>
      <c r="S24" s="5" t="s">
        <v>17</v>
      </c>
      <c r="T24" s="6">
        <v>33421</v>
      </c>
      <c r="U24" s="5" t="s">
        <v>8</v>
      </c>
      <c r="V24" s="5" t="s">
        <v>802</v>
      </c>
      <c r="W24" s="7">
        <v>24</v>
      </c>
      <c r="X24" s="7">
        <v>19</v>
      </c>
      <c r="Y24" s="7">
        <v>20</v>
      </c>
      <c r="Z24" s="7">
        <v>10</v>
      </c>
      <c r="AA24" s="7">
        <v>7</v>
      </c>
      <c r="AB24" s="8">
        <v>80</v>
      </c>
    </row>
    <row r="25" spans="1:28" x14ac:dyDescent="0.15">
      <c r="A25" s="4" t="s">
        <v>837</v>
      </c>
      <c r="B25" s="5" t="s">
        <v>480</v>
      </c>
      <c r="C25" s="5" t="s">
        <v>481</v>
      </c>
      <c r="D25" s="5" t="s">
        <v>7</v>
      </c>
      <c r="E25" s="6">
        <v>33514</v>
      </c>
      <c r="F25" s="5" t="s">
        <v>14</v>
      </c>
      <c r="G25" s="5" t="s">
        <v>797</v>
      </c>
      <c r="H25" s="7">
        <v>22</v>
      </c>
      <c r="I25" s="7">
        <v>20</v>
      </c>
      <c r="J25" s="7">
        <v>19</v>
      </c>
      <c r="K25" s="7">
        <v>7</v>
      </c>
      <c r="L25" s="7">
        <v>9</v>
      </c>
      <c r="M25" s="8">
        <f t="shared" si="0"/>
        <v>77</v>
      </c>
      <c r="P25" s="4" t="s">
        <v>1027</v>
      </c>
      <c r="Q25" s="5" t="s">
        <v>350</v>
      </c>
      <c r="R25" s="5" t="s">
        <v>351</v>
      </c>
      <c r="S25" s="5" t="s">
        <v>17</v>
      </c>
      <c r="T25" s="6">
        <v>33494</v>
      </c>
      <c r="U25" s="5" t="s">
        <v>8</v>
      </c>
      <c r="V25" s="5" t="s">
        <v>802</v>
      </c>
      <c r="W25" s="7">
        <v>29</v>
      </c>
      <c r="X25" s="7">
        <v>19</v>
      </c>
      <c r="Y25" s="7">
        <v>19</v>
      </c>
      <c r="Z25" s="7">
        <v>10</v>
      </c>
      <c r="AA25" s="7">
        <v>8</v>
      </c>
      <c r="AB25" s="8">
        <v>85</v>
      </c>
    </row>
    <row r="26" spans="1:28" x14ac:dyDescent="0.15">
      <c r="A26" s="4" t="s">
        <v>838</v>
      </c>
      <c r="B26" s="5" t="s">
        <v>482</v>
      </c>
      <c r="C26" s="5" t="s">
        <v>483</v>
      </c>
      <c r="D26" s="5" t="s">
        <v>7</v>
      </c>
      <c r="E26" s="6">
        <v>33543</v>
      </c>
      <c r="F26" s="5" t="s">
        <v>14</v>
      </c>
      <c r="G26" s="5" t="s">
        <v>797</v>
      </c>
      <c r="H26" s="7">
        <v>32</v>
      </c>
      <c r="I26" s="7">
        <v>17</v>
      </c>
      <c r="J26" s="7">
        <v>17</v>
      </c>
      <c r="K26" s="7">
        <v>10</v>
      </c>
      <c r="L26" s="7">
        <v>7</v>
      </c>
      <c r="M26" s="8">
        <f t="shared" si="0"/>
        <v>83</v>
      </c>
      <c r="P26" s="4" t="s">
        <v>1083</v>
      </c>
      <c r="Q26" s="5" t="s">
        <v>546</v>
      </c>
      <c r="R26" s="5" t="s">
        <v>547</v>
      </c>
      <c r="S26" s="5" t="s">
        <v>7</v>
      </c>
      <c r="T26" s="6">
        <v>33411</v>
      </c>
      <c r="U26" s="5" t="s">
        <v>8</v>
      </c>
      <c r="V26" s="5" t="s">
        <v>804</v>
      </c>
      <c r="W26" s="7">
        <v>35</v>
      </c>
      <c r="X26" s="7">
        <v>19</v>
      </c>
      <c r="Y26" s="7">
        <v>20</v>
      </c>
      <c r="Z26" s="7">
        <v>10</v>
      </c>
      <c r="AA26" s="7">
        <v>10</v>
      </c>
      <c r="AB26" s="8">
        <v>94</v>
      </c>
    </row>
    <row r="27" spans="1:28" x14ac:dyDescent="0.15">
      <c r="A27" s="4" t="s">
        <v>839</v>
      </c>
      <c r="B27" s="5" t="s">
        <v>484</v>
      </c>
      <c r="C27" s="5" t="s">
        <v>485</v>
      </c>
      <c r="D27" s="5" t="s">
        <v>17</v>
      </c>
      <c r="E27" s="6">
        <v>33391</v>
      </c>
      <c r="F27" s="5" t="s">
        <v>14</v>
      </c>
      <c r="G27" s="5" t="s">
        <v>797</v>
      </c>
      <c r="H27" s="7">
        <v>34</v>
      </c>
      <c r="I27" s="7">
        <v>19</v>
      </c>
      <c r="J27" s="7">
        <v>18</v>
      </c>
      <c r="K27" s="7">
        <v>10</v>
      </c>
      <c r="L27" s="7">
        <v>8</v>
      </c>
      <c r="M27" s="8">
        <f t="shared" si="0"/>
        <v>89</v>
      </c>
      <c r="P27" s="4" t="s">
        <v>1087</v>
      </c>
      <c r="Q27" s="5" t="s">
        <v>554</v>
      </c>
      <c r="R27" s="5" t="s">
        <v>555</v>
      </c>
      <c r="S27" s="5" t="s">
        <v>7</v>
      </c>
      <c r="T27" s="6">
        <v>33294</v>
      </c>
      <c r="U27" s="5" t="s">
        <v>42</v>
      </c>
      <c r="V27" s="5" t="s">
        <v>804</v>
      </c>
      <c r="W27" s="7">
        <v>32</v>
      </c>
      <c r="X27" s="7">
        <v>20</v>
      </c>
      <c r="Y27" s="7">
        <v>20</v>
      </c>
      <c r="Z27" s="7">
        <v>10</v>
      </c>
      <c r="AA27" s="7">
        <v>10</v>
      </c>
      <c r="AB27" s="8">
        <v>92</v>
      </c>
    </row>
    <row r="28" spans="1:28" x14ac:dyDescent="0.15">
      <c r="A28" s="4" t="s">
        <v>840</v>
      </c>
      <c r="B28" s="5" t="s">
        <v>486</v>
      </c>
      <c r="C28" s="5" t="s">
        <v>487</v>
      </c>
      <c r="D28" s="5" t="s">
        <v>17</v>
      </c>
      <c r="E28" s="6">
        <v>33529</v>
      </c>
      <c r="F28" s="5" t="s">
        <v>8</v>
      </c>
      <c r="G28" s="5" t="s">
        <v>797</v>
      </c>
      <c r="H28" s="7">
        <v>23</v>
      </c>
      <c r="I28" s="7">
        <v>10</v>
      </c>
      <c r="J28" s="7">
        <v>0</v>
      </c>
      <c r="K28" s="7">
        <v>0</v>
      </c>
      <c r="L28" s="7">
        <v>0</v>
      </c>
      <c r="M28" s="8">
        <f t="shared" si="0"/>
        <v>0</v>
      </c>
      <c r="P28" s="4" t="s">
        <v>1109</v>
      </c>
      <c r="Q28" s="5" t="s">
        <v>598</v>
      </c>
      <c r="R28" s="5" t="s">
        <v>599</v>
      </c>
      <c r="S28" s="5" t="s">
        <v>17</v>
      </c>
      <c r="T28" s="6">
        <v>33511</v>
      </c>
      <c r="U28" s="5" t="s">
        <v>8</v>
      </c>
      <c r="V28" s="5" t="s">
        <v>804</v>
      </c>
      <c r="W28" s="7">
        <v>29</v>
      </c>
      <c r="X28" s="7">
        <v>19</v>
      </c>
      <c r="Y28" s="7">
        <v>18</v>
      </c>
      <c r="Z28" s="7">
        <v>10</v>
      </c>
      <c r="AA28" s="7">
        <v>0</v>
      </c>
      <c r="AB28" s="8">
        <v>76</v>
      </c>
    </row>
    <row r="29" spans="1:28" x14ac:dyDescent="0.15">
      <c r="A29" s="4" t="s">
        <v>841</v>
      </c>
      <c r="B29" s="5" t="s">
        <v>488</v>
      </c>
      <c r="C29" s="5" t="s">
        <v>489</v>
      </c>
      <c r="D29" s="5" t="s">
        <v>7</v>
      </c>
      <c r="E29" s="6">
        <v>33393</v>
      </c>
      <c r="F29" s="5" t="s">
        <v>11</v>
      </c>
      <c r="G29" s="5" t="s">
        <v>797</v>
      </c>
      <c r="H29" s="7">
        <v>29</v>
      </c>
      <c r="I29" s="7">
        <v>19</v>
      </c>
      <c r="J29" s="7">
        <v>18</v>
      </c>
      <c r="K29" s="7">
        <v>10</v>
      </c>
      <c r="L29" s="7">
        <v>10</v>
      </c>
      <c r="M29" s="8">
        <f t="shared" si="0"/>
        <v>86</v>
      </c>
      <c r="P29" s="4" t="s">
        <v>1134</v>
      </c>
      <c r="Q29" s="5" t="s">
        <v>648</v>
      </c>
      <c r="R29" s="5" t="s">
        <v>649</v>
      </c>
      <c r="S29" s="5" t="s">
        <v>7</v>
      </c>
      <c r="T29" s="6">
        <v>33254</v>
      </c>
      <c r="U29" s="5" t="s">
        <v>8</v>
      </c>
      <c r="V29" s="5" t="s">
        <v>805</v>
      </c>
      <c r="W29" s="7">
        <v>32</v>
      </c>
      <c r="X29" s="7">
        <v>19</v>
      </c>
      <c r="Y29" s="7">
        <v>20</v>
      </c>
      <c r="Z29" s="7">
        <v>10</v>
      </c>
      <c r="AA29" s="7">
        <v>9</v>
      </c>
      <c r="AB29" s="8">
        <v>90</v>
      </c>
    </row>
    <row r="30" spans="1:28" x14ac:dyDescent="0.15">
      <c r="A30" s="4" t="s">
        <v>842</v>
      </c>
      <c r="B30" s="5" t="s">
        <v>490</v>
      </c>
      <c r="C30" s="5" t="s">
        <v>491</v>
      </c>
      <c r="D30" s="5" t="s">
        <v>7</v>
      </c>
      <c r="E30" s="6">
        <v>33366</v>
      </c>
      <c r="F30" s="5" t="s">
        <v>14</v>
      </c>
      <c r="G30" s="5" t="s">
        <v>797</v>
      </c>
      <c r="H30" s="7">
        <v>29</v>
      </c>
      <c r="I30" s="7">
        <v>19</v>
      </c>
      <c r="J30" s="7">
        <v>18</v>
      </c>
      <c r="K30" s="7">
        <v>10</v>
      </c>
      <c r="L30" s="7">
        <v>10</v>
      </c>
      <c r="M30" s="8">
        <f t="shared" si="0"/>
        <v>86</v>
      </c>
      <c r="P30" s="4" t="s">
        <v>1175</v>
      </c>
      <c r="Q30" s="5" t="s">
        <v>728</v>
      </c>
      <c r="R30" s="5" t="s">
        <v>729</v>
      </c>
      <c r="S30" s="5" t="s">
        <v>7</v>
      </c>
      <c r="T30" s="6">
        <v>33496</v>
      </c>
      <c r="U30" s="5" t="s">
        <v>42</v>
      </c>
      <c r="V30" s="5" t="s">
        <v>806</v>
      </c>
      <c r="W30" s="7">
        <v>24</v>
      </c>
      <c r="X30" s="7">
        <v>16</v>
      </c>
      <c r="Y30" s="7">
        <v>17</v>
      </c>
      <c r="Z30" s="7">
        <v>8</v>
      </c>
      <c r="AA30" s="7">
        <v>9</v>
      </c>
      <c r="AB30" s="8">
        <v>74</v>
      </c>
    </row>
    <row r="31" spans="1:28" x14ac:dyDescent="0.15">
      <c r="A31" s="4" t="s">
        <v>843</v>
      </c>
      <c r="B31" s="5" t="s">
        <v>492</v>
      </c>
      <c r="C31" s="5" t="s">
        <v>493</v>
      </c>
      <c r="D31" s="5" t="s">
        <v>7</v>
      </c>
      <c r="E31" s="6">
        <v>33241</v>
      </c>
      <c r="F31" s="5" t="s">
        <v>8</v>
      </c>
      <c r="G31" s="5" t="s">
        <v>797</v>
      </c>
      <c r="H31" s="7">
        <v>30</v>
      </c>
      <c r="I31" s="7">
        <v>19</v>
      </c>
      <c r="J31" s="7">
        <v>19</v>
      </c>
      <c r="K31" s="7">
        <v>8</v>
      </c>
      <c r="L31" s="7">
        <v>9</v>
      </c>
      <c r="M31" s="8">
        <f t="shared" si="0"/>
        <v>85</v>
      </c>
      <c r="P31" s="4" t="s">
        <v>1183</v>
      </c>
      <c r="Q31" s="5" t="s">
        <v>744</v>
      </c>
      <c r="R31" s="5" t="s">
        <v>745</v>
      </c>
      <c r="S31" s="5" t="s">
        <v>7</v>
      </c>
      <c r="T31" s="6">
        <v>33484</v>
      </c>
      <c r="U31" s="5" t="s">
        <v>8</v>
      </c>
      <c r="V31" s="5" t="s">
        <v>806</v>
      </c>
      <c r="W31" s="7">
        <v>33</v>
      </c>
      <c r="X31" s="7">
        <v>17</v>
      </c>
      <c r="Y31" s="7">
        <v>11</v>
      </c>
      <c r="Z31" s="7">
        <v>6</v>
      </c>
      <c r="AA31" s="7">
        <v>5</v>
      </c>
      <c r="AB31" s="8">
        <v>72</v>
      </c>
    </row>
    <row r="32" spans="1:28" x14ac:dyDescent="0.15">
      <c r="A32" s="4" t="s">
        <v>844</v>
      </c>
      <c r="B32" s="5" t="s">
        <v>494</v>
      </c>
      <c r="C32" s="5" t="s">
        <v>495</v>
      </c>
      <c r="D32" s="5" t="s">
        <v>17</v>
      </c>
      <c r="E32" s="6">
        <v>33347</v>
      </c>
      <c r="F32" s="5" t="s">
        <v>14</v>
      </c>
      <c r="G32" s="5" t="s">
        <v>797</v>
      </c>
      <c r="H32" s="7">
        <v>25</v>
      </c>
      <c r="I32" s="7">
        <v>17</v>
      </c>
      <c r="J32" s="7">
        <v>7</v>
      </c>
      <c r="K32" s="7">
        <v>1</v>
      </c>
      <c r="L32" s="7">
        <v>9</v>
      </c>
      <c r="M32" s="8">
        <f t="shared" si="0"/>
        <v>59</v>
      </c>
      <c r="P32" s="4" t="s">
        <v>1197</v>
      </c>
      <c r="Q32" s="5" t="s">
        <v>772</v>
      </c>
      <c r="R32" s="5" t="s">
        <v>773</v>
      </c>
      <c r="S32" s="5" t="s">
        <v>7</v>
      </c>
      <c r="T32" s="6">
        <v>33335</v>
      </c>
      <c r="U32" s="5" t="s">
        <v>8</v>
      </c>
      <c r="V32" s="5" t="s">
        <v>806</v>
      </c>
      <c r="W32" s="7">
        <v>31</v>
      </c>
      <c r="X32" s="7">
        <v>19</v>
      </c>
      <c r="Y32" s="7">
        <v>20</v>
      </c>
      <c r="Z32" s="7">
        <v>10</v>
      </c>
      <c r="AA32" s="7">
        <v>9</v>
      </c>
      <c r="AB32" s="8">
        <v>89</v>
      </c>
    </row>
    <row r="33" spans="1:28" x14ac:dyDescent="0.15">
      <c r="A33" s="4" t="s">
        <v>845</v>
      </c>
      <c r="B33" s="5" t="s">
        <v>496</v>
      </c>
      <c r="C33" s="5" t="s">
        <v>497</v>
      </c>
      <c r="D33" s="5" t="s">
        <v>7</v>
      </c>
      <c r="E33" s="6">
        <v>33618</v>
      </c>
      <c r="F33" s="5" t="s">
        <v>14</v>
      </c>
      <c r="G33" s="5" t="s">
        <v>797</v>
      </c>
      <c r="H33" s="7">
        <v>31</v>
      </c>
      <c r="I33" s="7">
        <v>15</v>
      </c>
      <c r="J33" s="7">
        <v>20</v>
      </c>
      <c r="K33" s="7">
        <v>4</v>
      </c>
      <c r="L33" s="7">
        <v>6</v>
      </c>
      <c r="M33" s="8">
        <f t="shared" si="0"/>
        <v>76</v>
      </c>
      <c r="P33" s="4" t="s">
        <v>1199</v>
      </c>
      <c r="Q33" s="5" t="s">
        <v>776</v>
      </c>
      <c r="R33" s="5" t="s">
        <v>777</v>
      </c>
      <c r="S33" s="5" t="s">
        <v>7</v>
      </c>
      <c r="T33" s="6">
        <v>33284</v>
      </c>
      <c r="U33" s="5" t="s">
        <v>42</v>
      </c>
      <c r="V33" s="5" t="s">
        <v>806</v>
      </c>
      <c r="W33" s="7">
        <v>32</v>
      </c>
      <c r="X33" s="7">
        <v>19</v>
      </c>
      <c r="Y33" s="7">
        <v>20</v>
      </c>
      <c r="Z33" s="7">
        <v>8</v>
      </c>
      <c r="AA33" s="7">
        <v>9</v>
      </c>
      <c r="AB33" s="8">
        <v>88</v>
      </c>
    </row>
    <row r="34" spans="1:28" x14ac:dyDescent="0.15">
      <c r="A34" s="4" t="s">
        <v>846</v>
      </c>
      <c r="B34" s="5" t="s">
        <v>498</v>
      </c>
      <c r="C34" s="5" t="s">
        <v>499</v>
      </c>
      <c r="D34" s="5" t="s">
        <v>7</v>
      </c>
      <c r="E34" s="6">
        <v>33516</v>
      </c>
      <c r="F34" s="5" t="s">
        <v>14</v>
      </c>
      <c r="G34" s="5" t="s">
        <v>797</v>
      </c>
      <c r="H34" s="7">
        <v>29</v>
      </c>
      <c r="I34" s="7">
        <v>19</v>
      </c>
      <c r="J34" s="7">
        <v>16</v>
      </c>
      <c r="K34" s="7">
        <v>6</v>
      </c>
      <c r="L34" s="7">
        <v>9</v>
      </c>
      <c r="M34" s="8">
        <f t="shared" si="0"/>
        <v>79</v>
      </c>
    </row>
    <row r="35" spans="1:28" x14ac:dyDescent="0.15">
      <c r="A35" s="4" t="s">
        <v>847</v>
      </c>
      <c r="B35" s="5" t="s">
        <v>500</v>
      </c>
      <c r="C35" s="5" t="s">
        <v>501</v>
      </c>
      <c r="D35" s="5" t="s">
        <v>7</v>
      </c>
      <c r="E35" s="6">
        <v>33383</v>
      </c>
      <c r="F35" s="5" t="s">
        <v>14</v>
      </c>
      <c r="G35" s="5" t="s">
        <v>797</v>
      </c>
      <c r="H35" s="7">
        <v>25</v>
      </c>
      <c r="I35" s="7">
        <v>18</v>
      </c>
      <c r="J35" s="7">
        <v>20</v>
      </c>
      <c r="K35" s="7">
        <v>9</v>
      </c>
      <c r="L35" s="7">
        <v>10</v>
      </c>
      <c r="M35" s="8">
        <f t="shared" si="0"/>
        <v>82</v>
      </c>
    </row>
    <row r="36" spans="1:28" x14ac:dyDescent="0.15">
      <c r="A36" s="4" t="s">
        <v>848</v>
      </c>
      <c r="B36" s="5" t="s">
        <v>502</v>
      </c>
      <c r="C36" s="5" t="s">
        <v>503</v>
      </c>
      <c r="D36" s="5" t="s">
        <v>17</v>
      </c>
      <c r="E36" s="6">
        <v>33427</v>
      </c>
      <c r="F36" s="5" t="s">
        <v>14</v>
      </c>
      <c r="G36" s="5" t="s">
        <v>797</v>
      </c>
      <c r="H36" s="7">
        <v>33</v>
      </c>
      <c r="I36" s="7">
        <v>19</v>
      </c>
      <c r="J36" s="7">
        <v>15</v>
      </c>
      <c r="K36" s="7">
        <v>9</v>
      </c>
      <c r="L36" s="7">
        <v>9</v>
      </c>
      <c r="M36" s="8">
        <f t="shared" si="0"/>
        <v>85</v>
      </c>
    </row>
    <row r="37" spans="1:28" x14ac:dyDescent="0.15">
      <c r="A37" s="4" t="s">
        <v>849</v>
      </c>
      <c r="B37" s="5" t="s">
        <v>504</v>
      </c>
      <c r="C37" s="5" t="s">
        <v>505</v>
      </c>
      <c r="D37" s="5" t="s">
        <v>7</v>
      </c>
      <c r="E37" s="6">
        <v>33514</v>
      </c>
      <c r="F37" s="5" t="s">
        <v>42</v>
      </c>
      <c r="G37" s="5" t="s">
        <v>797</v>
      </c>
      <c r="H37" s="7">
        <v>34</v>
      </c>
      <c r="I37" s="7">
        <v>19</v>
      </c>
      <c r="J37" s="7">
        <v>19</v>
      </c>
      <c r="K37" s="7">
        <v>10</v>
      </c>
      <c r="L37" s="7">
        <v>10</v>
      </c>
      <c r="M37" s="8">
        <f t="shared" si="0"/>
        <v>92</v>
      </c>
    </row>
    <row r="38" spans="1:28" x14ac:dyDescent="0.15">
      <c r="A38" s="4" t="s">
        <v>850</v>
      </c>
      <c r="B38" s="5" t="s">
        <v>506</v>
      </c>
      <c r="C38" s="5" t="s">
        <v>507</v>
      </c>
      <c r="D38" s="5" t="s">
        <v>7</v>
      </c>
      <c r="E38" s="6">
        <v>33274</v>
      </c>
      <c r="F38" s="5" t="s">
        <v>14</v>
      </c>
      <c r="G38" s="5" t="s">
        <v>797</v>
      </c>
      <c r="H38" s="7">
        <v>26</v>
      </c>
      <c r="I38" s="7">
        <v>17</v>
      </c>
      <c r="J38" s="7">
        <v>17</v>
      </c>
      <c r="K38" s="7">
        <v>7</v>
      </c>
      <c r="L38" s="7">
        <v>9</v>
      </c>
      <c r="M38" s="8">
        <f t="shared" si="0"/>
        <v>76</v>
      </c>
    </row>
    <row r="39" spans="1:28" x14ac:dyDescent="0.15">
      <c r="A39" s="4" t="s">
        <v>851</v>
      </c>
      <c r="B39" s="5" t="s">
        <v>508</v>
      </c>
      <c r="C39" s="5" t="s">
        <v>509</v>
      </c>
      <c r="D39" s="5" t="s">
        <v>7</v>
      </c>
      <c r="E39" s="6">
        <v>33516</v>
      </c>
      <c r="F39" s="5" t="s">
        <v>14</v>
      </c>
      <c r="G39" s="5" t="s">
        <v>797</v>
      </c>
      <c r="H39" s="7">
        <v>26</v>
      </c>
      <c r="I39" s="7">
        <v>19</v>
      </c>
      <c r="J39" s="7">
        <v>19</v>
      </c>
      <c r="K39" s="7">
        <v>7</v>
      </c>
      <c r="L39" s="7">
        <v>9</v>
      </c>
      <c r="M39" s="8">
        <f t="shared" si="0"/>
        <v>80</v>
      </c>
    </row>
    <row r="40" spans="1:28" x14ac:dyDescent="0.15">
      <c r="A40" s="4" t="s">
        <v>852</v>
      </c>
      <c r="B40" s="5" t="s">
        <v>510</v>
      </c>
      <c r="C40" s="5" t="s">
        <v>511</v>
      </c>
      <c r="D40" s="5" t="s">
        <v>7</v>
      </c>
      <c r="E40" s="6">
        <v>33243</v>
      </c>
      <c r="F40" s="5" t="s">
        <v>14</v>
      </c>
      <c r="G40" s="5" t="s">
        <v>797</v>
      </c>
      <c r="H40" s="7">
        <v>30</v>
      </c>
      <c r="I40" s="7">
        <v>17</v>
      </c>
      <c r="J40" s="7">
        <v>19</v>
      </c>
      <c r="K40" s="7">
        <v>4</v>
      </c>
      <c r="L40" s="7">
        <v>2</v>
      </c>
      <c r="M40" s="8">
        <f t="shared" si="0"/>
        <v>72</v>
      </c>
    </row>
    <row r="41" spans="1:28" x14ac:dyDescent="0.15">
      <c r="A41" s="4" t="s">
        <v>853</v>
      </c>
      <c r="B41" s="5" t="s">
        <v>512</v>
      </c>
      <c r="C41" s="5" t="s">
        <v>513</v>
      </c>
      <c r="D41" s="5" t="s">
        <v>7</v>
      </c>
      <c r="E41" s="6">
        <v>33285</v>
      </c>
      <c r="F41" s="5" t="s">
        <v>14</v>
      </c>
      <c r="G41" s="5" t="s">
        <v>797</v>
      </c>
      <c r="H41" s="7">
        <v>22</v>
      </c>
      <c r="I41" s="7">
        <v>15</v>
      </c>
      <c r="J41" s="7">
        <v>18</v>
      </c>
      <c r="K41" s="7">
        <v>7</v>
      </c>
      <c r="L41" s="7">
        <v>8</v>
      </c>
      <c r="M41" s="8">
        <f t="shared" si="0"/>
        <v>70</v>
      </c>
    </row>
    <row r="42" spans="1:28" x14ac:dyDescent="0.15">
      <c r="A42" s="4" t="s">
        <v>854</v>
      </c>
      <c r="B42" s="5" t="s">
        <v>514</v>
      </c>
      <c r="C42" s="5" t="s">
        <v>515</v>
      </c>
      <c r="D42" s="5" t="s">
        <v>7</v>
      </c>
      <c r="E42" s="6">
        <v>33424</v>
      </c>
      <c r="F42" s="5" t="s">
        <v>61</v>
      </c>
      <c r="G42" s="5" t="s">
        <v>797</v>
      </c>
      <c r="H42" s="7">
        <v>29</v>
      </c>
      <c r="I42" s="7">
        <v>18</v>
      </c>
      <c r="J42" s="7">
        <v>20</v>
      </c>
      <c r="K42" s="7">
        <v>8</v>
      </c>
      <c r="L42" s="7">
        <v>10</v>
      </c>
      <c r="M42" s="8">
        <f t="shared" si="0"/>
        <v>85</v>
      </c>
    </row>
    <row r="43" spans="1:28" x14ac:dyDescent="0.15">
      <c r="A43" s="4" t="s">
        <v>855</v>
      </c>
      <c r="B43" s="5" t="s">
        <v>516</v>
      </c>
      <c r="C43" s="5" t="s">
        <v>517</v>
      </c>
      <c r="D43" s="5" t="s">
        <v>7</v>
      </c>
      <c r="E43" s="6">
        <v>33433</v>
      </c>
      <c r="F43" s="5" t="s">
        <v>14</v>
      </c>
      <c r="G43" s="5" t="s">
        <v>797</v>
      </c>
      <c r="H43" s="7">
        <v>30</v>
      </c>
      <c r="I43" s="7">
        <v>19</v>
      </c>
      <c r="J43" s="7">
        <v>18</v>
      </c>
      <c r="K43" s="7">
        <v>9</v>
      </c>
      <c r="L43" s="7">
        <v>10</v>
      </c>
      <c r="M43" s="8">
        <f t="shared" si="0"/>
        <v>86</v>
      </c>
    </row>
    <row r="44" spans="1:28" x14ac:dyDescent="0.15">
      <c r="A44" s="4" t="s">
        <v>856</v>
      </c>
      <c r="B44" s="5" t="s">
        <v>518</v>
      </c>
      <c r="C44" s="5" t="s">
        <v>519</v>
      </c>
      <c r="D44" s="5" t="s">
        <v>7</v>
      </c>
      <c r="E44" s="6">
        <v>33386</v>
      </c>
      <c r="F44" s="5" t="s">
        <v>14</v>
      </c>
      <c r="G44" s="5" t="s">
        <v>797</v>
      </c>
      <c r="H44" s="7">
        <v>31</v>
      </c>
      <c r="I44" s="7">
        <v>17</v>
      </c>
      <c r="J44" s="7">
        <v>18</v>
      </c>
      <c r="K44" s="7">
        <v>8</v>
      </c>
      <c r="L44" s="7">
        <v>9</v>
      </c>
      <c r="M44" s="8">
        <f t="shared" si="0"/>
        <v>83</v>
      </c>
    </row>
    <row r="45" spans="1:28" x14ac:dyDescent="0.15">
      <c r="A45" s="4" t="s">
        <v>857</v>
      </c>
      <c r="B45" s="5" t="s">
        <v>520</v>
      </c>
      <c r="C45" s="5" t="s">
        <v>521</v>
      </c>
      <c r="D45" s="5" t="s">
        <v>17</v>
      </c>
      <c r="E45" s="6">
        <v>33360</v>
      </c>
      <c r="F45" s="5" t="s">
        <v>8</v>
      </c>
      <c r="G45" s="5" t="s">
        <v>797</v>
      </c>
      <c r="H45" s="7">
        <v>27</v>
      </c>
      <c r="I45" s="7">
        <v>17</v>
      </c>
      <c r="J45" s="7">
        <v>16</v>
      </c>
      <c r="K45" s="7">
        <v>3</v>
      </c>
      <c r="L45" s="7">
        <v>8</v>
      </c>
      <c r="M45" s="8">
        <f t="shared" si="0"/>
        <v>71</v>
      </c>
    </row>
    <row r="46" spans="1:28" x14ac:dyDescent="0.15">
      <c r="A46" s="4" t="s">
        <v>858</v>
      </c>
      <c r="B46" s="5" t="s">
        <v>522</v>
      </c>
      <c r="C46" s="5" t="s">
        <v>523</v>
      </c>
      <c r="D46" s="5" t="s">
        <v>7</v>
      </c>
      <c r="E46" s="6">
        <v>33380</v>
      </c>
      <c r="F46" s="5" t="s">
        <v>14</v>
      </c>
      <c r="G46" s="5" t="s">
        <v>797</v>
      </c>
      <c r="H46" s="7">
        <v>15</v>
      </c>
      <c r="I46" s="7">
        <v>18</v>
      </c>
      <c r="J46" s="7">
        <v>20</v>
      </c>
      <c r="K46" s="7">
        <v>7</v>
      </c>
      <c r="L46" s="7">
        <v>6</v>
      </c>
      <c r="M46" s="8">
        <f t="shared" si="0"/>
        <v>66</v>
      </c>
    </row>
    <row r="47" spans="1:28" x14ac:dyDescent="0.15">
      <c r="A47" s="4" t="s">
        <v>859</v>
      </c>
      <c r="B47" s="5" t="s">
        <v>524</v>
      </c>
      <c r="C47" s="5" t="s">
        <v>525</v>
      </c>
      <c r="D47" s="5" t="s">
        <v>7</v>
      </c>
      <c r="E47" s="6">
        <v>33387</v>
      </c>
      <c r="F47" s="5" t="s">
        <v>14</v>
      </c>
      <c r="G47" s="5" t="s">
        <v>797</v>
      </c>
      <c r="H47" s="7">
        <v>33</v>
      </c>
      <c r="I47" s="7">
        <v>19</v>
      </c>
      <c r="J47" s="7">
        <v>19</v>
      </c>
      <c r="K47" s="7">
        <v>7</v>
      </c>
      <c r="L47" s="7">
        <v>9</v>
      </c>
      <c r="M47" s="8">
        <f t="shared" si="0"/>
        <v>87</v>
      </c>
    </row>
    <row r="48" spans="1:28" x14ac:dyDescent="0.15">
      <c r="A48" s="4" t="s">
        <v>860</v>
      </c>
      <c r="B48" s="5" t="s">
        <v>526</v>
      </c>
      <c r="C48" s="5" t="s">
        <v>527</v>
      </c>
      <c r="D48" s="5" t="s">
        <v>17</v>
      </c>
      <c r="E48" s="6">
        <v>33310</v>
      </c>
      <c r="F48" s="5" t="s">
        <v>11</v>
      </c>
      <c r="G48" s="5" t="s">
        <v>797</v>
      </c>
      <c r="H48" s="7">
        <v>21</v>
      </c>
      <c r="I48" s="7">
        <v>19</v>
      </c>
      <c r="J48" s="7">
        <v>20</v>
      </c>
      <c r="K48" s="7">
        <v>10</v>
      </c>
      <c r="L48" s="7">
        <v>10</v>
      </c>
      <c r="M48" s="8">
        <f t="shared" si="0"/>
        <v>80</v>
      </c>
    </row>
    <row r="49" spans="1:13" x14ac:dyDescent="0.15">
      <c r="A49" s="4" t="s">
        <v>861</v>
      </c>
      <c r="B49" s="5" t="s">
        <v>528</v>
      </c>
      <c r="C49" s="5" t="s">
        <v>529</v>
      </c>
      <c r="D49" s="5" t="s">
        <v>7</v>
      </c>
      <c r="E49" s="6">
        <v>33433</v>
      </c>
      <c r="F49" s="5" t="s">
        <v>14</v>
      </c>
      <c r="G49" s="5" t="s">
        <v>797</v>
      </c>
      <c r="H49" s="7">
        <v>24</v>
      </c>
      <c r="I49" s="7">
        <v>18</v>
      </c>
      <c r="J49" s="7">
        <v>3</v>
      </c>
      <c r="K49" s="7">
        <v>9</v>
      </c>
      <c r="L49" s="7">
        <v>9</v>
      </c>
      <c r="M49" s="8">
        <f t="shared" si="0"/>
        <v>63</v>
      </c>
    </row>
    <row r="50" spans="1:13" x14ac:dyDescent="0.15">
      <c r="A50" s="4" t="s">
        <v>862</v>
      </c>
      <c r="B50" s="5" t="s">
        <v>530</v>
      </c>
      <c r="C50" s="5" t="s">
        <v>531</v>
      </c>
      <c r="D50" s="5" t="s">
        <v>17</v>
      </c>
      <c r="E50" s="6">
        <v>33509</v>
      </c>
      <c r="F50" s="5" t="s">
        <v>8</v>
      </c>
      <c r="G50" s="5" t="s">
        <v>797</v>
      </c>
      <c r="H50" s="7">
        <v>22</v>
      </c>
      <c r="I50" s="7">
        <v>12</v>
      </c>
      <c r="J50" s="7">
        <v>0</v>
      </c>
      <c r="K50" s="7">
        <v>1</v>
      </c>
      <c r="L50" s="7">
        <v>6</v>
      </c>
      <c r="M50" s="8">
        <f t="shared" si="0"/>
        <v>41</v>
      </c>
    </row>
    <row r="51" spans="1:13" x14ac:dyDescent="0.15">
      <c r="A51" s="4" t="s">
        <v>863</v>
      </c>
      <c r="B51" s="5" t="s">
        <v>532</v>
      </c>
      <c r="C51" s="5" t="s">
        <v>533</v>
      </c>
      <c r="D51" s="5" t="s">
        <v>7</v>
      </c>
      <c r="E51" s="6">
        <v>33523</v>
      </c>
      <c r="F51" s="5" t="s">
        <v>14</v>
      </c>
      <c r="G51" s="5" t="s">
        <v>797</v>
      </c>
      <c r="H51" s="7">
        <v>29</v>
      </c>
      <c r="I51" s="7">
        <v>17</v>
      </c>
      <c r="J51" s="7">
        <v>17</v>
      </c>
      <c r="K51" s="7">
        <v>9</v>
      </c>
      <c r="L51" s="7">
        <v>10</v>
      </c>
      <c r="M51" s="8">
        <f t="shared" si="0"/>
        <v>82</v>
      </c>
    </row>
    <row r="52" spans="1:13" x14ac:dyDescent="0.15">
      <c r="A52" s="4" t="s">
        <v>864</v>
      </c>
      <c r="B52" s="5" t="s">
        <v>534</v>
      </c>
      <c r="C52" s="5" t="s">
        <v>535</v>
      </c>
      <c r="D52" s="5" t="s">
        <v>7</v>
      </c>
      <c r="E52" s="6">
        <v>33269</v>
      </c>
      <c r="F52" s="5" t="s">
        <v>14</v>
      </c>
      <c r="G52" s="5" t="s">
        <v>797</v>
      </c>
      <c r="H52" s="7">
        <v>31</v>
      </c>
      <c r="I52" s="7">
        <v>17</v>
      </c>
      <c r="J52" s="7">
        <v>16</v>
      </c>
      <c r="K52" s="7">
        <v>3</v>
      </c>
      <c r="L52" s="7">
        <v>7</v>
      </c>
      <c r="M52" s="8">
        <f t="shared" si="0"/>
        <v>74</v>
      </c>
    </row>
    <row r="53" spans="1:13" x14ac:dyDescent="0.15">
      <c r="A53" s="4" t="s">
        <v>865</v>
      </c>
      <c r="B53" s="5" t="s">
        <v>536</v>
      </c>
      <c r="C53" s="5" t="s">
        <v>537</v>
      </c>
      <c r="D53" s="5" t="s">
        <v>7</v>
      </c>
      <c r="E53" s="6">
        <v>33385</v>
      </c>
      <c r="F53" s="5" t="s">
        <v>14</v>
      </c>
      <c r="G53" s="5" t="s">
        <v>797</v>
      </c>
      <c r="H53" s="7">
        <v>27</v>
      </c>
      <c r="I53" s="7">
        <v>15</v>
      </c>
      <c r="J53" s="7">
        <v>17</v>
      </c>
      <c r="K53" s="7">
        <v>6</v>
      </c>
      <c r="L53" s="7">
        <v>4</v>
      </c>
      <c r="M53" s="8">
        <f t="shared" si="0"/>
        <v>69</v>
      </c>
    </row>
    <row r="54" spans="1:13" x14ac:dyDescent="0.15">
      <c r="A54" s="4" t="s">
        <v>866</v>
      </c>
      <c r="B54" s="5" t="s">
        <v>538</v>
      </c>
      <c r="C54" s="5" t="s">
        <v>539</v>
      </c>
      <c r="D54" s="5" t="s">
        <v>17</v>
      </c>
      <c r="E54" s="6">
        <v>33265</v>
      </c>
      <c r="F54" s="5" t="s">
        <v>14</v>
      </c>
      <c r="G54" s="5" t="s">
        <v>797</v>
      </c>
      <c r="H54" s="7">
        <v>21</v>
      </c>
      <c r="I54" s="7">
        <v>0</v>
      </c>
      <c r="J54" s="7">
        <v>0</v>
      </c>
      <c r="K54" s="7">
        <v>1</v>
      </c>
      <c r="L54" s="7">
        <v>0</v>
      </c>
      <c r="M54" s="8">
        <f t="shared" si="0"/>
        <v>0</v>
      </c>
    </row>
    <row r="55" spans="1:13" x14ac:dyDescent="0.15">
      <c r="A55" s="4" t="s">
        <v>867</v>
      </c>
      <c r="B55" s="5" t="s">
        <v>540</v>
      </c>
      <c r="C55" s="5" t="s">
        <v>541</v>
      </c>
      <c r="D55" s="5" t="s">
        <v>7</v>
      </c>
      <c r="E55" s="6">
        <v>33384</v>
      </c>
      <c r="F55" s="5" t="s">
        <v>14</v>
      </c>
      <c r="G55" s="5" t="s">
        <v>797</v>
      </c>
      <c r="H55" s="7">
        <v>29</v>
      </c>
      <c r="I55" s="7">
        <v>19</v>
      </c>
      <c r="J55" s="7">
        <v>20</v>
      </c>
      <c r="K55" s="7">
        <v>5</v>
      </c>
      <c r="L55" s="7">
        <v>9</v>
      </c>
      <c r="M55" s="8">
        <f t="shared" si="0"/>
        <v>82</v>
      </c>
    </row>
    <row r="56" spans="1:13" x14ac:dyDescent="0.15">
      <c r="A56" s="4" t="s">
        <v>868</v>
      </c>
      <c r="B56" s="5" t="s">
        <v>542</v>
      </c>
      <c r="C56" s="5" t="s">
        <v>543</v>
      </c>
      <c r="D56" s="5" t="s">
        <v>7</v>
      </c>
      <c r="E56" s="6">
        <v>33517</v>
      </c>
      <c r="F56" s="5" t="s">
        <v>14</v>
      </c>
      <c r="G56" s="5" t="s">
        <v>797</v>
      </c>
      <c r="H56" s="7">
        <v>30</v>
      </c>
      <c r="I56" s="7">
        <v>19</v>
      </c>
      <c r="J56" s="7">
        <v>19</v>
      </c>
      <c r="K56" s="7">
        <v>9</v>
      </c>
      <c r="L56" s="7">
        <v>9</v>
      </c>
      <c r="M56" s="8">
        <f t="shared" si="0"/>
        <v>86</v>
      </c>
    </row>
    <row r="57" spans="1:13" x14ac:dyDescent="0.15">
      <c r="A57" s="4" t="s">
        <v>869</v>
      </c>
      <c r="B57" s="5" t="s">
        <v>544</v>
      </c>
      <c r="C57" s="5" t="s">
        <v>545</v>
      </c>
      <c r="D57" s="5" t="s">
        <v>7</v>
      </c>
      <c r="E57" s="6">
        <v>33547</v>
      </c>
      <c r="F57" s="5" t="s">
        <v>14</v>
      </c>
      <c r="G57" s="5" t="s">
        <v>797</v>
      </c>
      <c r="H57" s="7">
        <v>17</v>
      </c>
      <c r="I57" s="7">
        <v>18</v>
      </c>
      <c r="J57" s="7">
        <v>18</v>
      </c>
      <c r="K57" s="7">
        <v>10</v>
      </c>
      <c r="L57" s="7">
        <v>9</v>
      </c>
      <c r="M57" s="8">
        <f t="shared" si="0"/>
        <v>72</v>
      </c>
    </row>
    <row r="58" spans="1:13" x14ac:dyDescent="0.15">
      <c r="A58" s="4" t="s">
        <v>870</v>
      </c>
      <c r="B58" s="5" t="s">
        <v>795</v>
      </c>
      <c r="C58" s="5" t="s">
        <v>796</v>
      </c>
      <c r="D58" s="5" t="s">
        <v>17</v>
      </c>
      <c r="E58" s="6">
        <v>33561</v>
      </c>
      <c r="F58" s="5" t="s">
        <v>14</v>
      </c>
      <c r="G58" s="5" t="s">
        <v>797</v>
      </c>
      <c r="H58" s="7">
        <v>24</v>
      </c>
      <c r="I58" s="7">
        <v>20</v>
      </c>
      <c r="J58" s="7">
        <v>18</v>
      </c>
      <c r="K58" s="7">
        <v>8</v>
      </c>
      <c r="L58" s="7">
        <v>9</v>
      </c>
      <c r="M58" s="8">
        <f t="shared" si="0"/>
        <v>79</v>
      </c>
    </row>
    <row r="59" spans="1:13" x14ac:dyDescent="0.15">
      <c r="A59" s="4" t="s">
        <v>871</v>
      </c>
      <c r="B59" s="5" t="s">
        <v>36</v>
      </c>
      <c r="C59" s="5" t="s">
        <v>37</v>
      </c>
      <c r="D59" s="5" t="s">
        <v>7</v>
      </c>
      <c r="E59" s="6">
        <v>33565</v>
      </c>
      <c r="F59" s="5" t="s">
        <v>14</v>
      </c>
      <c r="G59" s="5" t="s">
        <v>798</v>
      </c>
      <c r="H59" s="7">
        <v>25</v>
      </c>
      <c r="I59" s="7">
        <v>20</v>
      </c>
      <c r="J59" s="7">
        <v>18</v>
      </c>
      <c r="K59" s="7">
        <v>9</v>
      </c>
      <c r="L59" s="7">
        <v>9</v>
      </c>
      <c r="M59" s="8">
        <f t="shared" si="0"/>
        <v>81</v>
      </c>
    </row>
    <row r="60" spans="1:13" x14ac:dyDescent="0.15">
      <c r="A60" s="4" t="s">
        <v>872</v>
      </c>
      <c r="B60" s="5" t="s">
        <v>38</v>
      </c>
      <c r="C60" s="5" t="s">
        <v>39</v>
      </c>
      <c r="D60" s="5" t="s">
        <v>17</v>
      </c>
      <c r="E60" s="6">
        <v>33356</v>
      </c>
      <c r="F60" s="5" t="s">
        <v>14</v>
      </c>
      <c r="G60" s="5" t="s">
        <v>798</v>
      </c>
      <c r="H60" s="7">
        <v>31</v>
      </c>
      <c r="I60" s="7">
        <v>16</v>
      </c>
      <c r="J60" s="7">
        <v>6</v>
      </c>
      <c r="K60" s="7">
        <v>0</v>
      </c>
      <c r="L60" s="7">
        <v>3</v>
      </c>
      <c r="M60" s="8">
        <f t="shared" si="0"/>
        <v>56</v>
      </c>
    </row>
    <row r="61" spans="1:13" x14ac:dyDescent="0.15">
      <c r="A61" s="4" t="s">
        <v>873</v>
      </c>
      <c r="B61" s="5" t="s">
        <v>40</v>
      </c>
      <c r="C61" s="5" t="s">
        <v>41</v>
      </c>
      <c r="D61" s="5" t="s">
        <v>17</v>
      </c>
      <c r="E61" s="6">
        <v>33239</v>
      </c>
      <c r="F61" s="5" t="s">
        <v>42</v>
      </c>
      <c r="G61" s="5" t="s">
        <v>798</v>
      </c>
      <c r="H61" s="7">
        <v>31</v>
      </c>
      <c r="I61" s="7">
        <v>18</v>
      </c>
      <c r="J61" s="7">
        <v>19</v>
      </c>
      <c r="K61" s="7">
        <v>10</v>
      </c>
      <c r="L61" s="7">
        <v>9</v>
      </c>
      <c r="M61" s="8">
        <f t="shared" si="0"/>
        <v>87</v>
      </c>
    </row>
    <row r="62" spans="1:13" x14ac:dyDescent="0.15">
      <c r="A62" s="4" t="s">
        <v>874</v>
      </c>
      <c r="B62" s="5" t="s">
        <v>43</v>
      </c>
      <c r="C62" s="5" t="s">
        <v>44</v>
      </c>
      <c r="D62" s="5" t="s">
        <v>17</v>
      </c>
      <c r="E62" s="6">
        <v>33399</v>
      </c>
      <c r="F62" s="5" t="s">
        <v>14</v>
      </c>
      <c r="G62" s="5" t="s">
        <v>798</v>
      </c>
      <c r="H62" s="7">
        <v>23</v>
      </c>
      <c r="I62" s="7">
        <v>19</v>
      </c>
      <c r="J62" s="7">
        <v>17</v>
      </c>
      <c r="K62" s="7">
        <v>10</v>
      </c>
      <c r="L62" s="7">
        <v>8</v>
      </c>
      <c r="M62" s="8">
        <f t="shared" si="0"/>
        <v>77</v>
      </c>
    </row>
    <row r="63" spans="1:13" x14ac:dyDescent="0.15">
      <c r="A63" s="4" t="s">
        <v>875</v>
      </c>
      <c r="B63" s="5" t="s">
        <v>45</v>
      </c>
      <c r="C63" s="5" t="s">
        <v>46</v>
      </c>
      <c r="D63" s="5" t="s">
        <v>17</v>
      </c>
      <c r="E63" s="6">
        <v>33365</v>
      </c>
      <c r="F63" s="5" t="s">
        <v>8</v>
      </c>
      <c r="G63" s="5" t="s">
        <v>798</v>
      </c>
      <c r="H63" s="7">
        <v>27</v>
      </c>
      <c r="I63" s="7">
        <v>20</v>
      </c>
      <c r="J63" s="7">
        <v>18</v>
      </c>
      <c r="K63" s="7">
        <v>9</v>
      </c>
      <c r="L63" s="7">
        <v>2</v>
      </c>
      <c r="M63" s="8">
        <f t="shared" si="0"/>
        <v>76</v>
      </c>
    </row>
    <row r="64" spans="1:13" x14ac:dyDescent="0.15">
      <c r="A64" s="4" t="s">
        <v>876</v>
      </c>
      <c r="B64" s="5" t="s">
        <v>47</v>
      </c>
      <c r="C64" s="5" t="s">
        <v>48</v>
      </c>
      <c r="D64" s="5" t="s">
        <v>17</v>
      </c>
      <c r="E64" s="6">
        <v>33514</v>
      </c>
      <c r="F64" s="5" t="s">
        <v>14</v>
      </c>
      <c r="G64" s="5" t="s">
        <v>798</v>
      </c>
      <c r="H64" s="7">
        <v>33</v>
      </c>
      <c r="I64" s="7">
        <v>16</v>
      </c>
      <c r="J64" s="7">
        <v>17</v>
      </c>
      <c r="K64" s="7">
        <v>9</v>
      </c>
      <c r="L64" s="7">
        <v>8</v>
      </c>
      <c r="M64" s="8">
        <f t="shared" si="0"/>
        <v>83</v>
      </c>
    </row>
    <row r="65" spans="1:13" x14ac:dyDescent="0.15">
      <c r="A65" s="4" t="s">
        <v>877</v>
      </c>
      <c r="B65" s="5" t="s">
        <v>49</v>
      </c>
      <c r="C65" s="5" t="s">
        <v>50</v>
      </c>
      <c r="D65" s="5" t="s">
        <v>7</v>
      </c>
      <c r="E65" s="6">
        <v>33397</v>
      </c>
      <c r="F65" s="5" t="s">
        <v>14</v>
      </c>
      <c r="G65" s="5" t="s">
        <v>798</v>
      </c>
      <c r="H65" s="7">
        <v>32</v>
      </c>
      <c r="I65" s="7">
        <v>19</v>
      </c>
      <c r="J65" s="7">
        <v>18</v>
      </c>
      <c r="K65" s="7">
        <v>9</v>
      </c>
      <c r="L65" s="7">
        <v>8</v>
      </c>
      <c r="M65" s="8">
        <f t="shared" si="0"/>
        <v>86</v>
      </c>
    </row>
    <row r="66" spans="1:13" x14ac:dyDescent="0.15">
      <c r="A66" s="4" t="s">
        <v>878</v>
      </c>
      <c r="B66" s="5" t="s">
        <v>51</v>
      </c>
      <c r="C66" s="5" t="s">
        <v>52</v>
      </c>
      <c r="D66" s="5" t="s">
        <v>17</v>
      </c>
      <c r="E66" s="6">
        <v>33381</v>
      </c>
      <c r="F66" s="5" t="s">
        <v>11</v>
      </c>
      <c r="G66" s="5" t="s">
        <v>798</v>
      </c>
      <c r="H66" s="7">
        <v>29</v>
      </c>
      <c r="I66" s="7">
        <v>17</v>
      </c>
      <c r="J66" s="7">
        <v>14</v>
      </c>
      <c r="K66" s="7">
        <v>9</v>
      </c>
      <c r="L66" s="7">
        <v>8</v>
      </c>
      <c r="M66" s="8">
        <f t="shared" si="0"/>
        <v>77</v>
      </c>
    </row>
    <row r="67" spans="1:13" x14ac:dyDescent="0.15">
      <c r="A67" s="4" t="s">
        <v>879</v>
      </c>
      <c r="B67" s="5" t="s">
        <v>53</v>
      </c>
      <c r="C67" s="5" t="s">
        <v>54</v>
      </c>
      <c r="D67" s="5" t="s">
        <v>7</v>
      </c>
      <c r="E67" s="6">
        <v>33309</v>
      </c>
      <c r="F67" s="5" t="s">
        <v>14</v>
      </c>
      <c r="G67" s="5" t="s">
        <v>798</v>
      </c>
      <c r="H67" s="7">
        <v>27</v>
      </c>
      <c r="I67" s="7">
        <v>14</v>
      </c>
      <c r="J67" s="7">
        <v>17</v>
      </c>
      <c r="K67" s="7">
        <v>8</v>
      </c>
      <c r="L67" s="7">
        <v>8</v>
      </c>
      <c r="M67" s="8">
        <f t="shared" si="0"/>
        <v>74</v>
      </c>
    </row>
    <row r="68" spans="1:13" x14ac:dyDescent="0.15">
      <c r="A68" s="4" t="s">
        <v>880</v>
      </c>
      <c r="B68" s="5" t="s">
        <v>55</v>
      </c>
      <c r="C68" s="5" t="s">
        <v>56</v>
      </c>
      <c r="D68" s="5" t="s">
        <v>7</v>
      </c>
      <c r="E68" s="6">
        <v>33261</v>
      </c>
      <c r="F68" s="5" t="s">
        <v>14</v>
      </c>
      <c r="G68" s="5" t="s">
        <v>798</v>
      </c>
      <c r="H68" s="7">
        <v>23</v>
      </c>
      <c r="I68" s="7">
        <v>16</v>
      </c>
      <c r="J68" s="7">
        <v>17</v>
      </c>
      <c r="K68" s="7">
        <v>8</v>
      </c>
      <c r="L68" s="7">
        <v>9</v>
      </c>
      <c r="M68" s="8">
        <f t="shared" ref="M68:M131" si="1">IF(COUNTIF(H68:L68,"=0")&gt;=2,0,SUM(H68:L68))</f>
        <v>73</v>
      </c>
    </row>
    <row r="69" spans="1:13" x14ac:dyDescent="0.15">
      <c r="A69" s="4" t="s">
        <v>881</v>
      </c>
      <c r="B69" s="5" t="s">
        <v>57</v>
      </c>
      <c r="C69" s="5" t="s">
        <v>58</v>
      </c>
      <c r="D69" s="5" t="s">
        <v>7</v>
      </c>
      <c r="E69" s="6">
        <v>33613</v>
      </c>
      <c r="F69" s="5" t="s">
        <v>42</v>
      </c>
      <c r="G69" s="5" t="s">
        <v>798</v>
      </c>
      <c r="H69" s="7">
        <v>20</v>
      </c>
      <c r="I69" s="7">
        <v>17</v>
      </c>
      <c r="J69" s="7">
        <v>18</v>
      </c>
      <c r="K69" s="7">
        <v>8</v>
      </c>
      <c r="L69" s="7">
        <v>9</v>
      </c>
      <c r="M69" s="8">
        <f t="shared" si="1"/>
        <v>72</v>
      </c>
    </row>
    <row r="70" spans="1:13" x14ac:dyDescent="0.15">
      <c r="A70" s="4" t="s">
        <v>882</v>
      </c>
      <c r="B70" s="5" t="s">
        <v>59</v>
      </c>
      <c r="C70" s="5" t="s">
        <v>60</v>
      </c>
      <c r="D70" s="5" t="s">
        <v>17</v>
      </c>
      <c r="E70" s="6">
        <v>33564</v>
      </c>
      <c r="F70" s="5" t="s">
        <v>61</v>
      </c>
      <c r="G70" s="5" t="s">
        <v>798</v>
      </c>
      <c r="H70" s="7">
        <v>17</v>
      </c>
      <c r="I70" s="7">
        <v>19</v>
      </c>
      <c r="J70" s="7">
        <v>19</v>
      </c>
      <c r="K70" s="7">
        <v>9</v>
      </c>
      <c r="L70" s="7">
        <v>8</v>
      </c>
      <c r="M70" s="8">
        <f t="shared" si="1"/>
        <v>72</v>
      </c>
    </row>
    <row r="71" spans="1:13" x14ac:dyDescent="0.15">
      <c r="A71" s="4" t="s">
        <v>883</v>
      </c>
      <c r="B71" s="5" t="s">
        <v>62</v>
      </c>
      <c r="C71" s="5" t="s">
        <v>63</v>
      </c>
      <c r="D71" s="5" t="s">
        <v>7</v>
      </c>
      <c r="E71" s="6">
        <v>33569</v>
      </c>
      <c r="F71" s="5" t="s">
        <v>14</v>
      </c>
      <c r="G71" s="5" t="s">
        <v>798</v>
      </c>
      <c r="H71" s="7">
        <v>20</v>
      </c>
      <c r="I71" s="7">
        <v>20</v>
      </c>
      <c r="J71" s="7">
        <v>19</v>
      </c>
      <c r="K71" s="7">
        <v>9</v>
      </c>
      <c r="L71" s="7">
        <v>9</v>
      </c>
      <c r="M71" s="8">
        <f t="shared" si="1"/>
        <v>77</v>
      </c>
    </row>
    <row r="72" spans="1:13" x14ac:dyDescent="0.15">
      <c r="A72" s="4" t="s">
        <v>884</v>
      </c>
      <c r="B72" s="5" t="s">
        <v>64</v>
      </c>
      <c r="C72" s="5" t="s">
        <v>65</v>
      </c>
      <c r="D72" s="5" t="s">
        <v>17</v>
      </c>
      <c r="E72" s="6">
        <v>33281</v>
      </c>
      <c r="F72" s="5" t="s">
        <v>42</v>
      </c>
      <c r="G72" s="5" t="s">
        <v>798</v>
      </c>
      <c r="H72" s="7">
        <v>25</v>
      </c>
      <c r="I72" s="7">
        <v>18</v>
      </c>
      <c r="J72" s="7">
        <v>15</v>
      </c>
      <c r="K72" s="7">
        <v>10</v>
      </c>
      <c r="L72" s="7">
        <v>5</v>
      </c>
      <c r="M72" s="8">
        <f t="shared" si="1"/>
        <v>73</v>
      </c>
    </row>
    <row r="73" spans="1:13" x14ac:dyDescent="0.15">
      <c r="A73" s="4" t="s">
        <v>885</v>
      </c>
      <c r="B73" s="5" t="s">
        <v>66</v>
      </c>
      <c r="C73" s="5" t="s">
        <v>67</v>
      </c>
      <c r="D73" s="5" t="s">
        <v>17</v>
      </c>
      <c r="E73" s="6">
        <v>33408</v>
      </c>
      <c r="F73" s="5" t="s">
        <v>14</v>
      </c>
      <c r="G73" s="5" t="s">
        <v>798</v>
      </c>
      <c r="H73" s="7">
        <v>21</v>
      </c>
      <c r="I73" s="7">
        <v>16</v>
      </c>
      <c r="J73" s="7">
        <v>3</v>
      </c>
      <c r="K73" s="7">
        <v>10</v>
      </c>
      <c r="L73" s="7">
        <v>8</v>
      </c>
      <c r="M73" s="8">
        <f t="shared" si="1"/>
        <v>58</v>
      </c>
    </row>
    <row r="74" spans="1:13" x14ac:dyDescent="0.15">
      <c r="A74" s="4" t="s">
        <v>886</v>
      </c>
      <c r="B74" s="5" t="s">
        <v>68</v>
      </c>
      <c r="C74" s="5" t="s">
        <v>69</v>
      </c>
      <c r="D74" s="5" t="s">
        <v>17</v>
      </c>
      <c r="E74" s="6">
        <v>33403</v>
      </c>
      <c r="F74" s="5" t="s">
        <v>14</v>
      </c>
      <c r="G74" s="5" t="s">
        <v>798</v>
      </c>
      <c r="H74" s="7">
        <v>19</v>
      </c>
      <c r="I74" s="7">
        <v>16</v>
      </c>
      <c r="J74" s="7">
        <v>5</v>
      </c>
      <c r="K74" s="7">
        <v>5</v>
      </c>
      <c r="L74" s="7">
        <v>7</v>
      </c>
      <c r="M74" s="8">
        <f t="shared" si="1"/>
        <v>52</v>
      </c>
    </row>
    <row r="75" spans="1:13" x14ac:dyDescent="0.15">
      <c r="A75" s="4" t="s">
        <v>887</v>
      </c>
      <c r="B75" s="5" t="s">
        <v>70</v>
      </c>
      <c r="C75" s="5" t="s">
        <v>71</v>
      </c>
      <c r="D75" s="5" t="s">
        <v>7</v>
      </c>
      <c r="E75" s="6">
        <v>33330</v>
      </c>
      <c r="F75" s="5" t="s">
        <v>11</v>
      </c>
      <c r="G75" s="5" t="s">
        <v>798</v>
      </c>
      <c r="H75" s="7">
        <v>23</v>
      </c>
      <c r="I75" s="7">
        <v>11</v>
      </c>
      <c r="J75" s="7">
        <v>12</v>
      </c>
      <c r="K75" s="7">
        <v>4</v>
      </c>
      <c r="L75" s="7">
        <v>0</v>
      </c>
      <c r="M75" s="8">
        <f t="shared" si="1"/>
        <v>50</v>
      </c>
    </row>
    <row r="76" spans="1:13" x14ac:dyDescent="0.15">
      <c r="A76" s="4" t="s">
        <v>888</v>
      </c>
      <c r="B76" s="5" t="s">
        <v>72</v>
      </c>
      <c r="C76" s="5" t="s">
        <v>73</v>
      </c>
      <c r="D76" s="5" t="s">
        <v>7</v>
      </c>
      <c r="E76" s="6">
        <v>33289</v>
      </c>
      <c r="F76" s="5" t="s">
        <v>14</v>
      </c>
      <c r="G76" s="5" t="s">
        <v>798</v>
      </c>
      <c r="H76" s="7">
        <v>16</v>
      </c>
      <c r="I76" s="7">
        <v>19</v>
      </c>
      <c r="J76" s="7">
        <v>14</v>
      </c>
      <c r="K76" s="7">
        <v>9</v>
      </c>
      <c r="L76" s="7">
        <v>1</v>
      </c>
      <c r="M76" s="8">
        <f t="shared" si="1"/>
        <v>59</v>
      </c>
    </row>
    <row r="77" spans="1:13" x14ac:dyDescent="0.15">
      <c r="A77" s="4" t="s">
        <v>889</v>
      </c>
      <c r="B77" s="5" t="s">
        <v>74</v>
      </c>
      <c r="C77" s="5" t="s">
        <v>75</v>
      </c>
      <c r="D77" s="5" t="s">
        <v>7</v>
      </c>
      <c r="E77" s="6">
        <v>33382</v>
      </c>
      <c r="F77" s="5" t="s">
        <v>14</v>
      </c>
      <c r="G77" s="5" t="s">
        <v>798</v>
      </c>
      <c r="H77" s="7">
        <v>25</v>
      </c>
      <c r="I77" s="7">
        <v>18</v>
      </c>
      <c r="J77" s="7">
        <v>18</v>
      </c>
      <c r="K77" s="7">
        <v>10</v>
      </c>
      <c r="L77" s="7">
        <v>8</v>
      </c>
      <c r="M77" s="8">
        <f t="shared" si="1"/>
        <v>79</v>
      </c>
    </row>
    <row r="78" spans="1:13" x14ac:dyDescent="0.15">
      <c r="A78" s="4" t="s">
        <v>890</v>
      </c>
      <c r="B78" s="5" t="s">
        <v>76</v>
      </c>
      <c r="C78" s="5" t="s">
        <v>77</v>
      </c>
      <c r="D78" s="5" t="s">
        <v>7</v>
      </c>
      <c r="E78" s="6">
        <v>33276</v>
      </c>
      <c r="F78" s="5" t="s">
        <v>14</v>
      </c>
      <c r="G78" s="5" t="s">
        <v>798</v>
      </c>
      <c r="H78" s="7">
        <v>26</v>
      </c>
      <c r="I78" s="7">
        <v>18</v>
      </c>
      <c r="J78" s="7">
        <v>8</v>
      </c>
      <c r="K78" s="7">
        <v>9</v>
      </c>
      <c r="L78" s="7">
        <v>0</v>
      </c>
      <c r="M78" s="8">
        <f t="shared" si="1"/>
        <v>61</v>
      </c>
    </row>
    <row r="79" spans="1:13" x14ac:dyDescent="0.15">
      <c r="A79" s="4" t="s">
        <v>891</v>
      </c>
      <c r="B79" s="5" t="s">
        <v>78</v>
      </c>
      <c r="C79" s="5" t="s">
        <v>79</v>
      </c>
      <c r="D79" s="5" t="s">
        <v>7</v>
      </c>
      <c r="E79" s="6">
        <v>33476</v>
      </c>
      <c r="F79" s="5" t="s">
        <v>14</v>
      </c>
      <c r="G79" s="5" t="s">
        <v>798</v>
      </c>
      <c r="H79" s="7">
        <v>19</v>
      </c>
      <c r="I79" s="7">
        <v>14</v>
      </c>
      <c r="J79" s="7">
        <v>19</v>
      </c>
      <c r="K79" s="7">
        <v>7</v>
      </c>
      <c r="L79" s="7">
        <v>0</v>
      </c>
      <c r="M79" s="8">
        <f t="shared" si="1"/>
        <v>59</v>
      </c>
    </row>
    <row r="80" spans="1:13" x14ac:dyDescent="0.15">
      <c r="A80" s="4" t="s">
        <v>892</v>
      </c>
      <c r="B80" s="5" t="s">
        <v>80</v>
      </c>
      <c r="C80" s="5" t="s">
        <v>81</v>
      </c>
      <c r="D80" s="5" t="s">
        <v>7</v>
      </c>
      <c r="E80" s="6">
        <v>33331</v>
      </c>
      <c r="F80" s="5" t="s">
        <v>8</v>
      </c>
      <c r="G80" s="5" t="s">
        <v>798</v>
      </c>
      <c r="H80" s="7">
        <v>22</v>
      </c>
      <c r="I80" s="7">
        <v>13</v>
      </c>
      <c r="J80" s="7">
        <v>4</v>
      </c>
      <c r="K80" s="7">
        <v>4</v>
      </c>
      <c r="L80" s="7">
        <v>0</v>
      </c>
      <c r="M80" s="8">
        <f t="shared" si="1"/>
        <v>43</v>
      </c>
    </row>
    <row r="81" spans="1:13" x14ac:dyDescent="0.15">
      <c r="A81" s="4" t="s">
        <v>893</v>
      </c>
      <c r="B81" s="5" t="s">
        <v>82</v>
      </c>
      <c r="C81" s="5" t="s">
        <v>83</v>
      </c>
      <c r="D81" s="5" t="s">
        <v>7</v>
      </c>
      <c r="E81" s="6">
        <v>33350</v>
      </c>
      <c r="F81" s="5" t="s">
        <v>14</v>
      </c>
      <c r="G81" s="5" t="s">
        <v>798</v>
      </c>
      <c r="H81" s="7">
        <v>16</v>
      </c>
      <c r="I81" s="7">
        <v>19</v>
      </c>
      <c r="J81" s="7">
        <v>17</v>
      </c>
      <c r="K81" s="7">
        <v>3</v>
      </c>
      <c r="L81" s="7">
        <v>0</v>
      </c>
      <c r="M81" s="8">
        <f t="shared" si="1"/>
        <v>55</v>
      </c>
    </row>
    <row r="82" spans="1:13" x14ac:dyDescent="0.15">
      <c r="A82" s="4" t="s">
        <v>894</v>
      </c>
      <c r="B82" s="5" t="s">
        <v>84</v>
      </c>
      <c r="C82" s="5" t="s">
        <v>85</v>
      </c>
      <c r="D82" s="5" t="s">
        <v>7</v>
      </c>
      <c r="E82" s="6">
        <v>33432</v>
      </c>
      <c r="F82" s="5" t="s">
        <v>61</v>
      </c>
      <c r="G82" s="5" t="s">
        <v>798</v>
      </c>
      <c r="H82" s="7">
        <v>32</v>
      </c>
      <c r="I82" s="7">
        <v>14</v>
      </c>
      <c r="J82" s="7">
        <v>8</v>
      </c>
      <c r="K82" s="7">
        <v>9</v>
      </c>
      <c r="L82" s="7">
        <v>1</v>
      </c>
      <c r="M82" s="8">
        <f t="shared" si="1"/>
        <v>64</v>
      </c>
    </row>
    <row r="83" spans="1:13" x14ac:dyDescent="0.15">
      <c r="A83" s="4" t="s">
        <v>895</v>
      </c>
      <c r="B83" s="5" t="s">
        <v>86</v>
      </c>
      <c r="C83" s="5" t="s">
        <v>87</v>
      </c>
      <c r="D83" s="5" t="s">
        <v>17</v>
      </c>
      <c r="E83" s="6">
        <v>33513</v>
      </c>
      <c r="F83" s="5" t="s">
        <v>14</v>
      </c>
      <c r="G83" s="5" t="s">
        <v>798</v>
      </c>
      <c r="H83" s="7">
        <v>13</v>
      </c>
      <c r="I83" s="7">
        <v>19</v>
      </c>
      <c r="J83" s="7">
        <v>17</v>
      </c>
      <c r="K83" s="7">
        <v>9</v>
      </c>
      <c r="L83" s="7">
        <v>1</v>
      </c>
      <c r="M83" s="8">
        <f t="shared" si="1"/>
        <v>59</v>
      </c>
    </row>
    <row r="84" spans="1:13" x14ac:dyDescent="0.15">
      <c r="A84" s="4" t="s">
        <v>896</v>
      </c>
      <c r="B84" s="5" t="s">
        <v>88</v>
      </c>
      <c r="C84" s="5" t="s">
        <v>89</v>
      </c>
      <c r="D84" s="5" t="s">
        <v>17</v>
      </c>
      <c r="E84" s="6">
        <v>33405</v>
      </c>
      <c r="F84" s="5" t="s">
        <v>14</v>
      </c>
      <c r="G84" s="5" t="s">
        <v>798</v>
      </c>
      <c r="H84" s="7">
        <v>21</v>
      </c>
      <c r="I84" s="7">
        <v>15</v>
      </c>
      <c r="J84" s="7">
        <v>15</v>
      </c>
      <c r="K84" s="7">
        <v>10</v>
      </c>
      <c r="L84" s="7">
        <v>8</v>
      </c>
      <c r="M84" s="8">
        <f t="shared" si="1"/>
        <v>69</v>
      </c>
    </row>
    <row r="85" spans="1:13" x14ac:dyDescent="0.15">
      <c r="A85" s="4" t="s">
        <v>897</v>
      </c>
      <c r="B85" s="5" t="s">
        <v>90</v>
      </c>
      <c r="C85" s="5" t="s">
        <v>91</v>
      </c>
      <c r="D85" s="5" t="s">
        <v>17</v>
      </c>
      <c r="E85" s="6">
        <v>33423</v>
      </c>
      <c r="F85" s="5" t="s">
        <v>14</v>
      </c>
      <c r="G85" s="5" t="s">
        <v>798</v>
      </c>
      <c r="H85" s="7">
        <v>17</v>
      </c>
      <c r="I85" s="7">
        <v>19</v>
      </c>
      <c r="J85" s="7">
        <v>11</v>
      </c>
      <c r="K85" s="7">
        <v>8</v>
      </c>
      <c r="L85" s="7">
        <v>0</v>
      </c>
      <c r="M85" s="8">
        <f t="shared" si="1"/>
        <v>55</v>
      </c>
    </row>
    <row r="86" spans="1:13" x14ac:dyDescent="0.15">
      <c r="A86" s="4" t="s">
        <v>898</v>
      </c>
      <c r="B86" s="5" t="s">
        <v>92</v>
      </c>
      <c r="C86" s="5" t="s">
        <v>93</v>
      </c>
      <c r="D86" s="5" t="s">
        <v>7</v>
      </c>
      <c r="E86" s="6">
        <v>33305</v>
      </c>
      <c r="F86" s="5" t="s">
        <v>14</v>
      </c>
      <c r="G86" s="5" t="s">
        <v>798</v>
      </c>
      <c r="H86" s="7">
        <v>19</v>
      </c>
      <c r="I86" s="7">
        <v>18</v>
      </c>
      <c r="J86" s="7">
        <v>3</v>
      </c>
      <c r="K86" s="7">
        <v>8</v>
      </c>
      <c r="L86" s="7">
        <v>0</v>
      </c>
      <c r="M86" s="8">
        <f t="shared" si="1"/>
        <v>48</v>
      </c>
    </row>
    <row r="87" spans="1:13" x14ac:dyDescent="0.15">
      <c r="A87" s="4" t="s">
        <v>899</v>
      </c>
      <c r="B87" s="5" t="s">
        <v>94</v>
      </c>
      <c r="C87" s="5" t="s">
        <v>95</v>
      </c>
      <c r="D87" s="5" t="s">
        <v>7</v>
      </c>
      <c r="E87" s="6">
        <v>33492</v>
      </c>
      <c r="F87" s="5" t="s">
        <v>14</v>
      </c>
      <c r="G87" s="5" t="s">
        <v>798</v>
      </c>
      <c r="H87" s="7">
        <v>16</v>
      </c>
      <c r="I87" s="7">
        <v>17</v>
      </c>
      <c r="J87" s="7">
        <v>9</v>
      </c>
      <c r="K87" s="7">
        <v>8</v>
      </c>
      <c r="L87" s="7">
        <v>7</v>
      </c>
      <c r="M87" s="8">
        <f t="shared" si="1"/>
        <v>57</v>
      </c>
    </row>
    <row r="88" spans="1:13" x14ac:dyDescent="0.15">
      <c r="A88" s="4" t="s">
        <v>900</v>
      </c>
      <c r="B88" s="5" t="s">
        <v>96</v>
      </c>
      <c r="C88" s="5" t="s">
        <v>97</v>
      </c>
      <c r="D88" s="5" t="s">
        <v>17</v>
      </c>
      <c r="E88" s="6">
        <v>33553</v>
      </c>
      <c r="F88" s="5" t="s">
        <v>14</v>
      </c>
      <c r="G88" s="5" t="s">
        <v>798</v>
      </c>
      <c r="H88" s="7">
        <v>17</v>
      </c>
      <c r="I88" s="7">
        <v>19</v>
      </c>
      <c r="J88" s="7">
        <v>18</v>
      </c>
      <c r="K88" s="7">
        <v>10</v>
      </c>
      <c r="L88" s="7">
        <v>9</v>
      </c>
      <c r="M88" s="8">
        <f t="shared" si="1"/>
        <v>73</v>
      </c>
    </row>
    <row r="89" spans="1:13" x14ac:dyDescent="0.15">
      <c r="A89" s="4" t="s">
        <v>901</v>
      </c>
      <c r="B89" s="5" t="s">
        <v>98</v>
      </c>
      <c r="C89" s="5" t="s">
        <v>99</v>
      </c>
      <c r="D89" s="5" t="s">
        <v>17</v>
      </c>
      <c r="E89" s="6">
        <v>33398</v>
      </c>
      <c r="F89" s="5" t="s">
        <v>14</v>
      </c>
      <c r="G89" s="5" t="s">
        <v>798</v>
      </c>
      <c r="H89" s="7">
        <v>14</v>
      </c>
      <c r="I89" s="7">
        <v>20</v>
      </c>
      <c r="J89" s="7">
        <v>1</v>
      </c>
      <c r="K89" s="7">
        <v>0</v>
      </c>
      <c r="L89" s="7">
        <v>2</v>
      </c>
      <c r="M89" s="8">
        <f t="shared" si="1"/>
        <v>37</v>
      </c>
    </row>
    <row r="90" spans="1:13" x14ac:dyDescent="0.15">
      <c r="A90" s="4" t="s">
        <v>902</v>
      </c>
      <c r="B90" s="5" t="s">
        <v>100</v>
      </c>
      <c r="C90" s="5" t="s">
        <v>101</v>
      </c>
      <c r="D90" s="5" t="s">
        <v>17</v>
      </c>
      <c r="E90" s="6">
        <v>33507</v>
      </c>
      <c r="F90" s="5" t="s">
        <v>11</v>
      </c>
      <c r="G90" s="5" t="s">
        <v>798</v>
      </c>
      <c r="H90" s="7">
        <v>21</v>
      </c>
      <c r="I90" s="7">
        <v>17</v>
      </c>
      <c r="J90" s="7">
        <v>19</v>
      </c>
      <c r="K90" s="7">
        <v>9</v>
      </c>
      <c r="L90" s="7">
        <v>4</v>
      </c>
      <c r="M90" s="8">
        <f t="shared" si="1"/>
        <v>70</v>
      </c>
    </row>
    <row r="91" spans="1:13" x14ac:dyDescent="0.15">
      <c r="A91" s="4" t="s">
        <v>903</v>
      </c>
      <c r="B91" s="5" t="s">
        <v>102</v>
      </c>
      <c r="C91" s="5" t="s">
        <v>103</v>
      </c>
      <c r="D91" s="5" t="s">
        <v>7</v>
      </c>
      <c r="E91" s="6">
        <v>33293</v>
      </c>
      <c r="F91" s="5" t="s">
        <v>14</v>
      </c>
      <c r="G91" s="5" t="s">
        <v>798</v>
      </c>
      <c r="H91" s="7">
        <v>22</v>
      </c>
      <c r="I91" s="7">
        <v>18</v>
      </c>
      <c r="J91" s="7">
        <v>15</v>
      </c>
      <c r="K91" s="7">
        <v>9</v>
      </c>
      <c r="L91" s="7">
        <v>8</v>
      </c>
      <c r="M91" s="8">
        <f t="shared" si="1"/>
        <v>72</v>
      </c>
    </row>
    <row r="92" spans="1:13" x14ac:dyDescent="0.15">
      <c r="A92" s="4" t="s">
        <v>904</v>
      </c>
      <c r="B92" s="5" t="s">
        <v>104</v>
      </c>
      <c r="C92" s="5" t="s">
        <v>105</v>
      </c>
      <c r="D92" s="5" t="s">
        <v>7</v>
      </c>
      <c r="E92" s="6">
        <v>33385</v>
      </c>
      <c r="F92" s="5" t="s">
        <v>14</v>
      </c>
      <c r="G92" s="5" t="s">
        <v>798</v>
      </c>
      <c r="H92" s="7">
        <v>14</v>
      </c>
      <c r="I92" s="7">
        <v>17</v>
      </c>
      <c r="J92" s="7">
        <v>4</v>
      </c>
      <c r="K92" s="7">
        <v>7</v>
      </c>
      <c r="L92" s="7">
        <v>1</v>
      </c>
      <c r="M92" s="8">
        <f t="shared" si="1"/>
        <v>43</v>
      </c>
    </row>
    <row r="93" spans="1:13" x14ac:dyDescent="0.15">
      <c r="A93" s="4" t="s">
        <v>905</v>
      </c>
      <c r="B93" s="5" t="s">
        <v>106</v>
      </c>
      <c r="C93" s="5" t="s">
        <v>107</v>
      </c>
      <c r="D93" s="5" t="s">
        <v>17</v>
      </c>
      <c r="E93" s="6">
        <v>33551</v>
      </c>
      <c r="F93" s="5" t="s">
        <v>42</v>
      </c>
      <c r="G93" s="5" t="s">
        <v>798</v>
      </c>
      <c r="H93" s="7">
        <v>28</v>
      </c>
      <c r="I93" s="7">
        <v>15</v>
      </c>
      <c r="J93" s="7">
        <v>17</v>
      </c>
      <c r="K93" s="7">
        <v>3</v>
      </c>
      <c r="L93" s="7">
        <v>1</v>
      </c>
      <c r="M93" s="8">
        <f t="shared" si="1"/>
        <v>64</v>
      </c>
    </row>
    <row r="94" spans="1:13" x14ac:dyDescent="0.15">
      <c r="A94" s="4" t="s">
        <v>906</v>
      </c>
      <c r="B94" s="5" t="s">
        <v>108</v>
      </c>
      <c r="C94" s="5" t="s">
        <v>109</v>
      </c>
      <c r="D94" s="5" t="s">
        <v>7</v>
      </c>
      <c r="E94" s="6">
        <v>33275</v>
      </c>
      <c r="F94" s="5" t="s">
        <v>14</v>
      </c>
      <c r="G94" s="5" t="s">
        <v>799</v>
      </c>
      <c r="H94" s="7">
        <v>20</v>
      </c>
      <c r="I94" s="7">
        <v>13</v>
      </c>
      <c r="J94" s="7">
        <v>18</v>
      </c>
      <c r="K94" s="7">
        <v>4</v>
      </c>
      <c r="L94" s="7">
        <v>7</v>
      </c>
      <c r="M94" s="8">
        <f t="shared" si="1"/>
        <v>62</v>
      </c>
    </row>
    <row r="95" spans="1:13" x14ac:dyDescent="0.15">
      <c r="A95" s="4" t="s">
        <v>907</v>
      </c>
      <c r="B95" s="5" t="s">
        <v>110</v>
      </c>
      <c r="C95" s="5" t="s">
        <v>111</v>
      </c>
      <c r="D95" s="5" t="s">
        <v>7</v>
      </c>
      <c r="E95" s="6">
        <v>33284</v>
      </c>
      <c r="F95" s="5" t="s">
        <v>14</v>
      </c>
      <c r="G95" s="5" t="s">
        <v>799</v>
      </c>
      <c r="H95" s="7">
        <v>14</v>
      </c>
      <c r="I95" s="7">
        <v>16</v>
      </c>
      <c r="J95" s="7">
        <v>20</v>
      </c>
      <c r="K95" s="7">
        <v>10</v>
      </c>
      <c r="L95" s="7">
        <v>2</v>
      </c>
      <c r="M95" s="8">
        <f t="shared" si="1"/>
        <v>62</v>
      </c>
    </row>
    <row r="96" spans="1:13" x14ac:dyDescent="0.15">
      <c r="A96" s="4" t="s">
        <v>908</v>
      </c>
      <c r="B96" s="5" t="s">
        <v>112</v>
      </c>
      <c r="C96" s="5" t="s">
        <v>113</v>
      </c>
      <c r="D96" s="5" t="s">
        <v>17</v>
      </c>
      <c r="E96" s="6">
        <v>33615</v>
      </c>
      <c r="F96" s="5" t="s">
        <v>14</v>
      </c>
      <c r="G96" s="5" t="s">
        <v>799</v>
      </c>
      <c r="H96" s="7">
        <v>23</v>
      </c>
      <c r="I96" s="7">
        <v>17</v>
      </c>
      <c r="J96" s="7">
        <v>18</v>
      </c>
      <c r="K96" s="7">
        <v>7</v>
      </c>
      <c r="L96" s="7">
        <v>4</v>
      </c>
      <c r="M96" s="8">
        <f t="shared" si="1"/>
        <v>69</v>
      </c>
    </row>
    <row r="97" spans="1:13" x14ac:dyDescent="0.15">
      <c r="A97" s="4" t="s">
        <v>909</v>
      </c>
      <c r="B97" s="5" t="s">
        <v>114</v>
      </c>
      <c r="C97" s="5" t="s">
        <v>115</v>
      </c>
      <c r="D97" s="5" t="s">
        <v>7</v>
      </c>
      <c r="E97" s="6">
        <v>33527</v>
      </c>
      <c r="F97" s="5" t="s">
        <v>61</v>
      </c>
      <c r="G97" s="5" t="s">
        <v>799</v>
      </c>
      <c r="H97" s="7">
        <v>22</v>
      </c>
      <c r="I97" s="7">
        <v>0</v>
      </c>
      <c r="J97" s="7">
        <v>0</v>
      </c>
      <c r="K97" s="7">
        <v>1</v>
      </c>
      <c r="L97" s="7">
        <v>3</v>
      </c>
      <c r="M97" s="8">
        <f t="shared" si="1"/>
        <v>0</v>
      </c>
    </row>
    <row r="98" spans="1:13" x14ac:dyDescent="0.15">
      <c r="A98" s="4" t="s">
        <v>910</v>
      </c>
      <c r="B98" s="5" t="s">
        <v>116</v>
      </c>
      <c r="C98" s="5" t="s">
        <v>117</v>
      </c>
      <c r="D98" s="5" t="s">
        <v>7</v>
      </c>
      <c r="E98" s="6">
        <v>33428</v>
      </c>
      <c r="F98" s="5" t="s">
        <v>14</v>
      </c>
      <c r="G98" s="5" t="s">
        <v>799</v>
      </c>
      <c r="H98" s="7">
        <v>12</v>
      </c>
      <c r="I98" s="7">
        <v>17</v>
      </c>
      <c r="J98" s="7">
        <v>18</v>
      </c>
      <c r="K98" s="7">
        <v>5</v>
      </c>
      <c r="L98" s="7">
        <v>6</v>
      </c>
      <c r="M98" s="8">
        <f t="shared" si="1"/>
        <v>58</v>
      </c>
    </row>
    <row r="99" spans="1:13" x14ac:dyDescent="0.15">
      <c r="A99" s="4" t="s">
        <v>911</v>
      </c>
      <c r="B99" s="5" t="s">
        <v>118</v>
      </c>
      <c r="C99" s="5" t="s">
        <v>119</v>
      </c>
      <c r="D99" s="5" t="s">
        <v>7</v>
      </c>
      <c r="E99" s="6">
        <v>33363</v>
      </c>
      <c r="F99" s="5" t="s">
        <v>14</v>
      </c>
      <c r="G99" s="5" t="s">
        <v>799</v>
      </c>
      <c r="H99" s="7">
        <v>19</v>
      </c>
      <c r="I99" s="7">
        <v>18</v>
      </c>
      <c r="J99" s="7">
        <v>16</v>
      </c>
      <c r="K99" s="7">
        <v>8</v>
      </c>
      <c r="L99" s="7">
        <v>6</v>
      </c>
      <c r="M99" s="8">
        <f t="shared" si="1"/>
        <v>67</v>
      </c>
    </row>
    <row r="100" spans="1:13" x14ac:dyDescent="0.15">
      <c r="A100" s="4" t="s">
        <v>912</v>
      </c>
      <c r="B100" s="5" t="s">
        <v>120</v>
      </c>
      <c r="C100" s="5" t="s">
        <v>121</v>
      </c>
      <c r="D100" s="5" t="s">
        <v>17</v>
      </c>
      <c r="E100" s="6">
        <v>33614</v>
      </c>
      <c r="F100" s="5" t="s">
        <v>14</v>
      </c>
      <c r="G100" s="5" t="s">
        <v>799</v>
      </c>
      <c r="H100" s="7">
        <v>25</v>
      </c>
      <c r="I100" s="7">
        <v>14</v>
      </c>
      <c r="J100" s="7">
        <v>4</v>
      </c>
      <c r="K100" s="7">
        <v>4</v>
      </c>
      <c r="L100" s="7">
        <v>8</v>
      </c>
      <c r="M100" s="8">
        <f t="shared" si="1"/>
        <v>55</v>
      </c>
    </row>
    <row r="101" spans="1:13" x14ac:dyDescent="0.15">
      <c r="A101" s="4" t="s">
        <v>913</v>
      </c>
      <c r="B101" s="5" t="s">
        <v>122</v>
      </c>
      <c r="C101" s="5" t="s">
        <v>123</v>
      </c>
      <c r="D101" s="5" t="s">
        <v>17</v>
      </c>
      <c r="E101" s="6">
        <v>33283</v>
      </c>
      <c r="F101" s="5" t="s">
        <v>14</v>
      </c>
      <c r="G101" s="5" t="s">
        <v>799</v>
      </c>
      <c r="H101" s="7">
        <v>24</v>
      </c>
      <c r="I101" s="7">
        <v>16</v>
      </c>
      <c r="J101" s="7">
        <v>16</v>
      </c>
      <c r="K101" s="7">
        <v>8</v>
      </c>
      <c r="L101" s="7">
        <v>8</v>
      </c>
      <c r="M101" s="8">
        <f t="shared" si="1"/>
        <v>72</v>
      </c>
    </row>
    <row r="102" spans="1:13" x14ac:dyDescent="0.15">
      <c r="A102" s="4" t="s">
        <v>914</v>
      </c>
      <c r="B102" s="5" t="s">
        <v>124</v>
      </c>
      <c r="C102" s="5" t="s">
        <v>125</v>
      </c>
      <c r="D102" s="5" t="s">
        <v>17</v>
      </c>
      <c r="E102" s="6">
        <v>33383</v>
      </c>
      <c r="F102" s="5" t="s">
        <v>14</v>
      </c>
      <c r="G102" s="5" t="s">
        <v>799</v>
      </c>
      <c r="H102" s="7">
        <v>17</v>
      </c>
      <c r="I102" s="7">
        <v>19</v>
      </c>
      <c r="J102" s="7">
        <v>19</v>
      </c>
      <c r="K102" s="7">
        <v>8</v>
      </c>
      <c r="L102" s="7">
        <v>8</v>
      </c>
      <c r="M102" s="8">
        <f t="shared" si="1"/>
        <v>71</v>
      </c>
    </row>
    <row r="103" spans="1:13" x14ac:dyDescent="0.15">
      <c r="A103" s="4" t="s">
        <v>915</v>
      </c>
      <c r="B103" s="5" t="s">
        <v>126</v>
      </c>
      <c r="C103" s="5" t="s">
        <v>127</v>
      </c>
      <c r="D103" s="5" t="s">
        <v>7</v>
      </c>
      <c r="E103" s="6">
        <v>33313</v>
      </c>
      <c r="F103" s="5" t="s">
        <v>14</v>
      </c>
      <c r="G103" s="5" t="s">
        <v>799</v>
      </c>
      <c r="H103" s="7">
        <v>17</v>
      </c>
      <c r="I103" s="7">
        <v>19</v>
      </c>
      <c r="J103" s="7">
        <v>19</v>
      </c>
      <c r="K103" s="7">
        <v>8</v>
      </c>
      <c r="L103" s="7">
        <v>6</v>
      </c>
      <c r="M103" s="8">
        <f t="shared" si="1"/>
        <v>69</v>
      </c>
    </row>
    <row r="104" spans="1:13" x14ac:dyDescent="0.15">
      <c r="A104" s="4" t="s">
        <v>916</v>
      </c>
      <c r="B104" s="5" t="s">
        <v>128</v>
      </c>
      <c r="C104" s="5" t="s">
        <v>129</v>
      </c>
      <c r="D104" s="5" t="s">
        <v>7</v>
      </c>
      <c r="E104" s="6">
        <v>33429</v>
      </c>
      <c r="F104" s="5" t="s">
        <v>14</v>
      </c>
      <c r="G104" s="5" t="s">
        <v>799</v>
      </c>
      <c r="H104" s="7">
        <v>24</v>
      </c>
      <c r="I104" s="7">
        <v>20</v>
      </c>
      <c r="J104" s="7">
        <v>20</v>
      </c>
      <c r="K104" s="7">
        <v>6</v>
      </c>
      <c r="L104" s="7">
        <v>2</v>
      </c>
      <c r="M104" s="8">
        <f t="shared" si="1"/>
        <v>72</v>
      </c>
    </row>
    <row r="105" spans="1:13" x14ac:dyDescent="0.15">
      <c r="A105" s="4" t="s">
        <v>917</v>
      </c>
      <c r="B105" s="5" t="s">
        <v>130</v>
      </c>
      <c r="C105" s="5" t="s">
        <v>131</v>
      </c>
      <c r="D105" s="5" t="s">
        <v>7</v>
      </c>
      <c r="E105" s="6">
        <v>33620</v>
      </c>
      <c r="F105" s="5" t="s">
        <v>14</v>
      </c>
      <c r="G105" s="5" t="s">
        <v>799</v>
      </c>
      <c r="H105" s="7">
        <v>13</v>
      </c>
      <c r="I105" s="7">
        <v>15</v>
      </c>
      <c r="J105" s="7">
        <v>5</v>
      </c>
      <c r="K105" s="7">
        <v>6</v>
      </c>
      <c r="L105" s="7">
        <v>0</v>
      </c>
      <c r="M105" s="8">
        <f t="shared" si="1"/>
        <v>39</v>
      </c>
    </row>
    <row r="106" spans="1:13" x14ac:dyDescent="0.15">
      <c r="A106" s="4" t="s">
        <v>918</v>
      </c>
      <c r="B106" s="5" t="s">
        <v>132</v>
      </c>
      <c r="C106" s="5" t="s">
        <v>133</v>
      </c>
      <c r="D106" s="5" t="s">
        <v>17</v>
      </c>
      <c r="E106" s="6">
        <v>33292</v>
      </c>
      <c r="F106" s="5" t="s">
        <v>42</v>
      </c>
      <c r="G106" s="5" t="s">
        <v>799</v>
      </c>
      <c r="H106" s="7">
        <v>23</v>
      </c>
      <c r="I106" s="7">
        <v>15</v>
      </c>
      <c r="J106" s="7">
        <v>19</v>
      </c>
      <c r="K106" s="7">
        <v>6</v>
      </c>
      <c r="L106" s="7">
        <v>9</v>
      </c>
      <c r="M106" s="8">
        <f t="shared" si="1"/>
        <v>72</v>
      </c>
    </row>
    <row r="107" spans="1:13" x14ac:dyDescent="0.15">
      <c r="A107" s="4" t="s">
        <v>919</v>
      </c>
      <c r="B107" s="5" t="s">
        <v>134</v>
      </c>
      <c r="C107" s="5" t="s">
        <v>135</v>
      </c>
      <c r="D107" s="5" t="s">
        <v>17</v>
      </c>
      <c r="E107" s="6">
        <v>33393</v>
      </c>
      <c r="F107" s="5" t="s">
        <v>14</v>
      </c>
      <c r="G107" s="5" t="s">
        <v>799</v>
      </c>
      <c r="H107" s="7">
        <v>21</v>
      </c>
      <c r="I107" s="7">
        <v>17</v>
      </c>
      <c r="J107" s="7">
        <v>17</v>
      </c>
      <c r="K107" s="7">
        <v>6</v>
      </c>
      <c r="L107" s="7">
        <v>9</v>
      </c>
      <c r="M107" s="8">
        <f t="shared" si="1"/>
        <v>70</v>
      </c>
    </row>
    <row r="108" spans="1:13" x14ac:dyDescent="0.15">
      <c r="A108" s="4" t="s">
        <v>920</v>
      </c>
      <c r="B108" s="5" t="s">
        <v>136</v>
      </c>
      <c r="C108" s="5" t="s">
        <v>137</v>
      </c>
      <c r="D108" s="5" t="s">
        <v>7</v>
      </c>
      <c r="E108" s="6">
        <v>33617</v>
      </c>
      <c r="F108" s="5" t="s">
        <v>14</v>
      </c>
      <c r="G108" s="5" t="s">
        <v>799</v>
      </c>
      <c r="H108" s="7">
        <v>18</v>
      </c>
      <c r="I108" s="7">
        <v>16</v>
      </c>
      <c r="J108" s="7">
        <v>20</v>
      </c>
      <c r="K108" s="7">
        <v>8</v>
      </c>
      <c r="L108" s="7">
        <v>9</v>
      </c>
      <c r="M108" s="8">
        <f t="shared" si="1"/>
        <v>71</v>
      </c>
    </row>
    <row r="109" spans="1:13" x14ac:dyDescent="0.15">
      <c r="A109" s="4" t="s">
        <v>921</v>
      </c>
      <c r="B109" s="5" t="s">
        <v>138</v>
      </c>
      <c r="C109" s="5" t="s">
        <v>139</v>
      </c>
      <c r="D109" s="5" t="s">
        <v>7</v>
      </c>
      <c r="E109" s="6">
        <v>33266</v>
      </c>
      <c r="F109" s="5" t="s">
        <v>61</v>
      </c>
      <c r="G109" s="5" t="s">
        <v>799</v>
      </c>
      <c r="H109" s="7">
        <v>8</v>
      </c>
      <c r="I109" s="7">
        <v>0</v>
      </c>
      <c r="J109" s="7">
        <v>9</v>
      </c>
      <c r="K109" s="7">
        <v>0</v>
      </c>
      <c r="L109" s="7">
        <v>0</v>
      </c>
      <c r="M109" s="8">
        <f t="shared" si="1"/>
        <v>0</v>
      </c>
    </row>
    <row r="110" spans="1:13" x14ac:dyDescent="0.15">
      <c r="A110" s="4" t="s">
        <v>922</v>
      </c>
      <c r="B110" s="5" t="s">
        <v>140</v>
      </c>
      <c r="C110" s="5" t="s">
        <v>141</v>
      </c>
      <c r="D110" s="5" t="s">
        <v>7</v>
      </c>
      <c r="E110" s="6">
        <v>33431</v>
      </c>
      <c r="F110" s="5" t="s">
        <v>14</v>
      </c>
      <c r="G110" s="5" t="s">
        <v>799</v>
      </c>
      <c r="H110" s="7">
        <v>18</v>
      </c>
      <c r="I110" s="7">
        <v>13</v>
      </c>
      <c r="J110" s="7">
        <v>11</v>
      </c>
      <c r="K110" s="7">
        <v>0</v>
      </c>
      <c r="L110" s="7">
        <v>0</v>
      </c>
      <c r="M110" s="8">
        <f t="shared" si="1"/>
        <v>0</v>
      </c>
    </row>
    <row r="111" spans="1:13" x14ac:dyDescent="0.15">
      <c r="A111" s="4" t="s">
        <v>923</v>
      </c>
      <c r="B111" s="5" t="s">
        <v>142</v>
      </c>
      <c r="C111" s="5" t="s">
        <v>143</v>
      </c>
      <c r="D111" s="5" t="s">
        <v>17</v>
      </c>
      <c r="E111" s="6">
        <v>33559</v>
      </c>
      <c r="F111" s="5" t="s">
        <v>14</v>
      </c>
      <c r="G111" s="5" t="s">
        <v>799</v>
      </c>
      <c r="H111" s="7">
        <v>23</v>
      </c>
      <c r="I111" s="7">
        <v>15</v>
      </c>
      <c r="J111" s="7">
        <v>4</v>
      </c>
      <c r="K111" s="7">
        <v>4</v>
      </c>
      <c r="L111" s="7">
        <v>0</v>
      </c>
      <c r="M111" s="8">
        <f t="shared" si="1"/>
        <v>46</v>
      </c>
    </row>
    <row r="112" spans="1:13" x14ac:dyDescent="0.15">
      <c r="A112" s="4" t="s">
        <v>924</v>
      </c>
      <c r="B112" s="5" t="s">
        <v>144</v>
      </c>
      <c r="C112" s="5" t="s">
        <v>145</v>
      </c>
      <c r="D112" s="5" t="s">
        <v>17</v>
      </c>
      <c r="E112" s="6">
        <v>33521</v>
      </c>
      <c r="F112" s="5" t="s">
        <v>14</v>
      </c>
      <c r="G112" s="5" t="s">
        <v>799</v>
      </c>
      <c r="H112" s="7">
        <v>18</v>
      </c>
      <c r="I112" s="7">
        <v>17</v>
      </c>
      <c r="J112" s="7">
        <v>11</v>
      </c>
      <c r="K112" s="7">
        <v>10</v>
      </c>
      <c r="L112" s="7">
        <v>0</v>
      </c>
      <c r="M112" s="8">
        <f t="shared" si="1"/>
        <v>56</v>
      </c>
    </row>
    <row r="113" spans="1:13" x14ac:dyDescent="0.15">
      <c r="A113" s="4" t="s">
        <v>925</v>
      </c>
      <c r="B113" s="5" t="s">
        <v>146</v>
      </c>
      <c r="C113" s="5" t="s">
        <v>147</v>
      </c>
      <c r="D113" s="5" t="s">
        <v>17</v>
      </c>
      <c r="E113" s="6">
        <v>33524</v>
      </c>
      <c r="F113" s="5" t="s">
        <v>14</v>
      </c>
      <c r="G113" s="5" t="s">
        <v>799</v>
      </c>
      <c r="H113" s="7">
        <v>17</v>
      </c>
      <c r="I113" s="7">
        <v>15</v>
      </c>
      <c r="J113" s="7">
        <v>9</v>
      </c>
      <c r="K113" s="7">
        <v>6</v>
      </c>
      <c r="L113" s="7">
        <v>0</v>
      </c>
      <c r="M113" s="8">
        <f t="shared" si="1"/>
        <v>47</v>
      </c>
    </row>
    <row r="114" spans="1:13" x14ac:dyDescent="0.15">
      <c r="A114" s="4" t="s">
        <v>926</v>
      </c>
      <c r="B114" s="5" t="s">
        <v>148</v>
      </c>
      <c r="C114" s="5" t="s">
        <v>149</v>
      </c>
      <c r="D114" s="5" t="s">
        <v>7</v>
      </c>
      <c r="E114" s="6">
        <v>33287</v>
      </c>
      <c r="F114" s="5" t="s">
        <v>11</v>
      </c>
      <c r="G114" s="5" t="s">
        <v>799</v>
      </c>
      <c r="H114" s="7">
        <v>22</v>
      </c>
      <c r="I114" s="7">
        <v>19</v>
      </c>
      <c r="J114" s="7">
        <v>20</v>
      </c>
      <c r="K114" s="7">
        <v>8</v>
      </c>
      <c r="L114" s="7">
        <v>5</v>
      </c>
      <c r="M114" s="8">
        <f t="shared" si="1"/>
        <v>74</v>
      </c>
    </row>
    <row r="115" spans="1:13" x14ac:dyDescent="0.15">
      <c r="A115" s="4" t="s">
        <v>927</v>
      </c>
      <c r="B115" s="5" t="s">
        <v>150</v>
      </c>
      <c r="C115" s="5" t="s">
        <v>151</v>
      </c>
      <c r="D115" s="5" t="s">
        <v>7</v>
      </c>
      <c r="E115" s="6">
        <v>33546</v>
      </c>
      <c r="F115" s="5" t="s">
        <v>14</v>
      </c>
      <c r="G115" s="5" t="s">
        <v>799</v>
      </c>
      <c r="H115" s="7">
        <v>21</v>
      </c>
      <c r="I115" s="7">
        <v>4</v>
      </c>
      <c r="J115" s="7">
        <v>7</v>
      </c>
      <c r="K115" s="7">
        <v>6</v>
      </c>
      <c r="L115" s="7">
        <v>0</v>
      </c>
      <c r="M115" s="8">
        <f t="shared" si="1"/>
        <v>38</v>
      </c>
    </row>
    <row r="116" spans="1:13" x14ac:dyDescent="0.15">
      <c r="A116" s="4" t="s">
        <v>928</v>
      </c>
      <c r="B116" s="5" t="s">
        <v>152</v>
      </c>
      <c r="C116" s="5" t="s">
        <v>153</v>
      </c>
      <c r="D116" s="5" t="s">
        <v>17</v>
      </c>
      <c r="E116" s="6">
        <v>33283</v>
      </c>
      <c r="F116" s="5" t="s">
        <v>14</v>
      </c>
      <c r="G116" s="5" t="s">
        <v>799</v>
      </c>
      <c r="H116" s="7">
        <v>12</v>
      </c>
      <c r="I116" s="7">
        <v>17</v>
      </c>
      <c r="J116" s="7">
        <v>13</v>
      </c>
      <c r="K116" s="7">
        <v>4</v>
      </c>
      <c r="L116" s="7">
        <v>0</v>
      </c>
      <c r="M116" s="8">
        <f t="shared" si="1"/>
        <v>46</v>
      </c>
    </row>
    <row r="117" spans="1:13" x14ac:dyDescent="0.15">
      <c r="A117" s="4" t="s">
        <v>929</v>
      </c>
      <c r="B117" s="5" t="s">
        <v>154</v>
      </c>
      <c r="C117" s="5" t="s">
        <v>155</v>
      </c>
      <c r="D117" s="5" t="s">
        <v>7</v>
      </c>
      <c r="E117" s="6">
        <v>33422</v>
      </c>
      <c r="F117" s="5" t="s">
        <v>14</v>
      </c>
      <c r="G117" s="5" t="s">
        <v>799</v>
      </c>
      <c r="H117" s="7">
        <v>13</v>
      </c>
      <c r="I117" s="7">
        <v>16</v>
      </c>
      <c r="J117" s="7">
        <v>5</v>
      </c>
      <c r="K117" s="7">
        <v>0</v>
      </c>
      <c r="L117" s="7">
        <v>0</v>
      </c>
      <c r="M117" s="8">
        <f t="shared" si="1"/>
        <v>0</v>
      </c>
    </row>
    <row r="118" spans="1:13" x14ac:dyDescent="0.15">
      <c r="A118" s="4" t="s">
        <v>930</v>
      </c>
      <c r="B118" s="5" t="s">
        <v>156</v>
      </c>
      <c r="C118" s="5" t="s">
        <v>157</v>
      </c>
      <c r="D118" s="5" t="s">
        <v>7</v>
      </c>
      <c r="E118" s="6">
        <v>33576</v>
      </c>
      <c r="F118" s="5" t="s">
        <v>14</v>
      </c>
      <c r="G118" s="5" t="s">
        <v>799</v>
      </c>
      <c r="H118" s="7">
        <v>12</v>
      </c>
      <c r="I118" s="7">
        <v>11</v>
      </c>
      <c r="J118" s="7">
        <v>5</v>
      </c>
      <c r="K118" s="7">
        <v>0</v>
      </c>
      <c r="L118" s="7">
        <v>0</v>
      </c>
      <c r="M118" s="8">
        <f t="shared" si="1"/>
        <v>0</v>
      </c>
    </row>
    <row r="119" spans="1:13" x14ac:dyDescent="0.15">
      <c r="A119" s="4" t="s">
        <v>931</v>
      </c>
      <c r="B119" s="5" t="s">
        <v>158</v>
      </c>
      <c r="C119" s="5" t="s">
        <v>159</v>
      </c>
      <c r="D119" s="5" t="s">
        <v>17</v>
      </c>
      <c r="E119" s="6">
        <v>33382</v>
      </c>
      <c r="F119" s="5" t="s">
        <v>14</v>
      </c>
      <c r="G119" s="5" t="s">
        <v>799</v>
      </c>
      <c r="H119" s="7">
        <v>13</v>
      </c>
      <c r="I119" s="7">
        <v>16</v>
      </c>
      <c r="J119" s="7">
        <v>10</v>
      </c>
      <c r="K119" s="7">
        <v>4</v>
      </c>
      <c r="L119" s="7">
        <v>0</v>
      </c>
      <c r="M119" s="8">
        <f t="shared" si="1"/>
        <v>43</v>
      </c>
    </row>
    <row r="120" spans="1:13" x14ac:dyDescent="0.15">
      <c r="A120" s="4" t="s">
        <v>932</v>
      </c>
      <c r="B120" s="5" t="s">
        <v>160</v>
      </c>
      <c r="C120" s="5" t="s">
        <v>161</v>
      </c>
      <c r="D120" s="5" t="s">
        <v>17</v>
      </c>
      <c r="E120" s="6">
        <v>33364</v>
      </c>
      <c r="F120" s="5" t="s">
        <v>14</v>
      </c>
      <c r="G120" s="5" t="s">
        <v>800</v>
      </c>
      <c r="H120" s="7">
        <v>26</v>
      </c>
      <c r="I120" s="7">
        <v>20</v>
      </c>
      <c r="J120" s="7">
        <v>17</v>
      </c>
      <c r="K120" s="7">
        <v>10</v>
      </c>
      <c r="L120" s="7">
        <v>8</v>
      </c>
      <c r="M120" s="8">
        <f t="shared" si="1"/>
        <v>81</v>
      </c>
    </row>
    <row r="121" spans="1:13" x14ac:dyDescent="0.15">
      <c r="A121" s="4" t="s">
        <v>933</v>
      </c>
      <c r="B121" s="5" t="s">
        <v>162</v>
      </c>
      <c r="C121" s="5" t="s">
        <v>163</v>
      </c>
      <c r="D121" s="5" t="s">
        <v>17</v>
      </c>
      <c r="E121" s="6">
        <v>33386</v>
      </c>
      <c r="F121" s="5" t="s">
        <v>61</v>
      </c>
      <c r="G121" s="5" t="s">
        <v>800</v>
      </c>
      <c r="H121" s="7">
        <v>25</v>
      </c>
      <c r="I121" s="7">
        <v>17</v>
      </c>
      <c r="J121" s="7">
        <v>17</v>
      </c>
      <c r="K121" s="7">
        <v>10</v>
      </c>
      <c r="L121" s="7">
        <v>9</v>
      </c>
      <c r="M121" s="8">
        <f t="shared" si="1"/>
        <v>78</v>
      </c>
    </row>
    <row r="122" spans="1:13" x14ac:dyDescent="0.15">
      <c r="A122" s="4" t="s">
        <v>934</v>
      </c>
      <c r="B122" s="5" t="s">
        <v>164</v>
      </c>
      <c r="C122" s="5" t="s">
        <v>165</v>
      </c>
      <c r="D122" s="5" t="s">
        <v>17</v>
      </c>
      <c r="E122" s="6">
        <v>33477</v>
      </c>
      <c r="F122" s="5" t="s">
        <v>14</v>
      </c>
      <c r="G122" s="5" t="s">
        <v>800</v>
      </c>
      <c r="H122" s="7">
        <v>18</v>
      </c>
      <c r="I122" s="7">
        <v>16</v>
      </c>
      <c r="J122" s="7">
        <v>16</v>
      </c>
      <c r="K122" s="7">
        <v>7</v>
      </c>
      <c r="L122" s="7">
        <v>6</v>
      </c>
      <c r="M122" s="8">
        <f t="shared" si="1"/>
        <v>63</v>
      </c>
    </row>
    <row r="123" spans="1:13" x14ac:dyDescent="0.15">
      <c r="A123" s="4" t="s">
        <v>935</v>
      </c>
      <c r="B123" s="5" t="s">
        <v>166</v>
      </c>
      <c r="C123" s="5" t="s">
        <v>167</v>
      </c>
      <c r="D123" s="5" t="s">
        <v>17</v>
      </c>
      <c r="E123" s="6">
        <v>33368</v>
      </c>
      <c r="F123" s="5" t="s">
        <v>14</v>
      </c>
      <c r="G123" s="5" t="s">
        <v>800</v>
      </c>
      <c r="H123" s="7">
        <v>14</v>
      </c>
      <c r="I123" s="7">
        <v>15</v>
      </c>
      <c r="J123" s="7">
        <v>5</v>
      </c>
      <c r="K123" s="7">
        <v>4</v>
      </c>
      <c r="L123" s="7">
        <v>0</v>
      </c>
      <c r="M123" s="8">
        <f t="shared" si="1"/>
        <v>38</v>
      </c>
    </row>
    <row r="124" spans="1:13" x14ac:dyDescent="0.15">
      <c r="A124" s="4" t="s">
        <v>936</v>
      </c>
      <c r="B124" s="5" t="s">
        <v>168</v>
      </c>
      <c r="C124" s="5" t="s">
        <v>169</v>
      </c>
      <c r="D124" s="5" t="s">
        <v>17</v>
      </c>
      <c r="E124" s="6">
        <v>33523</v>
      </c>
      <c r="F124" s="5" t="s">
        <v>14</v>
      </c>
      <c r="G124" s="5" t="s">
        <v>800</v>
      </c>
      <c r="H124" s="7">
        <v>16</v>
      </c>
      <c r="I124" s="7">
        <v>18</v>
      </c>
      <c r="J124" s="7">
        <v>18</v>
      </c>
      <c r="K124" s="7">
        <v>10</v>
      </c>
      <c r="L124" s="7">
        <v>8</v>
      </c>
      <c r="M124" s="8">
        <f t="shared" si="1"/>
        <v>70</v>
      </c>
    </row>
    <row r="125" spans="1:13" x14ac:dyDescent="0.15">
      <c r="A125" s="4" t="s">
        <v>937</v>
      </c>
      <c r="B125" s="5" t="s">
        <v>170</v>
      </c>
      <c r="C125" s="5" t="s">
        <v>171</v>
      </c>
      <c r="D125" s="5" t="s">
        <v>17</v>
      </c>
      <c r="E125" s="6">
        <v>33285</v>
      </c>
      <c r="F125" s="5" t="s">
        <v>14</v>
      </c>
      <c r="G125" s="5" t="s">
        <v>800</v>
      </c>
      <c r="H125" s="7">
        <v>33</v>
      </c>
      <c r="I125" s="7">
        <v>17</v>
      </c>
      <c r="J125" s="7">
        <v>19</v>
      </c>
      <c r="K125" s="7">
        <v>10</v>
      </c>
      <c r="L125" s="7">
        <v>9</v>
      </c>
      <c r="M125" s="8">
        <f t="shared" si="1"/>
        <v>88</v>
      </c>
    </row>
    <row r="126" spans="1:13" x14ac:dyDescent="0.15">
      <c r="A126" s="4" t="s">
        <v>938</v>
      </c>
      <c r="B126" s="5" t="s">
        <v>172</v>
      </c>
      <c r="C126" s="5" t="s">
        <v>173</v>
      </c>
      <c r="D126" s="5" t="s">
        <v>17</v>
      </c>
      <c r="E126" s="6">
        <v>33278</v>
      </c>
      <c r="F126" s="5" t="s">
        <v>8</v>
      </c>
      <c r="G126" s="5" t="s">
        <v>800</v>
      </c>
      <c r="H126" s="7">
        <v>22</v>
      </c>
      <c r="I126" s="7">
        <v>20</v>
      </c>
      <c r="J126" s="7">
        <v>17</v>
      </c>
      <c r="K126" s="7">
        <v>10</v>
      </c>
      <c r="L126" s="7">
        <v>9</v>
      </c>
      <c r="M126" s="8">
        <f t="shared" si="1"/>
        <v>78</v>
      </c>
    </row>
    <row r="127" spans="1:13" x14ac:dyDescent="0.15">
      <c r="A127" s="4" t="s">
        <v>939</v>
      </c>
      <c r="B127" s="5" t="s">
        <v>174</v>
      </c>
      <c r="C127" s="5" t="s">
        <v>175</v>
      </c>
      <c r="D127" s="5" t="s">
        <v>17</v>
      </c>
      <c r="E127" s="6">
        <v>33279</v>
      </c>
      <c r="F127" s="5" t="s">
        <v>14</v>
      </c>
      <c r="G127" s="5" t="s">
        <v>800</v>
      </c>
      <c r="H127" s="7">
        <v>26</v>
      </c>
      <c r="I127" s="7">
        <v>15</v>
      </c>
      <c r="J127" s="7">
        <v>18</v>
      </c>
      <c r="K127" s="7">
        <v>9</v>
      </c>
      <c r="L127" s="7">
        <v>9</v>
      </c>
      <c r="M127" s="8">
        <f t="shared" si="1"/>
        <v>77</v>
      </c>
    </row>
    <row r="128" spans="1:13" x14ac:dyDescent="0.15">
      <c r="A128" s="4" t="s">
        <v>940</v>
      </c>
      <c r="B128" s="5" t="s">
        <v>176</v>
      </c>
      <c r="C128" s="5" t="s">
        <v>177</v>
      </c>
      <c r="D128" s="5" t="s">
        <v>17</v>
      </c>
      <c r="E128" s="6">
        <v>33406</v>
      </c>
      <c r="F128" s="5" t="s">
        <v>14</v>
      </c>
      <c r="G128" s="5" t="s">
        <v>800</v>
      </c>
      <c r="H128" s="7">
        <v>24</v>
      </c>
      <c r="I128" s="7">
        <v>20</v>
      </c>
      <c r="J128" s="7">
        <v>18</v>
      </c>
      <c r="K128" s="7">
        <v>8</v>
      </c>
      <c r="L128" s="7">
        <v>9</v>
      </c>
      <c r="M128" s="8">
        <f t="shared" si="1"/>
        <v>79</v>
      </c>
    </row>
    <row r="129" spans="1:13" x14ac:dyDescent="0.15">
      <c r="A129" s="4" t="s">
        <v>941</v>
      </c>
      <c r="B129" s="5" t="s">
        <v>178</v>
      </c>
      <c r="C129" s="5" t="s">
        <v>179</v>
      </c>
      <c r="D129" s="5" t="s">
        <v>17</v>
      </c>
      <c r="E129" s="6">
        <v>33577</v>
      </c>
      <c r="F129" s="5" t="s">
        <v>14</v>
      </c>
      <c r="G129" s="5" t="s">
        <v>800</v>
      </c>
      <c r="H129" s="7">
        <v>23</v>
      </c>
      <c r="I129" s="7">
        <v>19</v>
      </c>
      <c r="J129" s="7">
        <v>17</v>
      </c>
      <c r="K129" s="7">
        <v>9</v>
      </c>
      <c r="L129" s="7">
        <v>9</v>
      </c>
      <c r="M129" s="8">
        <f t="shared" si="1"/>
        <v>77</v>
      </c>
    </row>
    <row r="130" spans="1:13" x14ac:dyDescent="0.15">
      <c r="A130" s="4" t="s">
        <v>942</v>
      </c>
      <c r="B130" s="5" t="s">
        <v>180</v>
      </c>
      <c r="C130" s="5" t="s">
        <v>181</v>
      </c>
      <c r="D130" s="5" t="s">
        <v>17</v>
      </c>
      <c r="E130" s="6">
        <v>33514</v>
      </c>
      <c r="F130" s="5" t="s">
        <v>42</v>
      </c>
      <c r="G130" s="5" t="s">
        <v>800</v>
      </c>
      <c r="H130" s="7">
        <v>15</v>
      </c>
      <c r="I130" s="7">
        <v>11</v>
      </c>
      <c r="J130" s="7">
        <v>7</v>
      </c>
      <c r="K130" s="7">
        <v>0</v>
      </c>
      <c r="L130" s="7">
        <v>0</v>
      </c>
      <c r="M130" s="8">
        <f t="shared" si="1"/>
        <v>0</v>
      </c>
    </row>
    <row r="131" spans="1:13" x14ac:dyDescent="0.15">
      <c r="A131" s="4" t="s">
        <v>943</v>
      </c>
      <c r="B131" s="5" t="s">
        <v>182</v>
      </c>
      <c r="C131" s="5" t="s">
        <v>183</v>
      </c>
      <c r="D131" s="5" t="s">
        <v>7</v>
      </c>
      <c r="E131" s="6">
        <v>33418</v>
      </c>
      <c r="F131" s="5" t="s">
        <v>14</v>
      </c>
      <c r="G131" s="5" t="s">
        <v>800</v>
      </c>
      <c r="H131" s="7">
        <v>34</v>
      </c>
      <c r="I131" s="7">
        <v>16</v>
      </c>
      <c r="J131" s="7">
        <v>10</v>
      </c>
      <c r="K131" s="7">
        <v>9</v>
      </c>
      <c r="L131" s="7">
        <v>0</v>
      </c>
      <c r="M131" s="8">
        <f t="shared" si="1"/>
        <v>69</v>
      </c>
    </row>
    <row r="132" spans="1:13" x14ac:dyDescent="0.15">
      <c r="A132" s="4" t="s">
        <v>944</v>
      </c>
      <c r="B132" s="5" t="s">
        <v>184</v>
      </c>
      <c r="C132" s="5" t="s">
        <v>185</v>
      </c>
      <c r="D132" s="5" t="s">
        <v>7</v>
      </c>
      <c r="E132" s="6">
        <v>33276</v>
      </c>
      <c r="F132" s="5" t="s">
        <v>14</v>
      </c>
      <c r="G132" s="5" t="s">
        <v>800</v>
      </c>
      <c r="H132" s="7">
        <v>20</v>
      </c>
      <c r="I132" s="7">
        <v>18</v>
      </c>
      <c r="J132" s="7">
        <v>0</v>
      </c>
      <c r="K132" s="7">
        <v>0</v>
      </c>
      <c r="L132" s="7">
        <v>0</v>
      </c>
      <c r="M132" s="8">
        <f t="shared" ref="M132:M195" si="2">IF(COUNTIF(H132:L132,"=0")&gt;=2,0,SUM(H132:L132))</f>
        <v>0</v>
      </c>
    </row>
    <row r="133" spans="1:13" x14ac:dyDescent="0.15">
      <c r="A133" s="4" t="s">
        <v>945</v>
      </c>
      <c r="B133" s="5" t="s">
        <v>186</v>
      </c>
      <c r="C133" s="5" t="s">
        <v>187</v>
      </c>
      <c r="D133" s="5" t="s">
        <v>17</v>
      </c>
      <c r="E133" s="6">
        <v>33278</v>
      </c>
      <c r="F133" s="5" t="s">
        <v>14</v>
      </c>
      <c r="G133" s="5" t="s">
        <v>800</v>
      </c>
      <c r="H133" s="7">
        <v>33</v>
      </c>
      <c r="I133" s="7">
        <v>18</v>
      </c>
      <c r="J133" s="7">
        <v>19</v>
      </c>
      <c r="K133" s="7">
        <v>9</v>
      </c>
      <c r="L133" s="7">
        <v>9</v>
      </c>
      <c r="M133" s="8">
        <f t="shared" si="2"/>
        <v>88</v>
      </c>
    </row>
    <row r="134" spans="1:13" x14ac:dyDescent="0.15">
      <c r="A134" s="4" t="s">
        <v>946</v>
      </c>
      <c r="B134" s="5" t="s">
        <v>188</v>
      </c>
      <c r="C134" s="5" t="s">
        <v>189</v>
      </c>
      <c r="D134" s="5" t="s">
        <v>7</v>
      </c>
      <c r="E134" s="6">
        <v>33568</v>
      </c>
      <c r="F134" s="5" t="s">
        <v>14</v>
      </c>
      <c r="G134" s="5" t="s">
        <v>800</v>
      </c>
      <c r="H134" s="7">
        <v>34</v>
      </c>
      <c r="I134" s="7">
        <v>19</v>
      </c>
      <c r="J134" s="7">
        <v>20</v>
      </c>
      <c r="K134" s="7">
        <v>10</v>
      </c>
      <c r="L134" s="7">
        <v>9</v>
      </c>
      <c r="M134" s="8">
        <f t="shared" si="2"/>
        <v>92</v>
      </c>
    </row>
    <row r="135" spans="1:13" x14ac:dyDescent="0.15">
      <c r="A135" s="4" t="s">
        <v>947</v>
      </c>
      <c r="B135" s="5" t="s">
        <v>190</v>
      </c>
      <c r="C135" s="5" t="s">
        <v>191</v>
      </c>
      <c r="D135" s="5" t="s">
        <v>17</v>
      </c>
      <c r="E135" s="6">
        <v>33285</v>
      </c>
      <c r="F135" s="5" t="s">
        <v>61</v>
      </c>
      <c r="G135" s="5" t="s">
        <v>800</v>
      </c>
      <c r="H135" s="7">
        <v>25</v>
      </c>
      <c r="I135" s="7">
        <v>17</v>
      </c>
      <c r="J135" s="7">
        <v>20</v>
      </c>
      <c r="K135" s="7">
        <v>10</v>
      </c>
      <c r="L135" s="7">
        <v>9</v>
      </c>
      <c r="M135" s="8">
        <f t="shared" si="2"/>
        <v>81</v>
      </c>
    </row>
    <row r="136" spans="1:13" x14ac:dyDescent="0.15">
      <c r="A136" s="4" t="s">
        <v>948</v>
      </c>
      <c r="B136" s="5" t="s">
        <v>192</v>
      </c>
      <c r="C136" s="5" t="s">
        <v>193</v>
      </c>
      <c r="D136" s="5" t="s">
        <v>7</v>
      </c>
      <c r="E136" s="6">
        <v>33264</v>
      </c>
      <c r="F136" s="5" t="s">
        <v>14</v>
      </c>
      <c r="G136" s="5" t="s">
        <v>800</v>
      </c>
      <c r="H136" s="7">
        <v>34</v>
      </c>
      <c r="I136" s="7">
        <v>18</v>
      </c>
      <c r="J136" s="7">
        <v>16</v>
      </c>
      <c r="K136" s="7">
        <v>6</v>
      </c>
      <c r="L136" s="7">
        <v>8</v>
      </c>
      <c r="M136" s="8">
        <f t="shared" si="2"/>
        <v>82</v>
      </c>
    </row>
    <row r="137" spans="1:13" x14ac:dyDescent="0.15">
      <c r="A137" s="4" t="s">
        <v>949</v>
      </c>
      <c r="B137" s="5" t="s">
        <v>194</v>
      </c>
      <c r="C137" s="5" t="s">
        <v>195</v>
      </c>
      <c r="D137" s="5" t="s">
        <v>17</v>
      </c>
      <c r="E137" s="6">
        <v>33567</v>
      </c>
      <c r="F137" s="5" t="s">
        <v>11</v>
      </c>
      <c r="G137" s="5" t="s">
        <v>800</v>
      </c>
      <c r="H137" s="7">
        <v>32</v>
      </c>
      <c r="I137" s="7">
        <v>18</v>
      </c>
      <c r="J137" s="7">
        <v>17</v>
      </c>
      <c r="K137" s="7">
        <v>10</v>
      </c>
      <c r="L137" s="7">
        <v>8</v>
      </c>
      <c r="M137" s="8">
        <f t="shared" si="2"/>
        <v>85</v>
      </c>
    </row>
    <row r="138" spans="1:13" x14ac:dyDescent="0.15">
      <c r="A138" s="4" t="s">
        <v>950</v>
      </c>
      <c r="B138" s="5" t="s">
        <v>196</v>
      </c>
      <c r="C138" s="5" t="s">
        <v>197</v>
      </c>
      <c r="D138" s="5" t="s">
        <v>7</v>
      </c>
      <c r="E138" s="6">
        <v>33378</v>
      </c>
      <c r="F138" s="5" t="s">
        <v>14</v>
      </c>
      <c r="G138" s="5" t="s">
        <v>800</v>
      </c>
      <c r="H138" s="7">
        <v>25</v>
      </c>
      <c r="I138" s="7">
        <v>20</v>
      </c>
      <c r="J138" s="7">
        <v>18</v>
      </c>
      <c r="K138" s="7">
        <v>10</v>
      </c>
      <c r="L138" s="7">
        <v>10</v>
      </c>
      <c r="M138" s="8">
        <f t="shared" si="2"/>
        <v>83</v>
      </c>
    </row>
    <row r="139" spans="1:13" x14ac:dyDescent="0.15">
      <c r="A139" s="4" t="s">
        <v>951</v>
      </c>
      <c r="B139" s="5" t="s">
        <v>198</v>
      </c>
      <c r="C139" s="5" t="s">
        <v>199</v>
      </c>
      <c r="D139" s="5" t="s">
        <v>17</v>
      </c>
      <c r="E139" s="6">
        <v>33253</v>
      </c>
      <c r="F139" s="5" t="s">
        <v>14</v>
      </c>
      <c r="G139" s="5" t="s">
        <v>800</v>
      </c>
      <c r="H139" s="7">
        <v>26</v>
      </c>
      <c r="I139" s="7">
        <v>17</v>
      </c>
      <c r="J139" s="7">
        <v>17</v>
      </c>
      <c r="K139" s="7">
        <v>9</v>
      </c>
      <c r="L139" s="7">
        <v>9</v>
      </c>
      <c r="M139" s="8">
        <f t="shared" si="2"/>
        <v>78</v>
      </c>
    </row>
    <row r="140" spans="1:13" x14ac:dyDescent="0.15">
      <c r="A140" s="4" t="s">
        <v>952</v>
      </c>
      <c r="B140" s="5" t="s">
        <v>200</v>
      </c>
      <c r="C140" s="5" t="s">
        <v>201</v>
      </c>
      <c r="D140" s="5" t="s">
        <v>17</v>
      </c>
      <c r="E140" s="6">
        <v>33436</v>
      </c>
      <c r="F140" s="5" t="s">
        <v>42</v>
      </c>
      <c r="G140" s="5" t="s">
        <v>800</v>
      </c>
      <c r="H140" s="7">
        <v>34</v>
      </c>
      <c r="I140" s="7">
        <v>19</v>
      </c>
      <c r="J140" s="7">
        <v>18</v>
      </c>
      <c r="K140" s="7">
        <v>9</v>
      </c>
      <c r="L140" s="7">
        <v>10</v>
      </c>
      <c r="M140" s="8">
        <f t="shared" si="2"/>
        <v>90</v>
      </c>
    </row>
    <row r="141" spans="1:13" x14ac:dyDescent="0.15">
      <c r="A141" s="4" t="s">
        <v>953</v>
      </c>
      <c r="B141" s="5" t="s">
        <v>202</v>
      </c>
      <c r="C141" s="5" t="s">
        <v>203</v>
      </c>
      <c r="D141" s="5" t="s">
        <v>17</v>
      </c>
      <c r="E141" s="6">
        <v>33526</v>
      </c>
      <c r="F141" s="5" t="s">
        <v>14</v>
      </c>
      <c r="G141" s="5" t="s">
        <v>800</v>
      </c>
      <c r="H141" s="7">
        <v>35</v>
      </c>
      <c r="I141" s="7">
        <v>20</v>
      </c>
      <c r="J141" s="7">
        <v>19</v>
      </c>
      <c r="K141" s="7">
        <v>10</v>
      </c>
      <c r="L141" s="7">
        <v>10</v>
      </c>
      <c r="M141" s="8">
        <f t="shared" si="2"/>
        <v>94</v>
      </c>
    </row>
    <row r="142" spans="1:13" x14ac:dyDescent="0.15">
      <c r="A142" s="4" t="s">
        <v>954</v>
      </c>
      <c r="B142" s="5" t="s">
        <v>204</v>
      </c>
      <c r="C142" s="5" t="s">
        <v>205</v>
      </c>
      <c r="D142" s="5" t="s">
        <v>7</v>
      </c>
      <c r="E142" s="6">
        <v>33359</v>
      </c>
      <c r="F142" s="5" t="s">
        <v>14</v>
      </c>
      <c r="G142" s="5" t="s">
        <v>800</v>
      </c>
      <c r="H142" s="7">
        <v>25</v>
      </c>
      <c r="I142" s="7">
        <v>19</v>
      </c>
      <c r="J142" s="7">
        <v>19</v>
      </c>
      <c r="K142" s="7">
        <v>10</v>
      </c>
      <c r="L142" s="7">
        <v>2</v>
      </c>
      <c r="M142" s="8">
        <f t="shared" si="2"/>
        <v>75</v>
      </c>
    </row>
    <row r="143" spans="1:13" x14ac:dyDescent="0.15">
      <c r="A143" s="4" t="s">
        <v>955</v>
      </c>
      <c r="B143" s="5" t="s">
        <v>206</v>
      </c>
      <c r="C143" s="5" t="s">
        <v>207</v>
      </c>
      <c r="D143" s="5" t="s">
        <v>17</v>
      </c>
      <c r="E143" s="6">
        <v>33558</v>
      </c>
      <c r="F143" s="5" t="s">
        <v>14</v>
      </c>
      <c r="G143" s="5" t="s">
        <v>800</v>
      </c>
      <c r="H143" s="7">
        <v>34</v>
      </c>
      <c r="I143" s="7">
        <v>18</v>
      </c>
      <c r="J143" s="7">
        <v>19</v>
      </c>
      <c r="K143" s="7">
        <v>9</v>
      </c>
      <c r="L143" s="7">
        <v>9</v>
      </c>
      <c r="M143" s="8">
        <f t="shared" si="2"/>
        <v>89</v>
      </c>
    </row>
    <row r="144" spans="1:13" x14ac:dyDescent="0.15">
      <c r="A144" s="4" t="s">
        <v>956</v>
      </c>
      <c r="B144" s="5" t="s">
        <v>208</v>
      </c>
      <c r="C144" s="5" t="s">
        <v>209</v>
      </c>
      <c r="D144" s="5" t="s">
        <v>7</v>
      </c>
      <c r="E144" s="6">
        <v>33517</v>
      </c>
      <c r="F144" s="5" t="s">
        <v>14</v>
      </c>
      <c r="G144" s="5" t="s">
        <v>800</v>
      </c>
      <c r="H144" s="7">
        <v>26</v>
      </c>
      <c r="I144" s="7">
        <v>18</v>
      </c>
      <c r="J144" s="7">
        <v>16</v>
      </c>
      <c r="K144" s="7">
        <v>10</v>
      </c>
      <c r="L144" s="7">
        <v>1</v>
      </c>
      <c r="M144" s="8">
        <f t="shared" si="2"/>
        <v>71</v>
      </c>
    </row>
    <row r="145" spans="1:13" x14ac:dyDescent="0.15">
      <c r="A145" s="4" t="s">
        <v>957</v>
      </c>
      <c r="B145" s="5" t="s">
        <v>210</v>
      </c>
      <c r="C145" s="5" t="s">
        <v>211</v>
      </c>
      <c r="D145" s="5" t="s">
        <v>7</v>
      </c>
      <c r="E145" s="6">
        <v>33240</v>
      </c>
      <c r="F145" s="5" t="s">
        <v>14</v>
      </c>
      <c r="G145" s="5" t="s">
        <v>800</v>
      </c>
      <c r="H145" s="7">
        <v>35</v>
      </c>
      <c r="I145" s="7">
        <v>15</v>
      </c>
      <c r="J145" s="7">
        <v>13</v>
      </c>
      <c r="K145" s="7">
        <v>3</v>
      </c>
      <c r="L145" s="7">
        <v>1</v>
      </c>
      <c r="M145" s="8">
        <f t="shared" si="2"/>
        <v>67</v>
      </c>
    </row>
    <row r="146" spans="1:13" x14ac:dyDescent="0.15">
      <c r="A146" s="4" t="s">
        <v>958</v>
      </c>
      <c r="B146" s="5" t="s">
        <v>212</v>
      </c>
      <c r="C146" s="5" t="s">
        <v>213</v>
      </c>
      <c r="D146" s="5" t="s">
        <v>17</v>
      </c>
      <c r="E146" s="6">
        <v>33548</v>
      </c>
      <c r="F146" s="5" t="s">
        <v>14</v>
      </c>
      <c r="G146" s="5" t="s">
        <v>801</v>
      </c>
      <c r="H146" s="7">
        <v>16</v>
      </c>
      <c r="I146" s="7">
        <v>16</v>
      </c>
      <c r="J146" s="7">
        <v>4</v>
      </c>
      <c r="K146" s="7">
        <v>9</v>
      </c>
      <c r="L146" s="7">
        <v>0</v>
      </c>
      <c r="M146" s="8">
        <f t="shared" si="2"/>
        <v>45</v>
      </c>
    </row>
    <row r="147" spans="1:13" x14ac:dyDescent="0.15">
      <c r="A147" s="4" t="s">
        <v>959</v>
      </c>
      <c r="B147" s="5" t="s">
        <v>214</v>
      </c>
      <c r="C147" s="5" t="s">
        <v>215</v>
      </c>
      <c r="D147" s="5" t="s">
        <v>17</v>
      </c>
      <c r="E147" s="6">
        <v>33419</v>
      </c>
      <c r="F147" s="5" t="s">
        <v>14</v>
      </c>
      <c r="G147" s="5" t="s">
        <v>801</v>
      </c>
      <c r="H147" s="7">
        <v>27</v>
      </c>
      <c r="I147" s="7">
        <v>16</v>
      </c>
      <c r="J147" s="7">
        <v>16</v>
      </c>
      <c r="K147" s="7">
        <v>6</v>
      </c>
      <c r="L147" s="7">
        <v>8</v>
      </c>
      <c r="M147" s="8">
        <f t="shared" si="2"/>
        <v>73</v>
      </c>
    </row>
    <row r="148" spans="1:13" x14ac:dyDescent="0.15">
      <c r="A148" s="4" t="s">
        <v>960</v>
      </c>
      <c r="B148" s="5" t="s">
        <v>216</v>
      </c>
      <c r="C148" s="5" t="s">
        <v>217</v>
      </c>
      <c r="D148" s="5" t="s">
        <v>17</v>
      </c>
      <c r="E148" s="6">
        <v>33516</v>
      </c>
      <c r="F148" s="5" t="s">
        <v>14</v>
      </c>
      <c r="G148" s="5" t="s">
        <v>801</v>
      </c>
      <c r="H148" s="7">
        <v>26</v>
      </c>
      <c r="I148" s="7">
        <v>17</v>
      </c>
      <c r="J148" s="7">
        <v>16</v>
      </c>
      <c r="K148" s="7">
        <v>6</v>
      </c>
      <c r="L148" s="7">
        <v>8</v>
      </c>
      <c r="M148" s="8">
        <f t="shared" si="2"/>
        <v>73</v>
      </c>
    </row>
    <row r="149" spans="1:13" x14ac:dyDescent="0.15">
      <c r="A149" s="4" t="s">
        <v>961</v>
      </c>
      <c r="B149" s="5" t="s">
        <v>218</v>
      </c>
      <c r="C149" s="5" t="s">
        <v>219</v>
      </c>
      <c r="D149" s="5" t="s">
        <v>17</v>
      </c>
      <c r="E149" s="6">
        <v>33519</v>
      </c>
      <c r="F149" s="5" t="s">
        <v>14</v>
      </c>
      <c r="G149" s="5" t="s">
        <v>801</v>
      </c>
      <c r="H149" s="7">
        <v>34</v>
      </c>
      <c r="I149" s="7">
        <v>16</v>
      </c>
      <c r="J149" s="7">
        <v>16</v>
      </c>
      <c r="K149" s="7">
        <v>6</v>
      </c>
      <c r="L149" s="7">
        <v>8</v>
      </c>
      <c r="M149" s="8">
        <f t="shared" si="2"/>
        <v>80</v>
      </c>
    </row>
    <row r="150" spans="1:13" x14ac:dyDescent="0.15">
      <c r="A150" s="4" t="s">
        <v>962</v>
      </c>
      <c r="B150" s="5" t="s">
        <v>220</v>
      </c>
      <c r="C150" s="5" t="s">
        <v>221</v>
      </c>
      <c r="D150" s="5" t="s">
        <v>17</v>
      </c>
      <c r="E150" s="6">
        <v>33377</v>
      </c>
      <c r="F150" s="5" t="s">
        <v>8</v>
      </c>
      <c r="G150" s="5" t="s">
        <v>801</v>
      </c>
      <c r="H150" s="7">
        <v>20</v>
      </c>
      <c r="I150" s="7">
        <v>15</v>
      </c>
      <c r="J150" s="7">
        <v>1</v>
      </c>
      <c r="K150" s="7">
        <v>6</v>
      </c>
      <c r="L150" s="7">
        <v>0</v>
      </c>
      <c r="M150" s="8">
        <f t="shared" si="2"/>
        <v>42</v>
      </c>
    </row>
    <row r="151" spans="1:13" x14ac:dyDescent="0.15">
      <c r="A151" s="4" t="s">
        <v>963</v>
      </c>
      <c r="B151" s="5" t="s">
        <v>222</v>
      </c>
      <c r="C151" s="5" t="s">
        <v>223</v>
      </c>
      <c r="D151" s="5" t="s">
        <v>7</v>
      </c>
      <c r="E151" s="6">
        <v>33562</v>
      </c>
      <c r="F151" s="5" t="s">
        <v>14</v>
      </c>
      <c r="G151" s="5" t="s">
        <v>801</v>
      </c>
      <c r="H151" s="7">
        <v>33</v>
      </c>
      <c r="I151" s="7">
        <v>20</v>
      </c>
      <c r="J151" s="7">
        <v>13</v>
      </c>
      <c r="K151" s="7">
        <v>9</v>
      </c>
      <c r="L151" s="7">
        <v>0</v>
      </c>
      <c r="M151" s="8">
        <f t="shared" si="2"/>
        <v>75</v>
      </c>
    </row>
    <row r="152" spans="1:13" x14ac:dyDescent="0.15">
      <c r="A152" s="4" t="s">
        <v>964</v>
      </c>
      <c r="B152" s="5" t="s">
        <v>224</v>
      </c>
      <c r="C152" s="5" t="s">
        <v>225</v>
      </c>
      <c r="D152" s="5" t="s">
        <v>17</v>
      </c>
      <c r="E152" s="6">
        <v>33414</v>
      </c>
      <c r="F152" s="5" t="s">
        <v>14</v>
      </c>
      <c r="G152" s="5" t="s">
        <v>801</v>
      </c>
      <c r="H152" s="7">
        <v>27</v>
      </c>
      <c r="I152" s="7">
        <v>19</v>
      </c>
      <c r="J152" s="7">
        <v>14</v>
      </c>
      <c r="K152" s="7">
        <v>2</v>
      </c>
      <c r="L152" s="7">
        <v>0</v>
      </c>
      <c r="M152" s="8">
        <f t="shared" si="2"/>
        <v>62</v>
      </c>
    </row>
    <row r="153" spans="1:13" x14ac:dyDescent="0.15">
      <c r="A153" s="4" t="s">
        <v>965</v>
      </c>
      <c r="B153" s="5" t="s">
        <v>226</v>
      </c>
      <c r="C153" s="5" t="s">
        <v>227</v>
      </c>
      <c r="D153" s="5" t="s">
        <v>17</v>
      </c>
      <c r="E153" s="6">
        <v>33619</v>
      </c>
      <c r="F153" s="5" t="s">
        <v>14</v>
      </c>
      <c r="G153" s="5" t="s">
        <v>801</v>
      </c>
      <c r="H153" s="7">
        <v>32</v>
      </c>
      <c r="I153" s="7">
        <v>18</v>
      </c>
      <c r="J153" s="7">
        <v>19</v>
      </c>
      <c r="K153" s="7">
        <v>10</v>
      </c>
      <c r="L153" s="7">
        <v>8</v>
      </c>
      <c r="M153" s="8">
        <f t="shared" si="2"/>
        <v>87</v>
      </c>
    </row>
    <row r="154" spans="1:13" x14ac:dyDescent="0.15">
      <c r="A154" s="4" t="s">
        <v>966</v>
      </c>
      <c r="B154" s="5" t="s">
        <v>228</v>
      </c>
      <c r="C154" s="5" t="s">
        <v>229</v>
      </c>
      <c r="D154" s="5" t="s">
        <v>7</v>
      </c>
      <c r="E154" s="6">
        <v>33515</v>
      </c>
      <c r="F154" s="5" t="s">
        <v>14</v>
      </c>
      <c r="G154" s="5" t="s">
        <v>801</v>
      </c>
      <c r="H154" s="7">
        <v>34</v>
      </c>
      <c r="I154" s="7">
        <v>19</v>
      </c>
      <c r="J154" s="7">
        <v>19</v>
      </c>
      <c r="K154" s="7">
        <v>10</v>
      </c>
      <c r="L154" s="7">
        <v>8</v>
      </c>
      <c r="M154" s="8">
        <f t="shared" si="2"/>
        <v>90</v>
      </c>
    </row>
    <row r="155" spans="1:13" x14ac:dyDescent="0.15">
      <c r="A155" s="4" t="s">
        <v>967</v>
      </c>
      <c r="B155" s="5" t="s">
        <v>230</v>
      </c>
      <c r="C155" s="5" t="s">
        <v>231</v>
      </c>
      <c r="D155" s="5" t="s">
        <v>17</v>
      </c>
      <c r="E155" s="6">
        <v>33578</v>
      </c>
      <c r="F155" s="5" t="s">
        <v>14</v>
      </c>
      <c r="G155" s="5" t="s">
        <v>801</v>
      </c>
      <c r="H155" s="7">
        <v>24</v>
      </c>
      <c r="I155" s="7">
        <v>19</v>
      </c>
      <c r="J155" s="7">
        <v>9</v>
      </c>
      <c r="K155" s="7">
        <v>9</v>
      </c>
      <c r="L155" s="7">
        <v>3</v>
      </c>
      <c r="M155" s="8">
        <f t="shared" si="2"/>
        <v>64</v>
      </c>
    </row>
    <row r="156" spans="1:13" x14ac:dyDescent="0.15">
      <c r="A156" s="4" t="s">
        <v>968</v>
      </c>
      <c r="B156" s="5" t="s">
        <v>232</v>
      </c>
      <c r="C156" s="5" t="s">
        <v>233</v>
      </c>
      <c r="D156" s="5" t="s">
        <v>17</v>
      </c>
      <c r="E156" s="6">
        <v>33398</v>
      </c>
      <c r="F156" s="5" t="s">
        <v>14</v>
      </c>
      <c r="G156" s="5" t="s">
        <v>801</v>
      </c>
      <c r="H156" s="7">
        <v>27</v>
      </c>
      <c r="I156" s="7">
        <v>19</v>
      </c>
      <c r="J156" s="7">
        <v>18</v>
      </c>
      <c r="K156" s="7">
        <v>6</v>
      </c>
      <c r="L156" s="7">
        <v>9</v>
      </c>
      <c r="M156" s="8">
        <f t="shared" si="2"/>
        <v>79</v>
      </c>
    </row>
    <row r="157" spans="1:13" x14ac:dyDescent="0.15">
      <c r="A157" s="4" t="s">
        <v>969</v>
      </c>
      <c r="B157" s="5" t="s">
        <v>234</v>
      </c>
      <c r="C157" s="5" t="s">
        <v>235</v>
      </c>
      <c r="D157" s="5" t="s">
        <v>17</v>
      </c>
      <c r="E157" s="6">
        <v>33550</v>
      </c>
      <c r="F157" s="5" t="s">
        <v>42</v>
      </c>
      <c r="G157" s="5" t="s">
        <v>801</v>
      </c>
      <c r="H157" s="7">
        <v>28</v>
      </c>
      <c r="I157" s="7">
        <v>19</v>
      </c>
      <c r="J157" s="7">
        <v>4</v>
      </c>
      <c r="K157" s="7">
        <v>0</v>
      </c>
      <c r="L157" s="7">
        <v>0</v>
      </c>
      <c r="M157" s="8">
        <f t="shared" si="2"/>
        <v>0</v>
      </c>
    </row>
    <row r="158" spans="1:13" x14ac:dyDescent="0.15">
      <c r="A158" s="4" t="s">
        <v>970</v>
      </c>
      <c r="B158" s="5" t="s">
        <v>236</v>
      </c>
      <c r="C158" s="5" t="s">
        <v>237</v>
      </c>
      <c r="D158" s="5" t="s">
        <v>7</v>
      </c>
      <c r="E158" s="6">
        <v>33400</v>
      </c>
      <c r="F158" s="5" t="s">
        <v>14</v>
      </c>
      <c r="G158" s="5" t="s">
        <v>801</v>
      </c>
      <c r="H158" s="7">
        <v>36</v>
      </c>
      <c r="I158" s="7">
        <v>20</v>
      </c>
      <c r="J158" s="7">
        <v>17</v>
      </c>
      <c r="K158" s="7">
        <v>10</v>
      </c>
      <c r="L158" s="7">
        <v>8</v>
      </c>
      <c r="M158" s="8">
        <f t="shared" si="2"/>
        <v>91</v>
      </c>
    </row>
    <row r="159" spans="1:13" x14ac:dyDescent="0.15">
      <c r="A159" s="4" t="s">
        <v>971</v>
      </c>
      <c r="B159" s="5" t="s">
        <v>238</v>
      </c>
      <c r="C159" s="5" t="s">
        <v>239</v>
      </c>
      <c r="D159" s="5" t="s">
        <v>17</v>
      </c>
      <c r="E159" s="6">
        <v>33402</v>
      </c>
      <c r="F159" s="5" t="s">
        <v>14</v>
      </c>
      <c r="G159" s="5" t="s">
        <v>801</v>
      </c>
      <c r="H159" s="7">
        <v>32</v>
      </c>
      <c r="I159" s="7">
        <v>19</v>
      </c>
      <c r="J159" s="7">
        <v>14</v>
      </c>
      <c r="K159" s="7">
        <v>5</v>
      </c>
      <c r="L159" s="7">
        <v>8</v>
      </c>
      <c r="M159" s="8">
        <f t="shared" si="2"/>
        <v>78</v>
      </c>
    </row>
    <row r="160" spans="1:13" x14ac:dyDescent="0.15">
      <c r="A160" s="4" t="s">
        <v>972</v>
      </c>
      <c r="B160" s="5" t="s">
        <v>240</v>
      </c>
      <c r="C160" s="5" t="s">
        <v>241</v>
      </c>
      <c r="D160" s="5" t="s">
        <v>17</v>
      </c>
      <c r="E160" s="6">
        <v>33401</v>
      </c>
      <c r="F160" s="5" t="s">
        <v>14</v>
      </c>
      <c r="G160" s="5" t="s">
        <v>801</v>
      </c>
      <c r="H160" s="7">
        <v>24</v>
      </c>
      <c r="I160" s="7">
        <v>20</v>
      </c>
      <c r="J160" s="7">
        <v>18</v>
      </c>
      <c r="K160" s="7">
        <v>6</v>
      </c>
      <c r="L160" s="7">
        <v>9</v>
      </c>
      <c r="M160" s="8">
        <f t="shared" si="2"/>
        <v>77</v>
      </c>
    </row>
    <row r="161" spans="1:13" x14ac:dyDescent="0.15">
      <c r="A161" s="4" t="s">
        <v>973</v>
      </c>
      <c r="B161" s="5" t="s">
        <v>242</v>
      </c>
      <c r="C161" s="5" t="s">
        <v>243</v>
      </c>
      <c r="D161" s="5" t="s">
        <v>7</v>
      </c>
      <c r="E161" s="6">
        <v>33434</v>
      </c>
      <c r="F161" s="5" t="s">
        <v>14</v>
      </c>
      <c r="G161" s="5" t="s">
        <v>801</v>
      </c>
      <c r="H161" s="7">
        <v>34</v>
      </c>
      <c r="I161" s="7">
        <v>20</v>
      </c>
      <c r="J161" s="7">
        <v>17</v>
      </c>
      <c r="K161" s="7">
        <v>10</v>
      </c>
      <c r="L161" s="7">
        <v>8</v>
      </c>
      <c r="M161" s="8">
        <f t="shared" si="2"/>
        <v>89</v>
      </c>
    </row>
    <row r="162" spans="1:13" x14ac:dyDescent="0.15">
      <c r="A162" s="4" t="s">
        <v>974</v>
      </c>
      <c r="B162" s="5" t="s">
        <v>244</v>
      </c>
      <c r="C162" s="5" t="s">
        <v>245</v>
      </c>
      <c r="D162" s="5" t="s">
        <v>7</v>
      </c>
      <c r="E162" s="6">
        <v>33288</v>
      </c>
      <c r="F162" s="5" t="s">
        <v>14</v>
      </c>
      <c r="G162" s="5" t="s">
        <v>801</v>
      </c>
      <c r="H162" s="7">
        <v>34</v>
      </c>
      <c r="I162" s="7">
        <v>19</v>
      </c>
      <c r="J162" s="7">
        <v>16</v>
      </c>
      <c r="K162" s="7">
        <v>10</v>
      </c>
      <c r="L162" s="7">
        <v>8</v>
      </c>
      <c r="M162" s="8">
        <f t="shared" si="2"/>
        <v>87</v>
      </c>
    </row>
    <row r="163" spans="1:13" x14ac:dyDescent="0.15">
      <c r="A163" s="4" t="s">
        <v>975</v>
      </c>
      <c r="B163" s="5" t="s">
        <v>246</v>
      </c>
      <c r="C163" s="5" t="s">
        <v>247</v>
      </c>
      <c r="D163" s="5" t="s">
        <v>17</v>
      </c>
      <c r="E163" s="6">
        <v>33404</v>
      </c>
      <c r="F163" s="5" t="s">
        <v>8</v>
      </c>
      <c r="G163" s="5" t="s">
        <v>801</v>
      </c>
      <c r="H163" s="7">
        <v>14</v>
      </c>
      <c r="I163" s="7">
        <v>15</v>
      </c>
      <c r="J163" s="7">
        <v>5</v>
      </c>
      <c r="K163" s="7">
        <v>2</v>
      </c>
      <c r="L163" s="7">
        <v>0</v>
      </c>
      <c r="M163" s="8">
        <f t="shared" si="2"/>
        <v>36</v>
      </c>
    </row>
    <row r="164" spans="1:13" x14ac:dyDescent="0.15">
      <c r="A164" s="4" t="s">
        <v>976</v>
      </c>
      <c r="B164" s="5" t="s">
        <v>248</v>
      </c>
      <c r="C164" s="5" t="s">
        <v>249</v>
      </c>
      <c r="D164" s="5" t="s">
        <v>17</v>
      </c>
      <c r="E164" s="6">
        <v>33562</v>
      </c>
      <c r="F164" s="5" t="s">
        <v>11</v>
      </c>
      <c r="G164" s="5" t="s">
        <v>801</v>
      </c>
      <c r="H164" s="7">
        <v>30</v>
      </c>
      <c r="I164" s="7">
        <v>18</v>
      </c>
      <c r="J164" s="7">
        <v>18</v>
      </c>
      <c r="K164" s="7">
        <v>10</v>
      </c>
      <c r="L164" s="7">
        <v>8</v>
      </c>
      <c r="M164" s="8">
        <f t="shared" si="2"/>
        <v>84</v>
      </c>
    </row>
    <row r="165" spans="1:13" x14ac:dyDescent="0.15">
      <c r="A165" s="4" t="s">
        <v>977</v>
      </c>
      <c r="B165" s="5" t="s">
        <v>250</v>
      </c>
      <c r="C165" s="5" t="s">
        <v>251</v>
      </c>
      <c r="D165" s="5" t="s">
        <v>7</v>
      </c>
      <c r="E165" s="6">
        <v>33516</v>
      </c>
      <c r="F165" s="5" t="s">
        <v>14</v>
      </c>
      <c r="G165" s="5" t="s">
        <v>801</v>
      </c>
      <c r="H165" s="7">
        <v>32</v>
      </c>
      <c r="I165" s="7">
        <v>18</v>
      </c>
      <c r="J165" s="7">
        <v>15</v>
      </c>
      <c r="K165" s="7">
        <v>10</v>
      </c>
      <c r="L165" s="7">
        <v>8</v>
      </c>
      <c r="M165" s="8">
        <f t="shared" si="2"/>
        <v>83</v>
      </c>
    </row>
    <row r="166" spans="1:13" x14ac:dyDescent="0.15">
      <c r="A166" s="4" t="s">
        <v>978</v>
      </c>
      <c r="B166" s="5" t="s">
        <v>252</v>
      </c>
      <c r="C166" s="5" t="s">
        <v>253</v>
      </c>
      <c r="D166" s="5" t="s">
        <v>7</v>
      </c>
      <c r="E166" s="6">
        <v>33550</v>
      </c>
      <c r="F166" s="5" t="s">
        <v>14</v>
      </c>
      <c r="G166" s="5" t="s">
        <v>801</v>
      </c>
      <c r="H166" s="7">
        <v>32</v>
      </c>
      <c r="I166" s="7">
        <v>20</v>
      </c>
      <c r="J166" s="7">
        <v>20</v>
      </c>
      <c r="K166" s="7">
        <v>10</v>
      </c>
      <c r="L166" s="7">
        <v>10</v>
      </c>
      <c r="M166" s="8">
        <f t="shared" si="2"/>
        <v>92</v>
      </c>
    </row>
    <row r="167" spans="1:13" x14ac:dyDescent="0.15">
      <c r="A167" s="4" t="s">
        <v>979</v>
      </c>
      <c r="B167" s="5" t="s">
        <v>254</v>
      </c>
      <c r="C167" s="5" t="s">
        <v>255</v>
      </c>
      <c r="D167" s="5" t="s">
        <v>7</v>
      </c>
      <c r="E167" s="6">
        <v>33395</v>
      </c>
      <c r="F167" s="5" t="s">
        <v>14</v>
      </c>
      <c r="G167" s="5" t="s">
        <v>801</v>
      </c>
      <c r="H167" s="7">
        <v>27</v>
      </c>
      <c r="I167" s="7">
        <v>19</v>
      </c>
      <c r="J167" s="7">
        <v>19</v>
      </c>
      <c r="K167" s="7">
        <v>10</v>
      </c>
      <c r="L167" s="7">
        <v>10</v>
      </c>
      <c r="M167" s="8">
        <f t="shared" si="2"/>
        <v>85</v>
      </c>
    </row>
    <row r="168" spans="1:13" x14ac:dyDescent="0.15">
      <c r="A168" s="4" t="s">
        <v>980</v>
      </c>
      <c r="B168" s="5" t="s">
        <v>256</v>
      </c>
      <c r="C168" s="5" t="s">
        <v>257</v>
      </c>
      <c r="D168" s="5" t="s">
        <v>7</v>
      </c>
      <c r="E168" s="6">
        <v>33517</v>
      </c>
      <c r="F168" s="5" t="s">
        <v>14</v>
      </c>
      <c r="G168" s="5" t="s">
        <v>801</v>
      </c>
      <c r="H168" s="7">
        <v>30</v>
      </c>
      <c r="I168" s="7">
        <v>20</v>
      </c>
      <c r="J168" s="7">
        <v>19</v>
      </c>
      <c r="K168" s="7">
        <v>10</v>
      </c>
      <c r="L168" s="7">
        <v>8</v>
      </c>
      <c r="M168" s="8">
        <f t="shared" si="2"/>
        <v>87</v>
      </c>
    </row>
    <row r="169" spans="1:13" x14ac:dyDescent="0.15">
      <c r="A169" s="4" t="s">
        <v>981</v>
      </c>
      <c r="B169" s="5" t="s">
        <v>258</v>
      </c>
      <c r="C169" s="5" t="s">
        <v>259</v>
      </c>
      <c r="D169" s="5" t="s">
        <v>17</v>
      </c>
      <c r="E169" s="6">
        <v>33421</v>
      </c>
      <c r="F169" s="5" t="s">
        <v>14</v>
      </c>
      <c r="G169" s="5" t="s">
        <v>801</v>
      </c>
      <c r="H169" s="7">
        <v>33</v>
      </c>
      <c r="I169" s="7">
        <v>20</v>
      </c>
      <c r="J169" s="7">
        <v>16</v>
      </c>
      <c r="K169" s="7">
        <v>10</v>
      </c>
      <c r="L169" s="7">
        <v>9</v>
      </c>
      <c r="M169" s="8">
        <f t="shared" si="2"/>
        <v>88</v>
      </c>
    </row>
    <row r="170" spans="1:13" x14ac:dyDescent="0.15">
      <c r="A170" s="4" t="s">
        <v>982</v>
      </c>
      <c r="B170" s="5" t="s">
        <v>260</v>
      </c>
      <c r="C170" s="5" t="s">
        <v>261</v>
      </c>
      <c r="D170" s="5" t="s">
        <v>7</v>
      </c>
      <c r="E170" s="6">
        <v>33385</v>
      </c>
      <c r="F170" s="5" t="s">
        <v>14</v>
      </c>
      <c r="G170" s="5" t="s">
        <v>801</v>
      </c>
      <c r="H170" s="7">
        <v>34</v>
      </c>
      <c r="I170" s="7">
        <v>20</v>
      </c>
      <c r="J170" s="7">
        <v>20</v>
      </c>
      <c r="K170" s="7">
        <v>10</v>
      </c>
      <c r="L170" s="7">
        <v>9</v>
      </c>
      <c r="M170" s="8">
        <f t="shared" si="2"/>
        <v>93</v>
      </c>
    </row>
    <row r="171" spans="1:13" x14ac:dyDescent="0.15">
      <c r="A171" s="4" t="s">
        <v>983</v>
      </c>
      <c r="B171" s="5" t="s">
        <v>262</v>
      </c>
      <c r="C171" s="5" t="s">
        <v>263</v>
      </c>
      <c r="D171" s="5" t="s">
        <v>17</v>
      </c>
      <c r="E171" s="6">
        <v>33439</v>
      </c>
      <c r="F171" s="5" t="s">
        <v>14</v>
      </c>
      <c r="G171" s="5" t="s">
        <v>801</v>
      </c>
      <c r="H171" s="7">
        <v>28</v>
      </c>
      <c r="I171" s="7">
        <v>19</v>
      </c>
      <c r="J171" s="7">
        <v>15</v>
      </c>
      <c r="K171" s="7">
        <v>10</v>
      </c>
      <c r="L171" s="7">
        <v>10</v>
      </c>
      <c r="M171" s="8">
        <f t="shared" si="2"/>
        <v>82</v>
      </c>
    </row>
    <row r="172" spans="1:13" x14ac:dyDescent="0.15">
      <c r="A172" s="4" t="s">
        <v>984</v>
      </c>
      <c r="B172" s="5" t="s">
        <v>264</v>
      </c>
      <c r="C172" s="5" t="s">
        <v>265</v>
      </c>
      <c r="D172" s="5" t="s">
        <v>7</v>
      </c>
      <c r="E172" s="6">
        <v>33548</v>
      </c>
      <c r="F172" s="5" t="s">
        <v>42</v>
      </c>
      <c r="G172" s="5" t="s">
        <v>801</v>
      </c>
      <c r="H172" s="7">
        <v>35</v>
      </c>
      <c r="I172" s="7">
        <v>20</v>
      </c>
      <c r="J172" s="7">
        <v>18</v>
      </c>
      <c r="K172" s="7">
        <v>10</v>
      </c>
      <c r="L172" s="7">
        <v>9</v>
      </c>
      <c r="M172" s="8">
        <f t="shared" si="2"/>
        <v>92</v>
      </c>
    </row>
    <row r="173" spans="1:13" x14ac:dyDescent="0.15">
      <c r="A173" s="4" t="s">
        <v>985</v>
      </c>
      <c r="B173" s="5" t="s">
        <v>266</v>
      </c>
      <c r="C173" s="5" t="s">
        <v>267</v>
      </c>
      <c r="D173" s="5" t="s">
        <v>7</v>
      </c>
      <c r="E173" s="6">
        <v>33565</v>
      </c>
      <c r="F173" s="5" t="s">
        <v>14</v>
      </c>
      <c r="G173" s="5" t="s">
        <v>801</v>
      </c>
      <c r="H173" s="7">
        <v>35</v>
      </c>
      <c r="I173" s="7">
        <v>19</v>
      </c>
      <c r="J173" s="7">
        <v>17</v>
      </c>
      <c r="K173" s="7">
        <v>10</v>
      </c>
      <c r="L173" s="7">
        <v>9</v>
      </c>
      <c r="M173" s="8">
        <f t="shared" si="2"/>
        <v>90</v>
      </c>
    </row>
    <row r="174" spans="1:13" x14ac:dyDescent="0.15">
      <c r="A174" s="4" t="s">
        <v>986</v>
      </c>
      <c r="B174" s="5" t="s">
        <v>268</v>
      </c>
      <c r="C174" s="5" t="s">
        <v>269</v>
      </c>
      <c r="D174" s="5" t="s">
        <v>7</v>
      </c>
      <c r="E174" s="6">
        <v>33543</v>
      </c>
      <c r="F174" s="5" t="s">
        <v>14</v>
      </c>
      <c r="G174" s="5" t="s">
        <v>801</v>
      </c>
      <c r="H174" s="7">
        <v>27</v>
      </c>
      <c r="I174" s="7">
        <v>19</v>
      </c>
      <c r="J174" s="7">
        <v>17</v>
      </c>
      <c r="K174" s="7">
        <v>10</v>
      </c>
      <c r="L174" s="7">
        <v>9</v>
      </c>
      <c r="M174" s="8">
        <f t="shared" si="2"/>
        <v>82</v>
      </c>
    </row>
    <row r="175" spans="1:13" x14ac:dyDescent="0.15">
      <c r="A175" s="4" t="s">
        <v>987</v>
      </c>
      <c r="B175" s="5" t="s">
        <v>270</v>
      </c>
      <c r="C175" s="5" t="s">
        <v>271</v>
      </c>
      <c r="D175" s="5" t="s">
        <v>7</v>
      </c>
      <c r="E175" s="6">
        <v>33493</v>
      </c>
      <c r="F175" s="5" t="s">
        <v>61</v>
      </c>
      <c r="G175" s="5" t="s">
        <v>801</v>
      </c>
      <c r="H175" s="7">
        <v>35</v>
      </c>
      <c r="I175" s="7">
        <v>17</v>
      </c>
      <c r="J175" s="7">
        <v>18</v>
      </c>
      <c r="K175" s="7">
        <v>10</v>
      </c>
      <c r="L175" s="7">
        <v>9</v>
      </c>
      <c r="M175" s="8">
        <f t="shared" si="2"/>
        <v>89</v>
      </c>
    </row>
    <row r="176" spans="1:13" x14ac:dyDescent="0.15">
      <c r="A176" s="4" t="s">
        <v>988</v>
      </c>
      <c r="B176" s="5" t="s">
        <v>272</v>
      </c>
      <c r="C176" s="5" t="s">
        <v>273</v>
      </c>
      <c r="D176" s="5" t="s">
        <v>7</v>
      </c>
      <c r="E176" s="6">
        <v>33552</v>
      </c>
      <c r="F176" s="5" t="s">
        <v>14</v>
      </c>
      <c r="G176" s="5" t="s">
        <v>801</v>
      </c>
      <c r="H176" s="7">
        <v>30</v>
      </c>
      <c r="I176" s="7">
        <v>20</v>
      </c>
      <c r="J176" s="7">
        <v>19</v>
      </c>
      <c r="K176" s="7">
        <v>10</v>
      </c>
      <c r="L176" s="7">
        <v>8</v>
      </c>
      <c r="M176" s="8">
        <f t="shared" si="2"/>
        <v>87</v>
      </c>
    </row>
    <row r="177" spans="1:13" x14ac:dyDescent="0.15">
      <c r="A177" s="4" t="s">
        <v>989</v>
      </c>
      <c r="B177" s="5" t="s">
        <v>274</v>
      </c>
      <c r="C177" s="5" t="s">
        <v>275</v>
      </c>
      <c r="D177" s="5" t="s">
        <v>17</v>
      </c>
      <c r="E177" s="6">
        <v>33513</v>
      </c>
      <c r="F177" s="5" t="s">
        <v>14</v>
      </c>
      <c r="G177" s="5" t="s">
        <v>801</v>
      </c>
      <c r="H177" s="7">
        <v>32</v>
      </c>
      <c r="I177" s="7">
        <v>20</v>
      </c>
      <c r="J177" s="7">
        <v>19</v>
      </c>
      <c r="K177" s="7">
        <v>10</v>
      </c>
      <c r="L177" s="7">
        <v>9</v>
      </c>
      <c r="M177" s="8">
        <f t="shared" si="2"/>
        <v>90</v>
      </c>
    </row>
    <row r="178" spans="1:13" x14ac:dyDescent="0.15">
      <c r="A178" s="4" t="s">
        <v>990</v>
      </c>
      <c r="B178" s="5" t="s">
        <v>276</v>
      </c>
      <c r="C178" s="5" t="s">
        <v>277</v>
      </c>
      <c r="D178" s="5" t="s">
        <v>7</v>
      </c>
      <c r="E178" s="6">
        <v>33289</v>
      </c>
      <c r="F178" s="5" t="s">
        <v>8</v>
      </c>
      <c r="G178" s="5" t="s">
        <v>801</v>
      </c>
      <c r="H178" s="7">
        <v>22</v>
      </c>
      <c r="I178" s="7">
        <v>20</v>
      </c>
      <c r="J178" s="7">
        <v>19</v>
      </c>
      <c r="K178" s="7">
        <v>10</v>
      </c>
      <c r="L178" s="7">
        <v>9</v>
      </c>
      <c r="M178" s="8">
        <f t="shared" si="2"/>
        <v>80</v>
      </c>
    </row>
    <row r="179" spans="1:13" x14ac:dyDescent="0.15">
      <c r="A179" s="4" t="s">
        <v>991</v>
      </c>
      <c r="B179" s="5" t="s">
        <v>278</v>
      </c>
      <c r="C179" s="5" t="s">
        <v>279</v>
      </c>
      <c r="D179" s="5" t="s">
        <v>17</v>
      </c>
      <c r="E179" s="6">
        <v>33517</v>
      </c>
      <c r="F179" s="5" t="s">
        <v>14</v>
      </c>
      <c r="G179" s="5" t="s">
        <v>801</v>
      </c>
      <c r="H179" s="7">
        <v>33</v>
      </c>
      <c r="I179" s="7">
        <v>18</v>
      </c>
      <c r="J179" s="7">
        <v>20</v>
      </c>
      <c r="K179" s="7">
        <v>8</v>
      </c>
      <c r="L179" s="7">
        <v>9</v>
      </c>
      <c r="M179" s="8">
        <f t="shared" si="2"/>
        <v>88</v>
      </c>
    </row>
    <row r="180" spans="1:13" x14ac:dyDescent="0.15">
      <c r="A180" s="4" t="s">
        <v>992</v>
      </c>
      <c r="B180" s="5" t="s">
        <v>280</v>
      </c>
      <c r="C180" s="5" t="s">
        <v>281</v>
      </c>
      <c r="D180" s="5" t="s">
        <v>17</v>
      </c>
      <c r="E180" s="6">
        <v>33437</v>
      </c>
      <c r="F180" s="5" t="s">
        <v>14</v>
      </c>
      <c r="G180" s="5" t="s">
        <v>801</v>
      </c>
      <c r="H180" s="7">
        <v>31</v>
      </c>
      <c r="I180" s="7">
        <v>20</v>
      </c>
      <c r="J180" s="7">
        <v>16</v>
      </c>
      <c r="K180" s="7">
        <v>10</v>
      </c>
      <c r="L180" s="7">
        <v>10</v>
      </c>
      <c r="M180" s="8">
        <f t="shared" si="2"/>
        <v>87</v>
      </c>
    </row>
    <row r="181" spans="1:13" x14ac:dyDescent="0.15">
      <c r="A181" s="4" t="s">
        <v>993</v>
      </c>
      <c r="B181" s="5" t="s">
        <v>282</v>
      </c>
      <c r="C181" s="5" t="s">
        <v>283</v>
      </c>
      <c r="D181" s="5" t="s">
        <v>17</v>
      </c>
      <c r="E181" s="6">
        <v>33282</v>
      </c>
      <c r="F181" s="5" t="s">
        <v>14</v>
      </c>
      <c r="G181" s="5" t="s">
        <v>801</v>
      </c>
      <c r="H181" s="7">
        <v>37</v>
      </c>
      <c r="I181" s="7">
        <v>19</v>
      </c>
      <c r="J181" s="7">
        <v>19</v>
      </c>
      <c r="K181" s="7">
        <v>10</v>
      </c>
      <c r="L181" s="7">
        <v>9</v>
      </c>
      <c r="M181" s="8">
        <f t="shared" si="2"/>
        <v>94</v>
      </c>
    </row>
    <row r="182" spans="1:13" x14ac:dyDescent="0.15">
      <c r="A182" s="4" t="s">
        <v>994</v>
      </c>
      <c r="B182" s="5" t="s">
        <v>284</v>
      </c>
      <c r="C182" s="5" t="s">
        <v>285</v>
      </c>
      <c r="D182" s="5" t="s">
        <v>7</v>
      </c>
      <c r="E182" s="6">
        <v>33557</v>
      </c>
      <c r="F182" s="5" t="s">
        <v>14</v>
      </c>
      <c r="G182" s="5" t="s">
        <v>801</v>
      </c>
      <c r="H182" s="7">
        <v>34</v>
      </c>
      <c r="I182" s="7">
        <v>19</v>
      </c>
      <c r="J182" s="7">
        <v>20</v>
      </c>
      <c r="K182" s="7">
        <v>10</v>
      </c>
      <c r="L182" s="7">
        <v>9</v>
      </c>
      <c r="M182" s="8">
        <f t="shared" si="2"/>
        <v>92</v>
      </c>
    </row>
    <row r="183" spans="1:13" x14ac:dyDescent="0.15">
      <c r="A183" s="4" t="s">
        <v>995</v>
      </c>
      <c r="B183" s="5" t="s">
        <v>286</v>
      </c>
      <c r="C183" s="5" t="s">
        <v>287</v>
      </c>
      <c r="D183" s="5" t="s">
        <v>7</v>
      </c>
      <c r="E183" s="6">
        <v>33513</v>
      </c>
      <c r="F183" s="5" t="s">
        <v>14</v>
      </c>
      <c r="G183" s="5" t="s">
        <v>801</v>
      </c>
      <c r="H183" s="7">
        <v>36</v>
      </c>
      <c r="I183" s="7">
        <v>18</v>
      </c>
      <c r="J183" s="7">
        <v>19</v>
      </c>
      <c r="K183" s="7">
        <v>10</v>
      </c>
      <c r="L183" s="7">
        <v>9</v>
      </c>
      <c r="M183" s="8">
        <f t="shared" si="2"/>
        <v>92</v>
      </c>
    </row>
    <row r="184" spans="1:13" x14ac:dyDescent="0.15">
      <c r="A184" s="4" t="s">
        <v>996</v>
      </c>
      <c r="B184" s="5" t="s">
        <v>288</v>
      </c>
      <c r="C184" s="5" t="s">
        <v>289</v>
      </c>
      <c r="D184" s="5" t="s">
        <v>7</v>
      </c>
      <c r="E184" s="6">
        <v>33515</v>
      </c>
      <c r="F184" s="5" t="s">
        <v>14</v>
      </c>
      <c r="G184" s="5" t="s">
        <v>801</v>
      </c>
      <c r="H184" s="7">
        <v>31</v>
      </c>
      <c r="I184" s="7">
        <v>19</v>
      </c>
      <c r="J184" s="7">
        <v>18</v>
      </c>
      <c r="K184" s="7">
        <v>9</v>
      </c>
      <c r="L184" s="7">
        <v>9</v>
      </c>
      <c r="M184" s="8">
        <f t="shared" si="2"/>
        <v>86</v>
      </c>
    </row>
    <row r="185" spans="1:13" x14ac:dyDescent="0.15">
      <c r="A185" s="4" t="s">
        <v>997</v>
      </c>
      <c r="B185" s="5" t="s">
        <v>290</v>
      </c>
      <c r="C185" s="5" t="s">
        <v>291</v>
      </c>
      <c r="D185" s="5" t="s">
        <v>7</v>
      </c>
      <c r="E185" s="6">
        <v>33287</v>
      </c>
      <c r="F185" s="5" t="s">
        <v>14</v>
      </c>
      <c r="G185" s="5" t="s">
        <v>801</v>
      </c>
      <c r="H185" s="7">
        <v>36</v>
      </c>
      <c r="I185" s="7">
        <v>19</v>
      </c>
      <c r="J185" s="7">
        <v>18</v>
      </c>
      <c r="K185" s="7">
        <v>10</v>
      </c>
      <c r="L185" s="7">
        <v>10</v>
      </c>
      <c r="M185" s="8">
        <f t="shared" si="2"/>
        <v>93</v>
      </c>
    </row>
    <row r="186" spans="1:13" x14ac:dyDescent="0.15">
      <c r="A186" s="4" t="s">
        <v>998</v>
      </c>
      <c r="B186" s="5" t="s">
        <v>292</v>
      </c>
      <c r="C186" s="5" t="s">
        <v>293</v>
      </c>
      <c r="D186" s="5" t="s">
        <v>7</v>
      </c>
      <c r="E186" s="6">
        <v>33554</v>
      </c>
      <c r="F186" s="5" t="s">
        <v>14</v>
      </c>
      <c r="G186" s="5" t="s">
        <v>801</v>
      </c>
      <c r="H186" s="7">
        <v>28</v>
      </c>
      <c r="I186" s="7">
        <v>19</v>
      </c>
      <c r="J186" s="7">
        <v>20</v>
      </c>
      <c r="K186" s="7">
        <v>10</v>
      </c>
      <c r="L186" s="7">
        <v>9</v>
      </c>
      <c r="M186" s="8">
        <f t="shared" si="2"/>
        <v>86</v>
      </c>
    </row>
    <row r="187" spans="1:13" x14ac:dyDescent="0.15">
      <c r="A187" s="4" t="s">
        <v>999</v>
      </c>
      <c r="B187" s="5" t="s">
        <v>294</v>
      </c>
      <c r="C187" s="5" t="s">
        <v>295</v>
      </c>
      <c r="D187" s="5" t="s">
        <v>17</v>
      </c>
      <c r="E187" s="6">
        <v>33357</v>
      </c>
      <c r="F187" s="5" t="s">
        <v>14</v>
      </c>
      <c r="G187" s="5" t="s">
        <v>801</v>
      </c>
      <c r="H187" s="7">
        <v>30</v>
      </c>
      <c r="I187" s="7">
        <v>20</v>
      </c>
      <c r="J187" s="7">
        <v>20</v>
      </c>
      <c r="K187" s="7">
        <v>10</v>
      </c>
      <c r="L187" s="7">
        <v>9</v>
      </c>
      <c r="M187" s="8">
        <f t="shared" si="2"/>
        <v>89</v>
      </c>
    </row>
    <row r="188" spans="1:13" x14ac:dyDescent="0.15">
      <c r="A188" s="4" t="s">
        <v>1000</v>
      </c>
      <c r="B188" s="5" t="s">
        <v>296</v>
      </c>
      <c r="C188" s="5" t="s">
        <v>297</v>
      </c>
      <c r="D188" s="5" t="s">
        <v>7</v>
      </c>
      <c r="E188" s="6">
        <v>33516</v>
      </c>
      <c r="F188" s="5" t="s">
        <v>14</v>
      </c>
      <c r="G188" s="5" t="s">
        <v>801</v>
      </c>
      <c r="H188" s="7">
        <v>33</v>
      </c>
      <c r="I188" s="7">
        <v>19</v>
      </c>
      <c r="J188" s="7">
        <v>19</v>
      </c>
      <c r="K188" s="7">
        <v>10</v>
      </c>
      <c r="L188" s="7">
        <v>8</v>
      </c>
      <c r="M188" s="8">
        <f t="shared" si="2"/>
        <v>89</v>
      </c>
    </row>
    <row r="189" spans="1:13" x14ac:dyDescent="0.15">
      <c r="A189" s="4" t="s">
        <v>1001</v>
      </c>
      <c r="B189" s="5" t="s">
        <v>298</v>
      </c>
      <c r="C189" s="5" t="s">
        <v>299</v>
      </c>
      <c r="D189" s="5" t="s">
        <v>7</v>
      </c>
      <c r="E189" s="6">
        <v>33412</v>
      </c>
      <c r="F189" s="5" t="s">
        <v>14</v>
      </c>
      <c r="G189" s="5" t="s">
        <v>801</v>
      </c>
      <c r="H189" s="7">
        <v>30</v>
      </c>
      <c r="I189" s="7">
        <v>19</v>
      </c>
      <c r="J189" s="7">
        <v>18</v>
      </c>
      <c r="K189" s="7">
        <v>10</v>
      </c>
      <c r="L189" s="7">
        <v>7</v>
      </c>
      <c r="M189" s="8">
        <f t="shared" si="2"/>
        <v>84</v>
      </c>
    </row>
    <row r="190" spans="1:13" x14ac:dyDescent="0.15">
      <c r="A190" s="4" t="s">
        <v>1002</v>
      </c>
      <c r="B190" s="5" t="s">
        <v>300</v>
      </c>
      <c r="C190" s="5" t="s">
        <v>301</v>
      </c>
      <c r="D190" s="5" t="s">
        <v>7</v>
      </c>
      <c r="E190" s="6">
        <v>33413</v>
      </c>
      <c r="F190" s="5" t="s">
        <v>11</v>
      </c>
      <c r="G190" s="5" t="s">
        <v>801</v>
      </c>
      <c r="H190" s="7">
        <v>36</v>
      </c>
      <c r="I190" s="7">
        <v>18</v>
      </c>
      <c r="J190" s="7">
        <v>19</v>
      </c>
      <c r="K190" s="7">
        <v>10</v>
      </c>
      <c r="L190" s="7">
        <v>9</v>
      </c>
      <c r="M190" s="8">
        <f t="shared" si="2"/>
        <v>92</v>
      </c>
    </row>
    <row r="191" spans="1:13" x14ac:dyDescent="0.15">
      <c r="A191" s="4" t="s">
        <v>1003</v>
      </c>
      <c r="B191" s="5" t="s">
        <v>302</v>
      </c>
      <c r="C191" s="5" t="s">
        <v>303</v>
      </c>
      <c r="D191" s="5" t="s">
        <v>7</v>
      </c>
      <c r="E191" s="6">
        <v>33316</v>
      </c>
      <c r="F191" s="5" t="s">
        <v>14</v>
      </c>
      <c r="G191" s="5" t="s">
        <v>801</v>
      </c>
      <c r="H191" s="7">
        <v>30</v>
      </c>
      <c r="I191" s="7">
        <v>20</v>
      </c>
      <c r="J191" s="7">
        <v>20</v>
      </c>
      <c r="K191" s="7">
        <v>10</v>
      </c>
      <c r="L191" s="7">
        <v>9</v>
      </c>
      <c r="M191" s="8">
        <f t="shared" si="2"/>
        <v>89</v>
      </c>
    </row>
    <row r="192" spans="1:13" x14ac:dyDescent="0.15">
      <c r="A192" s="4" t="s">
        <v>1004</v>
      </c>
      <c r="B192" s="5" t="s">
        <v>304</v>
      </c>
      <c r="C192" s="5" t="s">
        <v>305</v>
      </c>
      <c r="D192" s="5" t="s">
        <v>7</v>
      </c>
      <c r="E192" s="6">
        <v>33495</v>
      </c>
      <c r="F192" s="5" t="s">
        <v>14</v>
      </c>
      <c r="G192" s="5" t="s">
        <v>801</v>
      </c>
      <c r="H192" s="7">
        <v>33</v>
      </c>
      <c r="I192" s="7">
        <v>19</v>
      </c>
      <c r="J192" s="7">
        <v>20</v>
      </c>
      <c r="K192" s="7">
        <v>10</v>
      </c>
      <c r="L192" s="7">
        <v>10</v>
      </c>
      <c r="M192" s="8">
        <f t="shared" si="2"/>
        <v>92</v>
      </c>
    </row>
    <row r="193" spans="1:13" x14ac:dyDescent="0.15">
      <c r="A193" s="4" t="s">
        <v>1005</v>
      </c>
      <c r="B193" s="5" t="s">
        <v>306</v>
      </c>
      <c r="C193" s="5" t="s">
        <v>307</v>
      </c>
      <c r="D193" s="5" t="s">
        <v>7</v>
      </c>
      <c r="E193" s="6">
        <v>33291</v>
      </c>
      <c r="F193" s="5" t="s">
        <v>42</v>
      </c>
      <c r="G193" s="5" t="s">
        <v>801</v>
      </c>
      <c r="H193" s="7">
        <v>30</v>
      </c>
      <c r="I193" s="7">
        <v>19</v>
      </c>
      <c r="J193" s="7">
        <v>18</v>
      </c>
      <c r="K193" s="7">
        <v>8</v>
      </c>
      <c r="L193" s="7">
        <v>9</v>
      </c>
      <c r="M193" s="8">
        <f t="shared" si="2"/>
        <v>84</v>
      </c>
    </row>
    <row r="194" spans="1:13" x14ac:dyDescent="0.15">
      <c r="A194" s="4" t="s">
        <v>1006</v>
      </c>
      <c r="B194" s="5" t="s">
        <v>308</v>
      </c>
      <c r="C194" s="5" t="s">
        <v>309</v>
      </c>
      <c r="D194" s="5" t="s">
        <v>17</v>
      </c>
      <c r="E194" s="6">
        <v>33441</v>
      </c>
      <c r="F194" s="5" t="s">
        <v>14</v>
      </c>
      <c r="G194" s="5" t="s">
        <v>801</v>
      </c>
      <c r="H194" s="7">
        <v>32</v>
      </c>
      <c r="I194" s="7">
        <v>18</v>
      </c>
      <c r="J194" s="7">
        <v>20</v>
      </c>
      <c r="K194" s="7">
        <v>9</v>
      </c>
      <c r="L194" s="7">
        <v>9</v>
      </c>
      <c r="M194" s="8">
        <f t="shared" si="2"/>
        <v>88</v>
      </c>
    </row>
    <row r="195" spans="1:13" x14ac:dyDescent="0.15">
      <c r="A195" s="4" t="s">
        <v>1007</v>
      </c>
      <c r="B195" s="5" t="s">
        <v>310</v>
      </c>
      <c r="C195" s="5" t="s">
        <v>311</v>
      </c>
      <c r="D195" s="5" t="s">
        <v>17</v>
      </c>
      <c r="E195" s="6">
        <v>33384</v>
      </c>
      <c r="F195" s="5" t="s">
        <v>14</v>
      </c>
      <c r="G195" s="5" t="s">
        <v>801</v>
      </c>
      <c r="H195" s="7">
        <v>34</v>
      </c>
      <c r="I195" s="7">
        <v>20</v>
      </c>
      <c r="J195" s="7">
        <v>19</v>
      </c>
      <c r="K195" s="7">
        <v>9</v>
      </c>
      <c r="L195" s="7">
        <v>10</v>
      </c>
      <c r="M195" s="8">
        <f t="shared" si="2"/>
        <v>92</v>
      </c>
    </row>
    <row r="196" spans="1:13" x14ac:dyDescent="0.15">
      <c r="A196" s="4" t="s">
        <v>1008</v>
      </c>
      <c r="B196" s="5" t="s">
        <v>312</v>
      </c>
      <c r="C196" s="5" t="s">
        <v>313</v>
      </c>
      <c r="D196" s="5" t="s">
        <v>17</v>
      </c>
      <c r="E196" s="6">
        <v>33273</v>
      </c>
      <c r="F196" s="5" t="s">
        <v>14</v>
      </c>
      <c r="G196" s="5" t="s">
        <v>801</v>
      </c>
      <c r="H196" s="7">
        <v>37</v>
      </c>
      <c r="I196" s="7">
        <v>19</v>
      </c>
      <c r="J196" s="7">
        <v>20</v>
      </c>
      <c r="K196" s="7">
        <v>10</v>
      </c>
      <c r="L196" s="7">
        <v>10</v>
      </c>
      <c r="M196" s="8">
        <f t="shared" ref="M196:M259" si="3">IF(COUNTIF(H196:L196,"=0")&gt;=2,0,SUM(H196:L196))</f>
        <v>96</v>
      </c>
    </row>
    <row r="197" spans="1:13" x14ac:dyDescent="0.15">
      <c r="A197" s="4" t="s">
        <v>1009</v>
      </c>
      <c r="B197" s="5" t="s">
        <v>314</v>
      </c>
      <c r="C197" s="5" t="s">
        <v>315</v>
      </c>
      <c r="D197" s="5" t="s">
        <v>7</v>
      </c>
      <c r="E197" s="6">
        <v>33311</v>
      </c>
      <c r="F197" s="5" t="s">
        <v>8</v>
      </c>
      <c r="G197" s="5" t="s">
        <v>801</v>
      </c>
      <c r="H197" s="7">
        <v>36</v>
      </c>
      <c r="I197" s="7">
        <v>19</v>
      </c>
      <c r="J197" s="7">
        <v>19</v>
      </c>
      <c r="K197" s="7">
        <v>10</v>
      </c>
      <c r="L197" s="7">
        <v>10</v>
      </c>
      <c r="M197" s="8">
        <f t="shared" si="3"/>
        <v>94</v>
      </c>
    </row>
    <row r="198" spans="1:13" x14ac:dyDescent="0.15">
      <c r="A198" s="4" t="s">
        <v>1010</v>
      </c>
      <c r="B198" s="5" t="s">
        <v>316</v>
      </c>
      <c r="C198" s="5" t="s">
        <v>317</v>
      </c>
      <c r="D198" s="5" t="s">
        <v>17</v>
      </c>
      <c r="E198" s="6">
        <v>33442</v>
      </c>
      <c r="F198" s="5" t="s">
        <v>14</v>
      </c>
      <c r="G198" s="5" t="s">
        <v>801</v>
      </c>
      <c r="H198" s="7">
        <v>37</v>
      </c>
      <c r="I198" s="7">
        <v>18</v>
      </c>
      <c r="J198" s="7">
        <v>15</v>
      </c>
      <c r="K198" s="7">
        <v>10</v>
      </c>
      <c r="L198" s="7">
        <v>10</v>
      </c>
      <c r="M198" s="8">
        <f t="shared" si="3"/>
        <v>90</v>
      </c>
    </row>
    <row r="199" spans="1:13" x14ac:dyDescent="0.15">
      <c r="A199" s="4" t="s">
        <v>1011</v>
      </c>
      <c r="B199" s="5" t="s">
        <v>318</v>
      </c>
      <c r="C199" s="5" t="s">
        <v>319</v>
      </c>
      <c r="D199" s="5" t="s">
        <v>17</v>
      </c>
      <c r="E199" s="6">
        <v>33515</v>
      </c>
      <c r="F199" s="5" t="s">
        <v>14</v>
      </c>
      <c r="G199" s="5" t="s">
        <v>801</v>
      </c>
      <c r="H199" s="7">
        <v>32</v>
      </c>
      <c r="I199" s="7">
        <v>19</v>
      </c>
      <c r="J199" s="7">
        <v>20</v>
      </c>
      <c r="K199" s="7">
        <v>10</v>
      </c>
      <c r="L199" s="7">
        <v>9</v>
      </c>
      <c r="M199" s="8">
        <f t="shared" si="3"/>
        <v>90</v>
      </c>
    </row>
    <row r="200" spans="1:13" x14ac:dyDescent="0.15">
      <c r="A200" s="4" t="s">
        <v>1012</v>
      </c>
      <c r="B200" s="5" t="s">
        <v>320</v>
      </c>
      <c r="C200" s="5" t="s">
        <v>321</v>
      </c>
      <c r="D200" s="5" t="s">
        <v>7</v>
      </c>
      <c r="E200" s="6">
        <v>33570</v>
      </c>
      <c r="F200" s="5" t="s">
        <v>14</v>
      </c>
      <c r="G200" s="5" t="s">
        <v>802</v>
      </c>
      <c r="H200" s="7">
        <v>26</v>
      </c>
      <c r="I200" s="7">
        <v>19</v>
      </c>
      <c r="J200" s="7">
        <v>20</v>
      </c>
      <c r="K200" s="7">
        <v>10</v>
      </c>
      <c r="L200" s="7">
        <v>10</v>
      </c>
      <c r="M200" s="8">
        <f t="shared" si="3"/>
        <v>85</v>
      </c>
    </row>
    <row r="201" spans="1:13" x14ac:dyDescent="0.15">
      <c r="A201" s="4" t="s">
        <v>1013</v>
      </c>
      <c r="B201" s="5" t="s">
        <v>322</v>
      </c>
      <c r="C201" s="5" t="s">
        <v>323</v>
      </c>
      <c r="D201" s="5" t="s">
        <v>17</v>
      </c>
      <c r="E201" s="6">
        <v>33308</v>
      </c>
      <c r="F201" s="5" t="s">
        <v>14</v>
      </c>
      <c r="G201" s="5" t="s">
        <v>802</v>
      </c>
      <c r="H201" s="7">
        <v>31</v>
      </c>
      <c r="I201" s="7">
        <v>13</v>
      </c>
      <c r="J201" s="7">
        <v>16</v>
      </c>
      <c r="K201" s="7">
        <v>10</v>
      </c>
      <c r="L201" s="7">
        <v>9</v>
      </c>
      <c r="M201" s="8">
        <f t="shared" si="3"/>
        <v>79</v>
      </c>
    </row>
    <row r="202" spans="1:13" x14ac:dyDescent="0.15">
      <c r="A202" s="4" t="s">
        <v>1014</v>
      </c>
      <c r="B202" s="5" t="s">
        <v>324</v>
      </c>
      <c r="C202" s="5" t="s">
        <v>325</v>
      </c>
      <c r="D202" s="5" t="s">
        <v>7</v>
      </c>
      <c r="E202" s="6">
        <v>33406</v>
      </c>
      <c r="F202" s="5" t="s">
        <v>61</v>
      </c>
      <c r="G202" s="5" t="s">
        <v>802</v>
      </c>
      <c r="H202" s="7">
        <v>35</v>
      </c>
      <c r="I202" s="7">
        <v>15</v>
      </c>
      <c r="J202" s="7">
        <v>17</v>
      </c>
      <c r="K202" s="7">
        <v>10</v>
      </c>
      <c r="L202" s="7">
        <v>7</v>
      </c>
      <c r="M202" s="8">
        <f t="shared" si="3"/>
        <v>84</v>
      </c>
    </row>
    <row r="203" spans="1:13" x14ac:dyDescent="0.15">
      <c r="A203" s="4" t="s">
        <v>1015</v>
      </c>
      <c r="B203" s="5" t="s">
        <v>326</v>
      </c>
      <c r="C203" s="5" t="s">
        <v>327</v>
      </c>
      <c r="D203" s="5" t="s">
        <v>17</v>
      </c>
      <c r="E203" s="6">
        <v>33575</v>
      </c>
      <c r="F203" s="5" t="s">
        <v>14</v>
      </c>
      <c r="G203" s="5" t="s">
        <v>802</v>
      </c>
      <c r="H203" s="7">
        <v>28</v>
      </c>
      <c r="I203" s="7">
        <v>20</v>
      </c>
      <c r="J203" s="7">
        <v>19</v>
      </c>
      <c r="K203" s="7">
        <v>10</v>
      </c>
      <c r="L203" s="7">
        <v>2</v>
      </c>
      <c r="M203" s="8">
        <f t="shared" si="3"/>
        <v>79</v>
      </c>
    </row>
    <row r="204" spans="1:13" x14ac:dyDescent="0.15">
      <c r="A204" s="4" t="s">
        <v>1016</v>
      </c>
      <c r="B204" s="5" t="s">
        <v>328</v>
      </c>
      <c r="C204" s="5" t="s">
        <v>329</v>
      </c>
      <c r="D204" s="5" t="s">
        <v>17</v>
      </c>
      <c r="E204" s="6">
        <v>33420</v>
      </c>
      <c r="F204" s="5" t="s">
        <v>14</v>
      </c>
      <c r="G204" s="5" t="s">
        <v>802</v>
      </c>
      <c r="H204" s="7">
        <v>27</v>
      </c>
      <c r="I204" s="7">
        <v>17</v>
      </c>
      <c r="J204" s="7">
        <v>17</v>
      </c>
      <c r="K204" s="7">
        <v>9</v>
      </c>
      <c r="L204" s="7">
        <v>2</v>
      </c>
      <c r="M204" s="8">
        <f t="shared" si="3"/>
        <v>72</v>
      </c>
    </row>
    <row r="205" spans="1:13" x14ac:dyDescent="0.15">
      <c r="A205" s="4" t="s">
        <v>1017</v>
      </c>
      <c r="B205" s="5" t="s">
        <v>330</v>
      </c>
      <c r="C205" s="5" t="s">
        <v>331</v>
      </c>
      <c r="D205" s="5" t="s">
        <v>7</v>
      </c>
      <c r="E205" s="6">
        <v>33514</v>
      </c>
      <c r="F205" s="5" t="s">
        <v>14</v>
      </c>
      <c r="G205" s="5" t="s">
        <v>802</v>
      </c>
      <c r="H205" s="7">
        <v>35</v>
      </c>
      <c r="I205" s="7">
        <v>20</v>
      </c>
      <c r="J205" s="7">
        <v>19</v>
      </c>
      <c r="K205" s="7">
        <v>10</v>
      </c>
      <c r="L205" s="7">
        <v>3</v>
      </c>
      <c r="M205" s="8">
        <f t="shared" si="3"/>
        <v>87</v>
      </c>
    </row>
    <row r="206" spans="1:13" x14ac:dyDescent="0.15">
      <c r="A206" s="4" t="s">
        <v>1018</v>
      </c>
      <c r="B206" s="5" t="s">
        <v>332</v>
      </c>
      <c r="C206" s="5" t="s">
        <v>333</v>
      </c>
      <c r="D206" s="5" t="s">
        <v>7</v>
      </c>
      <c r="E206" s="6">
        <v>33290</v>
      </c>
      <c r="F206" s="5" t="s">
        <v>14</v>
      </c>
      <c r="G206" s="5" t="s">
        <v>802</v>
      </c>
      <c r="H206" s="7">
        <v>26</v>
      </c>
      <c r="I206" s="7">
        <v>17</v>
      </c>
      <c r="J206" s="7">
        <v>14</v>
      </c>
      <c r="K206" s="7">
        <v>2</v>
      </c>
      <c r="L206" s="7">
        <v>0</v>
      </c>
      <c r="M206" s="8">
        <f t="shared" si="3"/>
        <v>59</v>
      </c>
    </row>
    <row r="207" spans="1:13" x14ac:dyDescent="0.15">
      <c r="A207" s="4" t="s">
        <v>1019</v>
      </c>
      <c r="B207" s="5" t="s">
        <v>334</v>
      </c>
      <c r="C207" s="5" t="s">
        <v>335</v>
      </c>
      <c r="D207" s="5" t="s">
        <v>17</v>
      </c>
      <c r="E207" s="6">
        <v>33383</v>
      </c>
      <c r="F207" s="5" t="s">
        <v>14</v>
      </c>
      <c r="G207" s="5" t="s">
        <v>802</v>
      </c>
      <c r="H207" s="7">
        <v>34</v>
      </c>
      <c r="I207" s="7">
        <v>18</v>
      </c>
      <c r="J207" s="7">
        <v>18</v>
      </c>
      <c r="K207" s="7">
        <v>10</v>
      </c>
      <c r="L207" s="7">
        <v>8</v>
      </c>
      <c r="M207" s="8">
        <f t="shared" si="3"/>
        <v>88</v>
      </c>
    </row>
    <row r="208" spans="1:13" x14ac:dyDescent="0.15">
      <c r="A208" s="4" t="s">
        <v>1020</v>
      </c>
      <c r="B208" s="5" t="s">
        <v>336</v>
      </c>
      <c r="C208" s="5" t="s">
        <v>337</v>
      </c>
      <c r="D208" s="5" t="s">
        <v>7</v>
      </c>
      <c r="E208" s="6">
        <v>33510</v>
      </c>
      <c r="F208" s="5" t="s">
        <v>14</v>
      </c>
      <c r="G208" s="5" t="s">
        <v>802</v>
      </c>
      <c r="H208" s="7">
        <v>37</v>
      </c>
      <c r="I208" s="7">
        <v>16</v>
      </c>
      <c r="J208" s="7">
        <v>18</v>
      </c>
      <c r="K208" s="7">
        <v>10</v>
      </c>
      <c r="L208" s="7">
        <v>10</v>
      </c>
      <c r="M208" s="8">
        <f t="shared" si="3"/>
        <v>91</v>
      </c>
    </row>
    <row r="209" spans="1:13" x14ac:dyDescent="0.15">
      <c r="A209" s="4" t="s">
        <v>1021</v>
      </c>
      <c r="B209" s="5" t="s">
        <v>338</v>
      </c>
      <c r="C209" s="5" t="s">
        <v>339</v>
      </c>
      <c r="D209" s="5" t="s">
        <v>7</v>
      </c>
      <c r="E209" s="6">
        <v>33480</v>
      </c>
      <c r="F209" s="5" t="s">
        <v>14</v>
      </c>
      <c r="G209" s="5" t="s">
        <v>802</v>
      </c>
      <c r="H209" s="7">
        <v>25</v>
      </c>
      <c r="I209" s="7">
        <v>17</v>
      </c>
      <c r="J209" s="7">
        <v>19</v>
      </c>
      <c r="K209" s="7">
        <v>10</v>
      </c>
      <c r="L209" s="7">
        <v>8</v>
      </c>
      <c r="M209" s="8">
        <f t="shared" si="3"/>
        <v>79</v>
      </c>
    </row>
    <row r="210" spans="1:13" x14ac:dyDescent="0.15">
      <c r="A210" s="4" t="s">
        <v>1022</v>
      </c>
      <c r="B210" s="5" t="s">
        <v>340</v>
      </c>
      <c r="C210" s="5" t="s">
        <v>341</v>
      </c>
      <c r="D210" s="5" t="s">
        <v>7</v>
      </c>
      <c r="E210" s="6">
        <v>33540</v>
      </c>
      <c r="F210" s="5" t="s">
        <v>14</v>
      </c>
      <c r="G210" s="5" t="s">
        <v>802</v>
      </c>
      <c r="H210" s="7">
        <v>27</v>
      </c>
      <c r="I210" s="7">
        <v>20</v>
      </c>
      <c r="J210" s="7">
        <v>19</v>
      </c>
      <c r="K210" s="7">
        <v>10</v>
      </c>
      <c r="L210" s="7">
        <v>9</v>
      </c>
      <c r="M210" s="8">
        <f t="shared" si="3"/>
        <v>85</v>
      </c>
    </row>
    <row r="211" spans="1:13" x14ac:dyDescent="0.15">
      <c r="A211" s="4" t="s">
        <v>1023</v>
      </c>
      <c r="B211" s="5" t="s">
        <v>342</v>
      </c>
      <c r="C211" s="5" t="s">
        <v>343</v>
      </c>
      <c r="D211" s="5" t="s">
        <v>17</v>
      </c>
      <c r="E211" s="6">
        <v>33571</v>
      </c>
      <c r="F211" s="5" t="s">
        <v>14</v>
      </c>
      <c r="G211" s="5" t="s">
        <v>802</v>
      </c>
      <c r="H211" s="7">
        <v>35</v>
      </c>
      <c r="I211" s="7">
        <v>20</v>
      </c>
      <c r="J211" s="7">
        <v>16</v>
      </c>
      <c r="K211" s="7">
        <v>10</v>
      </c>
      <c r="L211" s="7">
        <v>8</v>
      </c>
      <c r="M211" s="8">
        <f t="shared" si="3"/>
        <v>89</v>
      </c>
    </row>
    <row r="212" spans="1:13" x14ac:dyDescent="0.15">
      <c r="A212" s="4" t="s">
        <v>1024</v>
      </c>
      <c r="B212" s="5" t="s">
        <v>344</v>
      </c>
      <c r="C212" s="5" t="s">
        <v>345</v>
      </c>
      <c r="D212" s="5" t="s">
        <v>17</v>
      </c>
      <c r="E212" s="6">
        <v>33568</v>
      </c>
      <c r="F212" s="5" t="s">
        <v>14</v>
      </c>
      <c r="G212" s="5" t="s">
        <v>802</v>
      </c>
      <c r="H212" s="7">
        <v>27</v>
      </c>
      <c r="I212" s="7">
        <v>19</v>
      </c>
      <c r="J212" s="7">
        <v>18</v>
      </c>
      <c r="K212" s="7">
        <v>10</v>
      </c>
      <c r="L212" s="7">
        <v>9</v>
      </c>
      <c r="M212" s="8">
        <f t="shared" si="3"/>
        <v>83</v>
      </c>
    </row>
    <row r="213" spans="1:13" x14ac:dyDescent="0.15">
      <c r="A213" s="4" t="s">
        <v>1025</v>
      </c>
      <c r="B213" s="5" t="s">
        <v>346</v>
      </c>
      <c r="C213" s="5" t="s">
        <v>347</v>
      </c>
      <c r="D213" s="5" t="s">
        <v>17</v>
      </c>
      <c r="E213" s="6">
        <v>33475</v>
      </c>
      <c r="F213" s="5" t="s">
        <v>14</v>
      </c>
      <c r="G213" s="5" t="s">
        <v>802</v>
      </c>
      <c r="H213" s="7">
        <v>30</v>
      </c>
      <c r="I213" s="7">
        <v>20</v>
      </c>
      <c r="J213" s="7">
        <v>17</v>
      </c>
      <c r="K213" s="7">
        <v>10</v>
      </c>
      <c r="L213" s="7">
        <v>9</v>
      </c>
      <c r="M213" s="8">
        <f t="shared" si="3"/>
        <v>86</v>
      </c>
    </row>
    <row r="214" spans="1:13" x14ac:dyDescent="0.15">
      <c r="A214" s="4" t="s">
        <v>1026</v>
      </c>
      <c r="B214" s="5" t="s">
        <v>348</v>
      </c>
      <c r="C214" s="5" t="s">
        <v>349</v>
      </c>
      <c r="D214" s="5" t="s">
        <v>17</v>
      </c>
      <c r="E214" s="6">
        <v>33421</v>
      </c>
      <c r="F214" s="5" t="s">
        <v>8</v>
      </c>
      <c r="G214" s="5" t="s">
        <v>802</v>
      </c>
      <c r="H214" s="7">
        <v>24</v>
      </c>
      <c r="I214" s="7">
        <v>19</v>
      </c>
      <c r="J214" s="7">
        <v>20</v>
      </c>
      <c r="K214" s="7">
        <v>10</v>
      </c>
      <c r="L214" s="7">
        <v>7</v>
      </c>
      <c r="M214" s="8">
        <f t="shared" si="3"/>
        <v>80</v>
      </c>
    </row>
    <row r="215" spans="1:13" x14ac:dyDescent="0.15">
      <c r="A215" s="4" t="s">
        <v>1027</v>
      </c>
      <c r="B215" s="5" t="s">
        <v>350</v>
      </c>
      <c r="C215" s="5" t="s">
        <v>351</v>
      </c>
      <c r="D215" s="5" t="s">
        <v>17</v>
      </c>
      <c r="E215" s="6">
        <v>33494</v>
      </c>
      <c r="F215" s="5" t="s">
        <v>8</v>
      </c>
      <c r="G215" s="5" t="s">
        <v>802</v>
      </c>
      <c r="H215" s="7">
        <v>29</v>
      </c>
      <c r="I215" s="7">
        <v>19</v>
      </c>
      <c r="J215" s="7">
        <v>19</v>
      </c>
      <c r="K215" s="7">
        <v>10</v>
      </c>
      <c r="L215" s="7">
        <v>8</v>
      </c>
      <c r="M215" s="8">
        <f t="shared" si="3"/>
        <v>85</v>
      </c>
    </row>
    <row r="216" spans="1:13" x14ac:dyDescent="0.15">
      <c r="A216" s="4" t="s">
        <v>1028</v>
      </c>
      <c r="B216" s="5" t="s">
        <v>352</v>
      </c>
      <c r="C216" s="5" t="s">
        <v>353</v>
      </c>
      <c r="D216" s="5" t="s">
        <v>17</v>
      </c>
      <c r="E216" s="6">
        <v>33556</v>
      </c>
      <c r="F216" s="5" t="s">
        <v>14</v>
      </c>
      <c r="G216" s="5" t="s">
        <v>802</v>
      </c>
      <c r="H216" s="7">
        <v>21</v>
      </c>
      <c r="I216" s="7">
        <v>17</v>
      </c>
      <c r="J216" s="7">
        <v>4</v>
      </c>
      <c r="K216" s="7">
        <v>5</v>
      </c>
      <c r="L216" s="7">
        <v>8</v>
      </c>
      <c r="M216" s="8">
        <f t="shared" si="3"/>
        <v>55</v>
      </c>
    </row>
    <row r="217" spans="1:13" x14ac:dyDescent="0.15">
      <c r="A217" s="4" t="s">
        <v>1029</v>
      </c>
      <c r="B217" s="5" t="s">
        <v>354</v>
      </c>
      <c r="C217" s="5" t="s">
        <v>355</v>
      </c>
      <c r="D217" s="5" t="s">
        <v>17</v>
      </c>
      <c r="E217" s="6">
        <v>33386</v>
      </c>
      <c r="F217" s="5" t="s">
        <v>14</v>
      </c>
      <c r="G217" s="5" t="s">
        <v>802</v>
      </c>
      <c r="H217" s="7">
        <v>27</v>
      </c>
      <c r="I217" s="7">
        <v>16</v>
      </c>
      <c r="J217" s="7">
        <v>5</v>
      </c>
      <c r="K217" s="7">
        <v>8</v>
      </c>
      <c r="L217" s="7">
        <v>0</v>
      </c>
      <c r="M217" s="8">
        <f t="shared" si="3"/>
        <v>56</v>
      </c>
    </row>
    <row r="218" spans="1:13" x14ac:dyDescent="0.15">
      <c r="A218" s="4" t="s">
        <v>1030</v>
      </c>
      <c r="B218" s="5" t="s">
        <v>356</v>
      </c>
      <c r="C218" s="5" t="s">
        <v>357</v>
      </c>
      <c r="D218" s="5" t="s">
        <v>17</v>
      </c>
      <c r="E218" s="6">
        <v>33383</v>
      </c>
      <c r="F218" s="5" t="s">
        <v>42</v>
      </c>
      <c r="G218" s="5" t="s">
        <v>802</v>
      </c>
      <c r="H218" s="7">
        <v>15</v>
      </c>
      <c r="I218" s="7">
        <v>12</v>
      </c>
      <c r="J218" s="7">
        <v>0</v>
      </c>
      <c r="K218" s="7">
        <v>0</v>
      </c>
      <c r="L218" s="7">
        <v>0</v>
      </c>
      <c r="M218" s="8">
        <f t="shared" si="3"/>
        <v>0</v>
      </c>
    </row>
    <row r="219" spans="1:13" x14ac:dyDescent="0.15">
      <c r="A219" s="4" t="s">
        <v>1031</v>
      </c>
      <c r="B219" s="5" t="s">
        <v>358</v>
      </c>
      <c r="C219" s="5" t="s">
        <v>359</v>
      </c>
      <c r="D219" s="5" t="s">
        <v>17</v>
      </c>
      <c r="E219" s="6">
        <v>33353</v>
      </c>
      <c r="F219" s="5" t="s">
        <v>14</v>
      </c>
      <c r="G219" s="5" t="s">
        <v>802</v>
      </c>
      <c r="H219" s="7">
        <v>32</v>
      </c>
      <c r="I219" s="7">
        <v>19</v>
      </c>
      <c r="J219" s="7">
        <v>19</v>
      </c>
      <c r="K219" s="7">
        <v>10</v>
      </c>
      <c r="L219" s="7">
        <v>9</v>
      </c>
      <c r="M219" s="8">
        <f t="shared" si="3"/>
        <v>89</v>
      </c>
    </row>
    <row r="220" spans="1:13" x14ac:dyDescent="0.15">
      <c r="A220" s="4" t="s">
        <v>1032</v>
      </c>
      <c r="B220" s="5" t="s">
        <v>360</v>
      </c>
      <c r="C220" s="5" t="s">
        <v>361</v>
      </c>
      <c r="D220" s="5" t="s">
        <v>17</v>
      </c>
      <c r="E220" s="6">
        <v>33304</v>
      </c>
      <c r="F220" s="5" t="s">
        <v>61</v>
      </c>
      <c r="G220" s="5" t="s">
        <v>802</v>
      </c>
      <c r="H220" s="7">
        <v>29</v>
      </c>
      <c r="I220" s="7">
        <v>20</v>
      </c>
      <c r="J220" s="7">
        <v>18</v>
      </c>
      <c r="K220" s="7">
        <v>10</v>
      </c>
      <c r="L220" s="7">
        <v>8</v>
      </c>
      <c r="M220" s="8">
        <f t="shared" si="3"/>
        <v>85</v>
      </c>
    </row>
    <row r="221" spans="1:13" x14ac:dyDescent="0.15">
      <c r="A221" s="4" t="s">
        <v>1033</v>
      </c>
      <c r="B221" s="5" t="s">
        <v>362</v>
      </c>
      <c r="C221" s="5" t="s">
        <v>363</v>
      </c>
      <c r="D221" s="5" t="s">
        <v>17</v>
      </c>
      <c r="E221" s="6">
        <v>33362</v>
      </c>
      <c r="F221" s="5" t="s">
        <v>14</v>
      </c>
      <c r="G221" s="5" t="s">
        <v>802</v>
      </c>
      <c r="H221" s="7">
        <v>32</v>
      </c>
      <c r="I221" s="7">
        <v>18</v>
      </c>
      <c r="J221" s="7">
        <v>18</v>
      </c>
      <c r="K221" s="7">
        <v>10</v>
      </c>
      <c r="L221" s="7">
        <v>9</v>
      </c>
      <c r="M221" s="8">
        <f t="shared" si="3"/>
        <v>87</v>
      </c>
    </row>
    <row r="222" spans="1:13" x14ac:dyDescent="0.15">
      <c r="A222" s="4" t="s">
        <v>1034</v>
      </c>
      <c r="B222" s="5" t="s">
        <v>364</v>
      </c>
      <c r="C222" s="5" t="s">
        <v>365</v>
      </c>
      <c r="D222" s="5" t="s">
        <v>17</v>
      </c>
      <c r="E222" s="6">
        <v>33346</v>
      </c>
      <c r="F222" s="5" t="s">
        <v>14</v>
      </c>
      <c r="G222" s="5" t="s">
        <v>802</v>
      </c>
      <c r="H222" s="7">
        <v>19</v>
      </c>
      <c r="I222" s="7">
        <v>0</v>
      </c>
      <c r="J222" s="7">
        <v>0</v>
      </c>
      <c r="K222" s="7">
        <v>0</v>
      </c>
      <c r="L222" s="7">
        <v>0</v>
      </c>
      <c r="M222" s="8">
        <f t="shared" si="3"/>
        <v>0</v>
      </c>
    </row>
    <row r="223" spans="1:13" x14ac:dyDescent="0.15">
      <c r="A223" s="4" t="s">
        <v>1035</v>
      </c>
      <c r="B223" s="5" t="s">
        <v>366</v>
      </c>
      <c r="C223" s="5" t="s">
        <v>367</v>
      </c>
      <c r="D223" s="5" t="s">
        <v>17</v>
      </c>
      <c r="E223" s="6">
        <v>33479</v>
      </c>
      <c r="F223" s="5" t="s">
        <v>14</v>
      </c>
      <c r="G223" s="5" t="s">
        <v>802</v>
      </c>
      <c r="H223" s="7">
        <v>22</v>
      </c>
      <c r="I223" s="7">
        <v>20</v>
      </c>
      <c r="J223" s="7">
        <v>18</v>
      </c>
      <c r="K223" s="7">
        <v>10</v>
      </c>
      <c r="L223" s="7">
        <v>7</v>
      </c>
      <c r="M223" s="8">
        <f t="shared" si="3"/>
        <v>77</v>
      </c>
    </row>
    <row r="224" spans="1:13" x14ac:dyDescent="0.15">
      <c r="A224" s="4" t="s">
        <v>1036</v>
      </c>
      <c r="B224" s="5" t="s">
        <v>368</v>
      </c>
      <c r="C224" s="5" t="s">
        <v>369</v>
      </c>
      <c r="D224" s="5" t="s">
        <v>7</v>
      </c>
      <c r="E224" s="6">
        <v>33279</v>
      </c>
      <c r="F224" s="5" t="s">
        <v>14</v>
      </c>
      <c r="G224" s="5" t="s">
        <v>802</v>
      </c>
      <c r="H224" s="7">
        <v>22</v>
      </c>
      <c r="I224" s="7">
        <v>17</v>
      </c>
      <c r="J224" s="7">
        <v>16</v>
      </c>
      <c r="K224" s="7">
        <v>6</v>
      </c>
      <c r="L224" s="7">
        <v>1</v>
      </c>
      <c r="M224" s="8">
        <f t="shared" si="3"/>
        <v>62</v>
      </c>
    </row>
    <row r="225" spans="1:13" x14ac:dyDescent="0.15">
      <c r="A225" s="4" t="s">
        <v>1037</v>
      </c>
      <c r="B225" s="5" t="s">
        <v>370</v>
      </c>
      <c r="C225" s="5" t="s">
        <v>371</v>
      </c>
      <c r="D225" s="5" t="s">
        <v>17</v>
      </c>
      <c r="E225" s="6">
        <v>33547</v>
      </c>
      <c r="F225" s="5" t="s">
        <v>14</v>
      </c>
      <c r="G225" s="5" t="s">
        <v>802</v>
      </c>
      <c r="H225" s="7">
        <v>19</v>
      </c>
      <c r="I225" s="7">
        <v>17</v>
      </c>
      <c r="J225" s="7">
        <v>14</v>
      </c>
      <c r="K225" s="7">
        <v>9</v>
      </c>
      <c r="L225" s="7">
        <v>1</v>
      </c>
      <c r="M225" s="8">
        <f t="shared" si="3"/>
        <v>60</v>
      </c>
    </row>
    <row r="226" spans="1:13" x14ac:dyDescent="0.15">
      <c r="A226" s="4" t="s">
        <v>1038</v>
      </c>
      <c r="B226" s="5" t="s">
        <v>372</v>
      </c>
      <c r="C226" s="5" t="s">
        <v>373</v>
      </c>
      <c r="D226" s="5" t="s">
        <v>7</v>
      </c>
      <c r="E226" s="6">
        <v>33252</v>
      </c>
      <c r="F226" s="5" t="s">
        <v>8</v>
      </c>
      <c r="G226" s="5" t="s">
        <v>802</v>
      </c>
      <c r="H226" s="7">
        <v>16</v>
      </c>
      <c r="I226" s="7">
        <v>12</v>
      </c>
      <c r="J226" s="7">
        <v>17</v>
      </c>
      <c r="K226" s="7">
        <v>4</v>
      </c>
      <c r="L226" s="7">
        <v>9</v>
      </c>
      <c r="M226" s="8">
        <f t="shared" si="3"/>
        <v>58</v>
      </c>
    </row>
    <row r="227" spans="1:13" x14ac:dyDescent="0.15">
      <c r="A227" s="4" t="s">
        <v>1039</v>
      </c>
      <c r="B227" s="5" t="s">
        <v>374</v>
      </c>
      <c r="C227" s="5" t="s">
        <v>375</v>
      </c>
      <c r="D227" s="5" t="s">
        <v>17</v>
      </c>
      <c r="E227" s="6">
        <v>33351</v>
      </c>
      <c r="F227" s="5" t="s">
        <v>14</v>
      </c>
      <c r="G227" s="5" t="s">
        <v>802</v>
      </c>
      <c r="H227" s="7">
        <v>16</v>
      </c>
      <c r="I227" s="7">
        <v>17</v>
      </c>
      <c r="J227" s="7">
        <v>15</v>
      </c>
      <c r="K227" s="7">
        <v>4</v>
      </c>
      <c r="L227" s="7">
        <v>0</v>
      </c>
      <c r="M227" s="8">
        <f t="shared" si="3"/>
        <v>52</v>
      </c>
    </row>
    <row r="228" spans="1:13" x14ac:dyDescent="0.15">
      <c r="A228" s="4" t="s">
        <v>1040</v>
      </c>
      <c r="B228" s="5" t="s">
        <v>376</v>
      </c>
      <c r="C228" s="5" t="s">
        <v>377</v>
      </c>
      <c r="D228" s="5" t="s">
        <v>7</v>
      </c>
      <c r="E228" s="6">
        <v>33556</v>
      </c>
      <c r="F228" s="5" t="s">
        <v>14</v>
      </c>
      <c r="G228" s="5" t="s">
        <v>802</v>
      </c>
      <c r="H228" s="7">
        <v>20</v>
      </c>
      <c r="I228" s="7">
        <v>20</v>
      </c>
      <c r="J228" s="7">
        <v>11</v>
      </c>
      <c r="K228" s="7">
        <v>9</v>
      </c>
      <c r="L228" s="7">
        <v>1</v>
      </c>
      <c r="M228" s="8">
        <f t="shared" si="3"/>
        <v>61</v>
      </c>
    </row>
    <row r="229" spans="1:13" x14ac:dyDescent="0.15">
      <c r="A229" s="4" t="s">
        <v>1041</v>
      </c>
      <c r="B229" s="5" t="s">
        <v>378</v>
      </c>
      <c r="C229" s="5" t="s">
        <v>379</v>
      </c>
      <c r="D229" s="5" t="s">
        <v>17</v>
      </c>
      <c r="E229" s="6">
        <v>33387</v>
      </c>
      <c r="F229" s="5" t="s">
        <v>14</v>
      </c>
      <c r="G229" s="5" t="s">
        <v>802</v>
      </c>
      <c r="H229" s="7">
        <v>15</v>
      </c>
      <c r="I229" s="7">
        <v>14</v>
      </c>
      <c r="J229" s="7">
        <v>4</v>
      </c>
      <c r="K229" s="7">
        <v>2</v>
      </c>
      <c r="L229" s="7">
        <v>0</v>
      </c>
      <c r="M229" s="8">
        <f t="shared" si="3"/>
        <v>35</v>
      </c>
    </row>
    <row r="230" spans="1:13" x14ac:dyDescent="0.15">
      <c r="A230" s="4" t="s">
        <v>1042</v>
      </c>
      <c r="B230" s="5" t="s">
        <v>380</v>
      </c>
      <c r="C230" s="5" t="s">
        <v>381</v>
      </c>
      <c r="D230" s="5" t="s">
        <v>17</v>
      </c>
      <c r="E230" s="6">
        <v>33521</v>
      </c>
      <c r="F230" s="5" t="s">
        <v>14</v>
      </c>
      <c r="G230" s="5" t="s">
        <v>802</v>
      </c>
      <c r="H230" s="7">
        <v>33</v>
      </c>
      <c r="I230" s="7">
        <v>19</v>
      </c>
      <c r="J230" s="7">
        <v>11</v>
      </c>
      <c r="K230" s="7">
        <v>6</v>
      </c>
      <c r="L230" s="7">
        <v>7</v>
      </c>
      <c r="M230" s="8">
        <f t="shared" si="3"/>
        <v>76</v>
      </c>
    </row>
    <row r="231" spans="1:13" x14ac:dyDescent="0.15">
      <c r="A231" s="4" t="s">
        <v>1043</v>
      </c>
      <c r="B231" s="5" t="s">
        <v>382</v>
      </c>
      <c r="C231" s="5" t="s">
        <v>383</v>
      </c>
      <c r="D231" s="5" t="s">
        <v>17</v>
      </c>
      <c r="E231" s="6">
        <v>33561</v>
      </c>
      <c r="F231" s="5" t="s">
        <v>14</v>
      </c>
      <c r="G231" s="5" t="s">
        <v>802</v>
      </c>
      <c r="H231" s="7">
        <v>29</v>
      </c>
      <c r="I231" s="7">
        <v>17</v>
      </c>
      <c r="J231" s="7">
        <v>15</v>
      </c>
      <c r="K231" s="7">
        <v>9</v>
      </c>
      <c r="L231" s="7">
        <v>1</v>
      </c>
      <c r="M231" s="8">
        <f t="shared" si="3"/>
        <v>71</v>
      </c>
    </row>
    <row r="232" spans="1:13" x14ac:dyDescent="0.15">
      <c r="A232" s="4" t="s">
        <v>1044</v>
      </c>
      <c r="B232" s="5" t="s">
        <v>384</v>
      </c>
      <c r="C232" s="5" t="s">
        <v>385</v>
      </c>
      <c r="D232" s="5" t="s">
        <v>17</v>
      </c>
      <c r="E232" s="6">
        <v>33440</v>
      </c>
      <c r="F232" s="5" t="s">
        <v>14</v>
      </c>
      <c r="G232" s="5" t="s">
        <v>802</v>
      </c>
      <c r="H232" s="7">
        <v>28</v>
      </c>
      <c r="I232" s="7">
        <v>16</v>
      </c>
      <c r="J232" s="7">
        <v>6</v>
      </c>
      <c r="K232" s="7">
        <v>3</v>
      </c>
      <c r="L232" s="7">
        <v>8</v>
      </c>
      <c r="M232" s="8">
        <f t="shared" si="3"/>
        <v>61</v>
      </c>
    </row>
    <row r="233" spans="1:13" x14ac:dyDescent="0.15">
      <c r="A233" s="4" t="s">
        <v>1045</v>
      </c>
      <c r="B233" s="5" t="s">
        <v>386</v>
      </c>
      <c r="C233" s="5" t="s">
        <v>387</v>
      </c>
      <c r="D233" s="5" t="s">
        <v>17</v>
      </c>
      <c r="E233" s="6">
        <v>33512</v>
      </c>
      <c r="F233" s="5" t="s">
        <v>14</v>
      </c>
      <c r="G233" s="5" t="s">
        <v>802</v>
      </c>
      <c r="H233" s="7">
        <v>32</v>
      </c>
      <c r="I233" s="7">
        <v>11</v>
      </c>
      <c r="J233" s="7">
        <v>0</v>
      </c>
      <c r="K233" s="7">
        <v>0</v>
      </c>
      <c r="L233" s="7">
        <v>0</v>
      </c>
      <c r="M233" s="8">
        <f t="shared" si="3"/>
        <v>0</v>
      </c>
    </row>
    <row r="234" spans="1:13" x14ac:dyDescent="0.15">
      <c r="A234" s="4" t="s">
        <v>1046</v>
      </c>
      <c r="B234" s="5" t="s">
        <v>388</v>
      </c>
      <c r="C234" s="5" t="s">
        <v>389</v>
      </c>
      <c r="D234" s="5" t="s">
        <v>7</v>
      </c>
      <c r="E234" s="6">
        <v>33401</v>
      </c>
      <c r="F234" s="5" t="s">
        <v>14</v>
      </c>
      <c r="G234" s="5" t="s">
        <v>803</v>
      </c>
      <c r="H234" s="7">
        <v>28</v>
      </c>
      <c r="I234" s="7">
        <v>15</v>
      </c>
      <c r="J234" s="7">
        <v>1</v>
      </c>
      <c r="K234" s="7">
        <v>3</v>
      </c>
      <c r="L234" s="7">
        <v>0</v>
      </c>
      <c r="M234" s="8">
        <f t="shared" si="3"/>
        <v>47</v>
      </c>
    </row>
    <row r="235" spans="1:13" x14ac:dyDescent="0.15">
      <c r="A235" s="4" t="s">
        <v>1047</v>
      </c>
      <c r="B235" s="5" t="s">
        <v>390</v>
      </c>
      <c r="C235" s="5" t="s">
        <v>391</v>
      </c>
      <c r="D235" s="5" t="s">
        <v>17</v>
      </c>
      <c r="E235" s="6">
        <v>33478</v>
      </c>
      <c r="F235" s="5" t="s">
        <v>14</v>
      </c>
      <c r="G235" s="5" t="s">
        <v>803</v>
      </c>
      <c r="H235" s="7">
        <v>24</v>
      </c>
      <c r="I235" s="7">
        <v>17</v>
      </c>
      <c r="J235" s="7">
        <v>3</v>
      </c>
      <c r="K235" s="7">
        <v>4</v>
      </c>
      <c r="L235" s="7">
        <v>0</v>
      </c>
      <c r="M235" s="8">
        <f t="shared" si="3"/>
        <v>48</v>
      </c>
    </row>
    <row r="236" spans="1:13" x14ac:dyDescent="0.15">
      <c r="A236" s="4" t="s">
        <v>1048</v>
      </c>
      <c r="B236" s="5" t="s">
        <v>392</v>
      </c>
      <c r="C236" s="5" t="s">
        <v>393</v>
      </c>
      <c r="D236" s="5" t="s">
        <v>7</v>
      </c>
      <c r="E236" s="6">
        <v>33517</v>
      </c>
      <c r="F236" s="5" t="s">
        <v>42</v>
      </c>
      <c r="G236" s="5" t="s">
        <v>803</v>
      </c>
      <c r="H236" s="7">
        <v>19</v>
      </c>
      <c r="I236" s="7">
        <v>16</v>
      </c>
      <c r="J236" s="7">
        <v>18</v>
      </c>
      <c r="K236" s="7">
        <v>9</v>
      </c>
      <c r="L236" s="7">
        <v>1</v>
      </c>
      <c r="M236" s="8">
        <f t="shared" si="3"/>
        <v>63</v>
      </c>
    </row>
    <row r="237" spans="1:13" x14ac:dyDescent="0.15">
      <c r="A237" s="4" t="s">
        <v>1049</v>
      </c>
      <c r="B237" s="5" t="s">
        <v>394</v>
      </c>
      <c r="C237" s="5" t="s">
        <v>395</v>
      </c>
      <c r="D237" s="5" t="s">
        <v>7</v>
      </c>
      <c r="E237" s="6">
        <v>33488</v>
      </c>
      <c r="F237" s="5" t="s">
        <v>14</v>
      </c>
      <c r="G237" s="5" t="s">
        <v>803</v>
      </c>
      <c r="H237" s="7">
        <v>18</v>
      </c>
      <c r="I237" s="7">
        <v>17</v>
      </c>
      <c r="J237" s="7">
        <v>15</v>
      </c>
      <c r="K237" s="7">
        <v>10</v>
      </c>
      <c r="L237" s="7">
        <v>0</v>
      </c>
      <c r="M237" s="8">
        <f t="shared" si="3"/>
        <v>60</v>
      </c>
    </row>
    <row r="238" spans="1:13" x14ac:dyDescent="0.15">
      <c r="A238" s="4" t="s">
        <v>1050</v>
      </c>
      <c r="B238" s="5" t="s">
        <v>396</v>
      </c>
      <c r="C238" s="5" t="s">
        <v>397</v>
      </c>
      <c r="D238" s="5" t="s">
        <v>7</v>
      </c>
      <c r="E238" s="6">
        <v>33544</v>
      </c>
      <c r="F238" s="5" t="s">
        <v>14</v>
      </c>
      <c r="G238" s="5" t="s">
        <v>803</v>
      </c>
      <c r="H238" s="7">
        <v>22</v>
      </c>
      <c r="I238" s="7">
        <v>14</v>
      </c>
      <c r="J238" s="7">
        <v>17</v>
      </c>
      <c r="K238" s="7">
        <v>8</v>
      </c>
      <c r="L238" s="7">
        <v>0</v>
      </c>
      <c r="M238" s="8">
        <f t="shared" si="3"/>
        <v>61</v>
      </c>
    </row>
    <row r="239" spans="1:13" x14ac:dyDescent="0.15">
      <c r="A239" s="4" t="s">
        <v>1051</v>
      </c>
      <c r="B239" s="5" t="s">
        <v>398</v>
      </c>
      <c r="C239" s="5" t="s">
        <v>399</v>
      </c>
      <c r="D239" s="5" t="s">
        <v>17</v>
      </c>
      <c r="E239" s="6">
        <v>33545</v>
      </c>
      <c r="F239" s="5" t="s">
        <v>14</v>
      </c>
      <c r="G239" s="5" t="s">
        <v>803</v>
      </c>
      <c r="H239" s="7">
        <v>25</v>
      </c>
      <c r="I239" s="7">
        <v>20</v>
      </c>
      <c r="J239" s="7">
        <v>19</v>
      </c>
      <c r="K239" s="7">
        <v>10</v>
      </c>
      <c r="L239" s="7">
        <v>0</v>
      </c>
      <c r="M239" s="8">
        <f t="shared" si="3"/>
        <v>74</v>
      </c>
    </row>
    <row r="240" spans="1:13" x14ac:dyDescent="0.15">
      <c r="A240" s="4" t="s">
        <v>1052</v>
      </c>
      <c r="B240" s="5" t="s">
        <v>400</v>
      </c>
      <c r="C240" s="5" t="s">
        <v>401</v>
      </c>
      <c r="D240" s="5" t="s">
        <v>17</v>
      </c>
      <c r="E240" s="6">
        <v>33508</v>
      </c>
      <c r="F240" s="5" t="s">
        <v>14</v>
      </c>
      <c r="G240" s="5" t="s">
        <v>803</v>
      </c>
      <c r="H240" s="7">
        <v>30</v>
      </c>
      <c r="I240" s="7">
        <v>20</v>
      </c>
      <c r="J240" s="7">
        <v>14</v>
      </c>
      <c r="K240" s="7">
        <v>10</v>
      </c>
      <c r="L240" s="7">
        <v>8</v>
      </c>
      <c r="M240" s="8">
        <f t="shared" si="3"/>
        <v>82</v>
      </c>
    </row>
    <row r="241" spans="1:13" x14ac:dyDescent="0.15">
      <c r="A241" s="4" t="s">
        <v>1053</v>
      </c>
      <c r="B241" s="5" t="s">
        <v>402</v>
      </c>
      <c r="C241" s="5" t="s">
        <v>403</v>
      </c>
      <c r="D241" s="5" t="s">
        <v>7</v>
      </c>
      <c r="E241" s="6">
        <v>33290</v>
      </c>
      <c r="F241" s="5" t="s">
        <v>61</v>
      </c>
      <c r="G241" s="5" t="s">
        <v>803</v>
      </c>
      <c r="H241" s="7">
        <v>28</v>
      </c>
      <c r="I241" s="7">
        <v>18</v>
      </c>
      <c r="J241" s="7">
        <v>14</v>
      </c>
      <c r="K241" s="7">
        <v>9</v>
      </c>
      <c r="L241" s="7">
        <v>0</v>
      </c>
      <c r="M241" s="8">
        <f t="shared" si="3"/>
        <v>69</v>
      </c>
    </row>
    <row r="242" spans="1:13" x14ac:dyDescent="0.15">
      <c r="A242" s="4" t="s">
        <v>1054</v>
      </c>
      <c r="B242" s="5" t="s">
        <v>404</v>
      </c>
      <c r="C242" s="5" t="s">
        <v>405</v>
      </c>
      <c r="D242" s="5" t="s">
        <v>7</v>
      </c>
      <c r="E242" s="6">
        <v>33505</v>
      </c>
      <c r="F242" s="5" t="s">
        <v>14</v>
      </c>
      <c r="G242" s="5" t="s">
        <v>803</v>
      </c>
      <c r="H242" s="7">
        <v>30</v>
      </c>
      <c r="I242" s="7">
        <v>20</v>
      </c>
      <c r="J242" s="7">
        <v>15</v>
      </c>
      <c r="K242" s="7">
        <v>10</v>
      </c>
      <c r="L242" s="7">
        <v>8</v>
      </c>
      <c r="M242" s="8">
        <f t="shared" si="3"/>
        <v>83</v>
      </c>
    </row>
    <row r="243" spans="1:13" x14ac:dyDescent="0.15">
      <c r="A243" s="4" t="s">
        <v>1055</v>
      </c>
      <c r="B243" s="5" t="s">
        <v>406</v>
      </c>
      <c r="C243" s="5" t="s">
        <v>407</v>
      </c>
      <c r="D243" s="5" t="s">
        <v>7</v>
      </c>
      <c r="E243" s="6">
        <v>33396</v>
      </c>
      <c r="F243" s="5" t="s">
        <v>14</v>
      </c>
      <c r="G243" s="5" t="s">
        <v>803</v>
      </c>
      <c r="H243" s="7">
        <v>29</v>
      </c>
      <c r="I243" s="7">
        <v>18</v>
      </c>
      <c r="J243" s="7">
        <v>13</v>
      </c>
      <c r="K243" s="7">
        <v>9</v>
      </c>
      <c r="L243" s="7">
        <v>2</v>
      </c>
      <c r="M243" s="8">
        <f t="shared" si="3"/>
        <v>71</v>
      </c>
    </row>
    <row r="244" spans="1:13" x14ac:dyDescent="0.15">
      <c r="A244" s="4" t="s">
        <v>1056</v>
      </c>
      <c r="B244" s="5" t="s">
        <v>408</v>
      </c>
      <c r="C244" s="5" t="s">
        <v>409</v>
      </c>
      <c r="D244" s="5" t="s">
        <v>17</v>
      </c>
      <c r="E244" s="6">
        <v>33560</v>
      </c>
      <c r="F244" s="5" t="s">
        <v>14</v>
      </c>
      <c r="G244" s="5" t="s">
        <v>803</v>
      </c>
      <c r="H244" s="7">
        <v>33</v>
      </c>
      <c r="I244" s="7">
        <v>18</v>
      </c>
      <c r="J244" s="7">
        <v>11</v>
      </c>
      <c r="K244" s="7">
        <v>9</v>
      </c>
      <c r="L244" s="7">
        <v>8</v>
      </c>
      <c r="M244" s="8">
        <f t="shared" si="3"/>
        <v>79</v>
      </c>
    </row>
    <row r="245" spans="1:13" x14ac:dyDescent="0.15">
      <c r="A245" s="4" t="s">
        <v>1057</v>
      </c>
      <c r="B245" s="5" t="s">
        <v>410</v>
      </c>
      <c r="C245" s="5" t="s">
        <v>411</v>
      </c>
      <c r="D245" s="5" t="s">
        <v>17</v>
      </c>
      <c r="E245" s="6">
        <v>33284</v>
      </c>
      <c r="F245" s="5" t="s">
        <v>14</v>
      </c>
      <c r="G245" s="5" t="s">
        <v>803</v>
      </c>
      <c r="H245" s="7">
        <v>26</v>
      </c>
      <c r="I245" s="7">
        <v>11</v>
      </c>
      <c r="J245" s="7">
        <v>5</v>
      </c>
      <c r="K245" s="7">
        <v>3</v>
      </c>
      <c r="L245" s="7">
        <v>1</v>
      </c>
      <c r="M245" s="8">
        <f t="shared" si="3"/>
        <v>46</v>
      </c>
    </row>
    <row r="246" spans="1:13" x14ac:dyDescent="0.15">
      <c r="A246" s="4" t="s">
        <v>1058</v>
      </c>
      <c r="B246" s="5" t="s">
        <v>412</v>
      </c>
      <c r="C246" s="5" t="s">
        <v>413</v>
      </c>
      <c r="D246" s="5" t="s">
        <v>7</v>
      </c>
      <c r="E246" s="6">
        <v>33558</v>
      </c>
      <c r="F246" s="5" t="s">
        <v>14</v>
      </c>
      <c r="G246" s="5" t="s">
        <v>803</v>
      </c>
      <c r="H246" s="7">
        <v>29</v>
      </c>
      <c r="I246" s="7">
        <v>15</v>
      </c>
      <c r="J246" s="7">
        <v>12</v>
      </c>
      <c r="K246" s="7">
        <v>7</v>
      </c>
      <c r="L246" s="7">
        <v>0</v>
      </c>
      <c r="M246" s="8">
        <f t="shared" si="3"/>
        <v>63</v>
      </c>
    </row>
    <row r="247" spans="1:13" x14ac:dyDescent="0.15">
      <c r="A247" s="4" t="s">
        <v>1059</v>
      </c>
      <c r="B247" s="5" t="s">
        <v>414</v>
      </c>
      <c r="C247" s="5" t="s">
        <v>415</v>
      </c>
      <c r="D247" s="5" t="s">
        <v>7</v>
      </c>
      <c r="E247" s="6">
        <v>33388</v>
      </c>
      <c r="F247" s="5" t="s">
        <v>14</v>
      </c>
      <c r="G247" s="5" t="s">
        <v>803</v>
      </c>
      <c r="H247" s="7">
        <v>29</v>
      </c>
      <c r="I247" s="7">
        <v>14</v>
      </c>
      <c r="J247" s="7">
        <v>14</v>
      </c>
      <c r="K247" s="7">
        <v>3</v>
      </c>
      <c r="L247" s="7">
        <v>5</v>
      </c>
      <c r="M247" s="8">
        <f t="shared" si="3"/>
        <v>65</v>
      </c>
    </row>
    <row r="248" spans="1:13" x14ac:dyDescent="0.15">
      <c r="A248" s="4" t="s">
        <v>1060</v>
      </c>
      <c r="B248" s="5" t="s">
        <v>416</v>
      </c>
      <c r="C248" s="5" t="s">
        <v>417</v>
      </c>
      <c r="D248" s="5" t="s">
        <v>7</v>
      </c>
      <c r="E248" s="6">
        <v>33289</v>
      </c>
      <c r="F248" s="5" t="s">
        <v>8</v>
      </c>
      <c r="G248" s="5" t="s">
        <v>803</v>
      </c>
      <c r="H248" s="7">
        <v>23</v>
      </c>
      <c r="I248" s="7">
        <v>18</v>
      </c>
      <c r="J248" s="7">
        <v>9</v>
      </c>
      <c r="K248" s="7">
        <v>4</v>
      </c>
      <c r="L248" s="7">
        <v>0</v>
      </c>
      <c r="M248" s="8">
        <f t="shared" si="3"/>
        <v>54</v>
      </c>
    </row>
    <row r="249" spans="1:13" x14ac:dyDescent="0.15">
      <c r="A249" s="4" t="s">
        <v>1061</v>
      </c>
      <c r="B249" s="5" t="s">
        <v>418</v>
      </c>
      <c r="C249" s="5" t="s">
        <v>419</v>
      </c>
      <c r="D249" s="5" t="s">
        <v>17</v>
      </c>
      <c r="E249" s="6">
        <v>33307</v>
      </c>
      <c r="F249" s="5" t="s">
        <v>14</v>
      </c>
      <c r="G249" s="5" t="s">
        <v>803</v>
      </c>
      <c r="H249" s="7">
        <v>17</v>
      </c>
      <c r="I249" s="7">
        <v>18</v>
      </c>
      <c r="J249" s="7">
        <v>8</v>
      </c>
      <c r="K249" s="7">
        <v>4</v>
      </c>
      <c r="L249" s="7">
        <v>1</v>
      </c>
      <c r="M249" s="8">
        <f t="shared" si="3"/>
        <v>48</v>
      </c>
    </row>
    <row r="250" spans="1:13" x14ac:dyDescent="0.15">
      <c r="A250" s="4" t="s">
        <v>1062</v>
      </c>
      <c r="B250" s="5" t="s">
        <v>420</v>
      </c>
      <c r="C250" s="5" t="s">
        <v>421</v>
      </c>
      <c r="D250" s="5" t="s">
        <v>7</v>
      </c>
      <c r="E250" s="6">
        <v>33522</v>
      </c>
      <c r="F250" s="5" t="s">
        <v>14</v>
      </c>
      <c r="G250" s="5" t="s">
        <v>803</v>
      </c>
      <c r="H250" s="7">
        <v>24</v>
      </c>
      <c r="I250" s="7">
        <v>20</v>
      </c>
      <c r="J250" s="7">
        <v>18</v>
      </c>
      <c r="K250" s="7">
        <v>3</v>
      </c>
      <c r="L250" s="7">
        <v>0</v>
      </c>
      <c r="M250" s="8">
        <f t="shared" si="3"/>
        <v>65</v>
      </c>
    </row>
    <row r="251" spans="1:13" x14ac:dyDescent="0.15">
      <c r="A251" s="4" t="s">
        <v>1063</v>
      </c>
      <c r="B251" s="5" t="s">
        <v>422</v>
      </c>
      <c r="C251" s="5" t="s">
        <v>423</v>
      </c>
      <c r="D251" s="5" t="s">
        <v>17</v>
      </c>
      <c r="E251" s="6">
        <v>33282</v>
      </c>
      <c r="F251" s="5" t="s">
        <v>14</v>
      </c>
      <c r="G251" s="5" t="s">
        <v>803</v>
      </c>
      <c r="H251" s="7">
        <v>9</v>
      </c>
      <c r="I251" s="7">
        <v>14</v>
      </c>
      <c r="J251" s="7">
        <v>14</v>
      </c>
      <c r="K251" s="7">
        <v>8</v>
      </c>
      <c r="L251" s="7">
        <v>0</v>
      </c>
      <c r="M251" s="8">
        <f t="shared" si="3"/>
        <v>45</v>
      </c>
    </row>
    <row r="252" spans="1:13" x14ac:dyDescent="0.15">
      <c r="A252" s="4" t="s">
        <v>1064</v>
      </c>
      <c r="B252" s="5" t="s">
        <v>424</v>
      </c>
      <c r="C252" s="5" t="s">
        <v>425</v>
      </c>
      <c r="D252" s="5" t="s">
        <v>7</v>
      </c>
      <c r="E252" s="6">
        <v>33435</v>
      </c>
      <c r="F252" s="5" t="s">
        <v>14</v>
      </c>
      <c r="G252" s="5" t="s">
        <v>803</v>
      </c>
      <c r="H252" s="7">
        <v>21</v>
      </c>
      <c r="I252" s="7">
        <v>12</v>
      </c>
      <c r="J252" s="7">
        <v>9</v>
      </c>
      <c r="K252" s="7">
        <v>4</v>
      </c>
      <c r="L252" s="7">
        <v>1</v>
      </c>
      <c r="M252" s="8">
        <f t="shared" si="3"/>
        <v>47</v>
      </c>
    </row>
    <row r="253" spans="1:13" x14ac:dyDescent="0.15">
      <c r="A253" s="4" t="s">
        <v>1065</v>
      </c>
      <c r="B253" s="5" t="s">
        <v>426</v>
      </c>
      <c r="C253" s="5" t="s">
        <v>427</v>
      </c>
      <c r="D253" s="5" t="s">
        <v>7</v>
      </c>
      <c r="E253" s="6">
        <v>33438</v>
      </c>
      <c r="F253" s="5" t="s">
        <v>61</v>
      </c>
      <c r="G253" s="5" t="s">
        <v>803</v>
      </c>
      <c r="H253" s="7">
        <v>25</v>
      </c>
      <c r="I253" s="7">
        <v>20</v>
      </c>
      <c r="J253" s="7">
        <v>17</v>
      </c>
      <c r="K253" s="7">
        <v>8</v>
      </c>
      <c r="L253" s="7">
        <v>0</v>
      </c>
      <c r="M253" s="8">
        <f t="shared" si="3"/>
        <v>70</v>
      </c>
    </row>
    <row r="254" spans="1:13" x14ac:dyDescent="0.15">
      <c r="A254" s="4" t="s">
        <v>1066</v>
      </c>
      <c r="B254" s="5" t="s">
        <v>428</v>
      </c>
      <c r="C254" s="5" t="s">
        <v>429</v>
      </c>
      <c r="D254" s="5" t="s">
        <v>17</v>
      </c>
      <c r="E254" s="6">
        <v>33491</v>
      </c>
      <c r="F254" s="5" t="s">
        <v>8</v>
      </c>
      <c r="G254" s="5" t="s">
        <v>803</v>
      </c>
      <c r="H254" s="7">
        <v>24</v>
      </c>
      <c r="I254" s="7">
        <v>18</v>
      </c>
      <c r="J254" s="7">
        <v>16</v>
      </c>
      <c r="K254" s="7">
        <v>0</v>
      </c>
      <c r="L254" s="7">
        <v>0</v>
      </c>
      <c r="M254" s="8">
        <f t="shared" si="3"/>
        <v>0</v>
      </c>
    </row>
    <row r="255" spans="1:13" x14ac:dyDescent="0.15">
      <c r="A255" s="4" t="s">
        <v>1067</v>
      </c>
      <c r="B255" s="5" t="s">
        <v>430</v>
      </c>
      <c r="C255" s="5" t="s">
        <v>431</v>
      </c>
      <c r="D255" s="5" t="s">
        <v>7</v>
      </c>
      <c r="E255" s="6">
        <v>33354</v>
      </c>
      <c r="F255" s="5" t="s">
        <v>14</v>
      </c>
      <c r="G255" s="5" t="s">
        <v>803</v>
      </c>
      <c r="H255" s="7">
        <v>27</v>
      </c>
      <c r="I255" s="7">
        <v>19</v>
      </c>
      <c r="J255" s="7">
        <v>16</v>
      </c>
      <c r="K255" s="7">
        <v>2</v>
      </c>
      <c r="L255" s="7">
        <v>0</v>
      </c>
      <c r="M255" s="8">
        <f t="shared" si="3"/>
        <v>64</v>
      </c>
    </row>
    <row r="256" spans="1:13" x14ac:dyDescent="0.15">
      <c r="A256" s="4" t="s">
        <v>1068</v>
      </c>
      <c r="B256" s="5" t="s">
        <v>432</v>
      </c>
      <c r="C256" s="5" t="s">
        <v>433</v>
      </c>
      <c r="D256" s="5" t="s">
        <v>7</v>
      </c>
      <c r="E256" s="6">
        <v>33567</v>
      </c>
      <c r="F256" s="5" t="s">
        <v>14</v>
      </c>
      <c r="G256" s="5" t="s">
        <v>803</v>
      </c>
      <c r="H256" s="7">
        <v>25</v>
      </c>
      <c r="I256" s="7">
        <v>20</v>
      </c>
      <c r="J256" s="7">
        <v>18</v>
      </c>
      <c r="K256" s="7">
        <v>4</v>
      </c>
      <c r="L256" s="7">
        <v>0</v>
      </c>
      <c r="M256" s="8">
        <f t="shared" si="3"/>
        <v>67</v>
      </c>
    </row>
    <row r="257" spans="1:13" x14ac:dyDescent="0.15">
      <c r="A257" s="4" t="s">
        <v>1069</v>
      </c>
      <c r="B257" s="5" t="s">
        <v>434</v>
      </c>
      <c r="C257" s="5" t="s">
        <v>435</v>
      </c>
      <c r="D257" s="5" t="s">
        <v>17</v>
      </c>
      <c r="E257" s="6">
        <v>33355</v>
      </c>
      <c r="F257" s="5" t="s">
        <v>14</v>
      </c>
      <c r="G257" s="5" t="s">
        <v>803</v>
      </c>
      <c r="H257" s="7">
        <v>29</v>
      </c>
      <c r="I257" s="7">
        <v>18</v>
      </c>
      <c r="J257" s="7">
        <v>20</v>
      </c>
      <c r="K257" s="7">
        <v>6</v>
      </c>
      <c r="L257" s="7">
        <v>0</v>
      </c>
      <c r="M257" s="8">
        <f t="shared" si="3"/>
        <v>73</v>
      </c>
    </row>
    <row r="258" spans="1:13" x14ac:dyDescent="0.15">
      <c r="A258" s="4" t="s">
        <v>1070</v>
      </c>
      <c r="B258" s="5" t="s">
        <v>436</v>
      </c>
      <c r="C258" s="5" t="s">
        <v>437</v>
      </c>
      <c r="D258" s="5" t="s">
        <v>7</v>
      </c>
      <c r="E258" s="6">
        <v>33518</v>
      </c>
      <c r="F258" s="5" t="s">
        <v>14</v>
      </c>
      <c r="G258" s="5" t="s">
        <v>803</v>
      </c>
      <c r="H258" s="7">
        <v>24</v>
      </c>
      <c r="I258" s="7">
        <v>15</v>
      </c>
      <c r="J258" s="7">
        <v>6</v>
      </c>
      <c r="K258" s="7">
        <v>0</v>
      </c>
      <c r="L258" s="7">
        <v>0</v>
      </c>
      <c r="M258" s="8">
        <f t="shared" si="3"/>
        <v>0</v>
      </c>
    </row>
    <row r="259" spans="1:13" x14ac:dyDescent="0.15">
      <c r="A259" s="4" t="s">
        <v>1071</v>
      </c>
      <c r="B259" s="5" t="s">
        <v>438</v>
      </c>
      <c r="C259" s="5" t="s">
        <v>439</v>
      </c>
      <c r="D259" s="5" t="s">
        <v>17</v>
      </c>
      <c r="E259" s="6">
        <v>33295</v>
      </c>
      <c r="F259" s="5" t="s">
        <v>14</v>
      </c>
      <c r="G259" s="5" t="s">
        <v>803</v>
      </c>
      <c r="H259" s="7">
        <v>33</v>
      </c>
      <c r="I259" s="7">
        <v>18</v>
      </c>
      <c r="J259" s="7">
        <v>19</v>
      </c>
      <c r="K259" s="7">
        <v>9</v>
      </c>
      <c r="L259" s="7">
        <v>2</v>
      </c>
      <c r="M259" s="8">
        <f t="shared" si="3"/>
        <v>81</v>
      </c>
    </row>
    <row r="260" spans="1:13" x14ac:dyDescent="0.15">
      <c r="A260" s="4" t="s">
        <v>1072</v>
      </c>
      <c r="B260" s="5" t="s">
        <v>440</v>
      </c>
      <c r="C260" s="5" t="s">
        <v>441</v>
      </c>
      <c r="D260" s="5" t="s">
        <v>7</v>
      </c>
      <c r="E260" s="6">
        <v>33333</v>
      </c>
      <c r="F260" s="5" t="s">
        <v>14</v>
      </c>
      <c r="G260" s="5" t="s">
        <v>803</v>
      </c>
      <c r="H260" s="7">
        <v>31</v>
      </c>
      <c r="I260" s="7">
        <v>15</v>
      </c>
      <c r="J260" s="7">
        <v>5</v>
      </c>
      <c r="K260" s="7">
        <v>8</v>
      </c>
      <c r="L260" s="7">
        <v>1</v>
      </c>
      <c r="M260" s="8">
        <f t="shared" ref="M260:M323" si="4">IF(COUNTIF(H260:L260,"=0")&gt;=2,0,SUM(H260:L260))</f>
        <v>60</v>
      </c>
    </row>
    <row r="261" spans="1:13" x14ac:dyDescent="0.15">
      <c r="A261" s="4" t="s">
        <v>1073</v>
      </c>
      <c r="B261" s="5" t="s">
        <v>442</v>
      </c>
      <c r="C261" s="5" t="s">
        <v>443</v>
      </c>
      <c r="D261" s="5" t="s">
        <v>17</v>
      </c>
      <c r="E261" s="6">
        <v>33516</v>
      </c>
      <c r="F261" s="5" t="s">
        <v>14</v>
      </c>
      <c r="G261" s="5" t="s">
        <v>803</v>
      </c>
      <c r="H261" s="7">
        <v>21</v>
      </c>
      <c r="I261" s="7">
        <v>18</v>
      </c>
      <c r="J261" s="7">
        <v>11</v>
      </c>
      <c r="K261" s="7">
        <v>3</v>
      </c>
      <c r="L261" s="7">
        <v>0</v>
      </c>
      <c r="M261" s="8">
        <f t="shared" si="4"/>
        <v>53</v>
      </c>
    </row>
    <row r="262" spans="1:13" x14ac:dyDescent="0.15">
      <c r="A262" s="4" t="s">
        <v>1074</v>
      </c>
      <c r="B262" s="5" t="s">
        <v>444</v>
      </c>
      <c r="C262" s="5" t="s">
        <v>445</v>
      </c>
      <c r="D262" s="5" t="s">
        <v>7</v>
      </c>
      <c r="E262" s="6">
        <v>33621</v>
      </c>
      <c r="F262" s="5" t="s">
        <v>14</v>
      </c>
      <c r="G262" s="5" t="s">
        <v>804</v>
      </c>
      <c r="H262" s="7">
        <v>35</v>
      </c>
      <c r="I262" s="7">
        <v>20</v>
      </c>
      <c r="J262" s="7">
        <v>18</v>
      </c>
      <c r="K262" s="7">
        <v>8</v>
      </c>
      <c r="L262" s="7">
        <v>10</v>
      </c>
      <c r="M262" s="8">
        <f t="shared" si="4"/>
        <v>91</v>
      </c>
    </row>
    <row r="263" spans="1:13" x14ac:dyDescent="0.15">
      <c r="A263" s="4" t="s">
        <v>1075</v>
      </c>
      <c r="B263" s="5" t="s">
        <v>446</v>
      </c>
      <c r="C263" s="5" t="s">
        <v>447</v>
      </c>
      <c r="D263" s="5" t="s">
        <v>7</v>
      </c>
      <c r="E263" s="6">
        <v>33390</v>
      </c>
      <c r="F263" s="5" t="s">
        <v>14</v>
      </c>
      <c r="G263" s="5" t="s">
        <v>804</v>
      </c>
      <c r="H263" s="7">
        <v>31</v>
      </c>
      <c r="I263" s="7">
        <v>20</v>
      </c>
      <c r="J263" s="7">
        <v>20</v>
      </c>
      <c r="K263" s="7">
        <v>10</v>
      </c>
      <c r="L263" s="7">
        <v>10</v>
      </c>
      <c r="M263" s="8">
        <f t="shared" si="4"/>
        <v>91</v>
      </c>
    </row>
    <row r="264" spans="1:13" x14ac:dyDescent="0.15">
      <c r="A264" s="4" t="s">
        <v>1076</v>
      </c>
      <c r="B264" s="5" t="s">
        <v>448</v>
      </c>
      <c r="C264" s="5" t="s">
        <v>449</v>
      </c>
      <c r="D264" s="5" t="s">
        <v>7</v>
      </c>
      <c r="E264" s="6">
        <v>33519</v>
      </c>
      <c r="F264" s="5" t="s">
        <v>14</v>
      </c>
      <c r="G264" s="5" t="s">
        <v>804</v>
      </c>
      <c r="H264" s="7">
        <v>35</v>
      </c>
      <c r="I264" s="7">
        <v>20</v>
      </c>
      <c r="J264" s="7">
        <v>20</v>
      </c>
      <c r="K264" s="7">
        <v>10</v>
      </c>
      <c r="L264" s="7">
        <v>10</v>
      </c>
      <c r="M264" s="8">
        <f t="shared" si="4"/>
        <v>95</v>
      </c>
    </row>
    <row r="265" spans="1:13" x14ac:dyDescent="0.15">
      <c r="A265" s="4" t="s">
        <v>1077</v>
      </c>
      <c r="B265" s="5" t="s">
        <v>450</v>
      </c>
      <c r="C265" s="5" t="s">
        <v>451</v>
      </c>
      <c r="D265" s="5" t="s">
        <v>7</v>
      </c>
      <c r="E265" s="6">
        <v>33546</v>
      </c>
      <c r="F265" s="5" t="s">
        <v>14</v>
      </c>
      <c r="G265" s="5" t="s">
        <v>804</v>
      </c>
      <c r="H265" s="7">
        <v>24</v>
      </c>
      <c r="I265" s="7">
        <v>18</v>
      </c>
      <c r="J265" s="7">
        <v>20</v>
      </c>
      <c r="K265" s="7">
        <v>10</v>
      </c>
      <c r="L265" s="7">
        <v>10</v>
      </c>
      <c r="M265" s="8">
        <f t="shared" si="4"/>
        <v>82</v>
      </c>
    </row>
    <row r="266" spans="1:13" x14ac:dyDescent="0.15">
      <c r="A266" s="4" t="s">
        <v>1078</v>
      </c>
      <c r="B266" s="5" t="s">
        <v>452</v>
      </c>
      <c r="C266" s="5" t="s">
        <v>453</v>
      </c>
      <c r="D266" s="5" t="s">
        <v>7</v>
      </c>
      <c r="E266" s="6">
        <v>33288</v>
      </c>
      <c r="F266" s="5" t="s">
        <v>14</v>
      </c>
      <c r="G266" s="5" t="s">
        <v>804</v>
      </c>
      <c r="H266" s="7">
        <v>36</v>
      </c>
      <c r="I266" s="7">
        <v>20</v>
      </c>
      <c r="J266" s="7">
        <v>20</v>
      </c>
      <c r="K266" s="7">
        <v>10</v>
      </c>
      <c r="L266" s="7">
        <v>10</v>
      </c>
      <c r="M266" s="8">
        <f t="shared" si="4"/>
        <v>96</v>
      </c>
    </row>
    <row r="267" spans="1:13" x14ac:dyDescent="0.15">
      <c r="A267" s="4" t="s">
        <v>1079</v>
      </c>
      <c r="B267" s="5" t="s">
        <v>454</v>
      </c>
      <c r="C267" s="5" t="s">
        <v>455</v>
      </c>
      <c r="D267" s="5" t="s">
        <v>7</v>
      </c>
      <c r="E267" s="6">
        <v>33553</v>
      </c>
      <c r="F267" s="5" t="s">
        <v>14</v>
      </c>
      <c r="G267" s="5" t="s">
        <v>804</v>
      </c>
      <c r="H267" s="7">
        <v>29</v>
      </c>
      <c r="I267" s="7">
        <v>18</v>
      </c>
      <c r="J267" s="7">
        <v>20</v>
      </c>
      <c r="K267" s="7">
        <v>10</v>
      </c>
      <c r="L267" s="7">
        <v>9</v>
      </c>
      <c r="M267" s="8">
        <f t="shared" si="4"/>
        <v>86</v>
      </c>
    </row>
    <row r="268" spans="1:13" x14ac:dyDescent="0.15">
      <c r="A268" s="4" t="s">
        <v>1080</v>
      </c>
      <c r="B268" s="5" t="s">
        <v>456</v>
      </c>
      <c r="C268" s="5" t="s">
        <v>457</v>
      </c>
      <c r="D268" s="5" t="s">
        <v>7</v>
      </c>
      <c r="E268" s="6">
        <v>33277</v>
      </c>
      <c r="F268" s="5" t="s">
        <v>61</v>
      </c>
      <c r="G268" s="5" t="s">
        <v>804</v>
      </c>
      <c r="H268" s="7">
        <v>28</v>
      </c>
      <c r="I268" s="7">
        <v>19</v>
      </c>
      <c r="J268" s="7">
        <v>20</v>
      </c>
      <c r="K268" s="7">
        <v>10</v>
      </c>
      <c r="L268" s="7">
        <v>10</v>
      </c>
      <c r="M268" s="8">
        <f t="shared" si="4"/>
        <v>87</v>
      </c>
    </row>
    <row r="269" spans="1:13" x14ac:dyDescent="0.15">
      <c r="A269" s="4" t="s">
        <v>1081</v>
      </c>
      <c r="B269" s="5" t="s">
        <v>458</v>
      </c>
      <c r="C269" s="5" t="s">
        <v>459</v>
      </c>
      <c r="D269" s="5" t="s">
        <v>7</v>
      </c>
      <c r="E269" s="6">
        <v>33404</v>
      </c>
      <c r="F269" s="5" t="s">
        <v>14</v>
      </c>
      <c r="G269" s="5" t="s">
        <v>804</v>
      </c>
      <c r="H269" s="7">
        <v>38</v>
      </c>
      <c r="I269" s="7">
        <v>19</v>
      </c>
      <c r="J269" s="7">
        <v>20</v>
      </c>
      <c r="K269" s="7">
        <v>10</v>
      </c>
      <c r="L269" s="7">
        <v>10</v>
      </c>
      <c r="M269" s="8">
        <f t="shared" si="4"/>
        <v>97</v>
      </c>
    </row>
    <row r="270" spans="1:13" x14ac:dyDescent="0.15">
      <c r="A270" s="4" t="s">
        <v>1082</v>
      </c>
      <c r="B270" s="5" t="s">
        <v>460</v>
      </c>
      <c r="C270" s="5" t="s">
        <v>461</v>
      </c>
      <c r="D270" s="5" t="s">
        <v>17</v>
      </c>
      <c r="E270" s="6">
        <v>33399</v>
      </c>
      <c r="F270" s="5" t="s">
        <v>14</v>
      </c>
      <c r="G270" s="5" t="s">
        <v>804</v>
      </c>
      <c r="H270" s="7">
        <v>14</v>
      </c>
      <c r="I270" s="7">
        <v>16</v>
      </c>
      <c r="J270" s="7">
        <v>5</v>
      </c>
      <c r="K270" s="7">
        <v>6</v>
      </c>
      <c r="L270" s="7">
        <v>0</v>
      </c>
      <c r="M270" s="8">
        <f t="shared" si="4"/>
        <v>41</v>
      </c>
    </row>
    <row r="271" spans="1:13" x14ac:dyDescent="0.15">
      <c r="A271" s="4" t="s">
        <v>1083</v>
      </c>
      <c r="B271" s="5" t="s">
        <v>546</v>
      </c>
      <c r="C271" s="5" t="s">
        <v>547</v>
      </c>
      <c r="D271" s="5" t="s">
        <v>7</v>
      </c>
      <c r="E271" s="6">
        <v>33411</v>
      </c>
      <c r="F271" s="5" t="s">
        <v>8</v>
      </c>
      <c r="G271" s="5" t="s">
        <v>804</v>
      </c>
      <c r="H271" s="7">
        <v>35</v>
      </c>
      <c r="I271" s="7">
        <v>19</v>
      </c>
      <c r="J271" s="7">
        <v>20</v>
      </c>
      <c r="K271" s="7">
        <v>10</v>
      </c>
      <c r="L271" s="7">
        <v>10</v>
      </c>
      <c r="M271" s="8">
        <f t="shared" si="4"/>
        <v>94</v>
      </c>
    </row>
    <row r="272" spans="1:13" x14ac:dyDescent="0.15">
      <c r="A272" s="4" t="s">
        <v>1084</v>
      </c>
      <c r="B272" s="5" t="s">
        <v>548</v>
      </c>
      <c r="C272" s="5" t="s">
        <v>549</v>
      </c>
      <c r="D272" s="5" t="s">
        <v>17</v>
      </c>
      <c r="E272" s="6">
        <v>33497</v>
      </c>
      <c r="F272" s="5" t="s">
        <v>14</v>
      </c>
      <c r="G272" s="5" t="s">
        <v>804</v>
      </c>
      <c r="H272" s="7">
        <v>36</v>
      </c>
      <c r="I272" s="7">
        <v>20</v>
      </c>
      <c r="J272" s="7">
        <v>19</v>
      </c>
      <c r="K272" s="7">
        <v>10</v>
      </c>
      <c r="L272" s="7">
        <v>9</v>
      </c>
      <c r="M272" s="8">
        <f t="shared" si="4"/>
        <v>94</v>
      </c>
    </row>
    <row r="273" spans="1:13" x14ac:dyDescent="0.15">
      <c r="A273" s="4" t="s">
        <v>1085</v>
      </c>
      <c r="B273" s="5" t="s">
        <v>550</v>
      </c>
      <c r="C273" s="5" t="s">
        <v>551</v>
      </c>
      <c r="D273" s="5" t="s">
        <v>17</v>
      </c>
      <c r="E273" s="6">
        <v>33515</v>
      </c>
      <c r="F273" s="5" t="s">
        <v>14</v>
      </c>
      <c r="G273" s="5" t="s">
        <v>804</v>
      </c>
      <c r="H273" s="7">
        <v>35</v>
      </c>
      <c r="I273" s="7">
        <v>19</v>
      </c>
      <c r="J273" s="7">
        <v>17</v>
      </c>
      <c r="K273" s="7">
        <v>10</v>
      </c>
      <c r="L273" s="7">
        <v>10</v>
      </c>
      <c r="M273" s="8">
        <f t="shared" si="4"/>
        <v>91</v>
      </c>
    </row>
    <row r="274" spans="1:13" x14ac:dyDescent="0.15">
      <c r="A274" s="4" t="s">
        <v>1086</v>
      </c>
      <c r="B274" s="5" t="s">
        <v>552</v>
      </c>
      <c r="C274" s="5" t="s">
        <v>553</v>
      </c>
      <c r="D274" s="5" t="s">
        <v>7</v>
      </c>
      <c r="E274" s="6">
        <v>33554</v>
      </c>
      <c r="F274" s="5" t="s">
        <v>14</v>
      </c>
      <c r="G274" s="5" t="s">
        <v>804</v>
      </c>
      <c r="H274" s="7">
        <v>23</v>
      </c>
      <c r="I274" s="7">
        <v>19</v>
      </c>
      <c r="J274" s="7">
        <v>18</v>
      </c>
      <c r="K274" s="7">
        <v>10</v>
      </c>
      <c r="L274" s="7">
        <v>8</v>
      </c>
      <c r="M274" s="8">
        <f t="shared" si="4"/>
        <v>78</v>
      </c>
    </row>
    <row r="275" spans="1:13" x14ac:dyDescent="0.15">
      <c r="A275" s="4" t="s">
        <v>1087</v>
      </c>
      <c r="B275" s="5" t="s">
        <v>554</v>
      </c>
      <c r="C275" s="5" t="s">
        <v>555</v>
      </c>
      <c r="D275" s="5" t="s">
        <v>7</v>
      </c>
      <c r="E275" s="6">
        <v>33294</v>
      </c>
      <c r="F275" s="5" t="s">
        <v>42</v>
      </c>
      <c r="G275" s="5" t="s">
        <v>804</v>
      </c>
      <c r="H275" s="7">
        <v>32</v>
      </c>
      <c r="I275" s="7">
        <v>20</v>
      </c>
      <c r="J275" s="7">
        <v>20</v>
      </c>
      <c r="K275" s="7">
        <v>10</v>
      </c>
      <c r="L275" s="7">
        <v>10</v>
      </c>
      <c r="M275" s="8">
        <f t="shared" si="4"/>
        <v>92</v>
      </c>
    </row>
    <row r="276" spans="1:13" x14ac:dyDescent="0.15">
      <c r="A276" s="4" t="s">
        <v>1088</v>
      </c>
      <c r="B276" s="5" t="s">
        <v>556</v>
      </c>
      <c r="C276" s="5" t="s">
        <v>557</v>
      </c>
      <c r="D276" s="5" t="s">
        <v>7</v>
      </c>
      <c r="E276" s="6">
        <v>33517</v>
      </c>
      <c r="F276" s="5" t="s">
        <v>14</v>
      </c>
      <c r="G276" s="5" t="s">
        <v>804</v>
      </c>
      <c r="H276" s="7">
        <v>34</v>
      </c>
      <c r="I276" s="7">
        <v>20</v>
      </c>
      <c r="J276" s="7">
        <v>19</v>
      </c>
      <c r="K276" s="7">
        <v>10</v>
      </c>
      <c r="L276" s="7">
        <v>10</v>
      </c>
      <c r="M276" s="8">
        <f t="shared" si="4"/>
        <v>93</v>
      </c>
    </row>
    <row r="277" spans="1:13" x14ac:dyDescent="0.15">
      <c r="A277" s="4" t="s">
        <v>1089</v>
      </c>
      <c r="B277" s="5" t="s">
        <v>558</v>
      </c>
      <c r="C277" s="5" t="s">
        <v>559</v>
      </c>
      <c r="D277" s="5" t="s">
        <v>17</v>
      </c>
      <c r="E277" s="6">
        <v>33306</v>
      </c>
      <c r="F277" s="5" t="s">
        <v>14</v>
      </c>
      <c r="G277" s="5" t="s">
        <v>804</v>
      </c>
      <c r="H277" s="7">
        <v>25</v>
      </c>
      <c r="I277" s="7">
        <v>18</v>
      </c>
      <c r="J277" s="7">
        <v>20</v>
      </c>
      <c r="K277" s="7">
        <v>10</v>
      </c>
      <c r="L277" s="7">
        <v>9</v>
      </c>
      <c r="M277" s="8">
        <f t="shared" si="4"/>
        <v>82</v>
      </c>
    </row>
    <row r="278" spans="1:13" x14ac:dyDescent="0.15">
      <c r="A278" s="4" t="s">
        <v>1090</v>
      </c>
      <c r="B278" s="5" t="s">
        <v>560</v>
      </c>
      <c r="C278" s="5" t="s">
        <v>561</v>
      </c>
      <c r="D278" s="5" t="s">
        <v>7</v>
      </c>
      <c r="E278" s="6">
        <v>33361</v>
      </c>
      <c r="F278" s="5" t="s">
        <v>14</v>
      </c>
      <c r="G278" s="5" t="s">
        <v>804</v>
      </c>
      <c r="H278" s="7">
        <v>31</v>
      </c>
      <c r="I278" s="7">
        <v>20</v>
      </c>
      <c r="J278" s="7">
        <v>20</v>
      </c>
      <c r="K278" s="7">
        <v>10</v>
      </c>
      <c r="L278" s="7">
        <v>9</v>
      </c>
      <c r="M278" s="8">
        <f t="shared" si="4"/>
        <v>90</v>
      </c>
    </row>
    <row r="279" spans="1:13" x14ac:dyDescent="0.15">
      <c r="A279" s="4" t="s">
        <v>1091</v>
      </c>
      <c r="B279" s="5" t="s">
        <v>562</v>
      </c>
      <c r="C279" s="5" t="s">
        <v>563</v>
      </c>
      <c r="D279" s="5" t="s">
        <v>7</v>
      </c>
      <c r="E279" s="6">
        <v>33616</v>
      </c>
      <c r="F279" s="5" t="s">
        <v>14</v>
      </c>
      <c r="G279" s="5" t="s">
        <v>804</v>
      </c>
      <c r="H279" s="7">
        <v>20</v>
      </c>
      <c r="I279" s="7">
        <v>18</v>
      </c>
      <c r="J279" s="7">
        <v>18</v>
      </c>
      <c r="K279" s="7">
        <v>8</v>
      </c>
      <c r="L279" s="7">
        <v>8</v>
      </c>
      <c r="M279" s="8">
        <f t="shared" si="4"/>
        <v>72</v>
      </c>
    </row>
    <row r="280" spans="1:13" x14ac:dyDescent="0.15">
      <c r="A280" s="4" t="s">
        <v>1092</v>
      </c>
      <c r="B280" s="5" t="s">
        <v>564</v>
      </c>
      <c r="C280" s="5" t="s">
        <v>565</v>
      </c>
      <c r="D280" s="5" t="s">
        <v>7</v>
      </c>
      <c r="E280" s="6">
        <v>33283</v>
      </c>
      <c r="F280" s="5" t="s">
        <v>14</v>
      </c>
      <c r="G280" s="5" t="s">
        <v>804</v>
      </c>
      <c r="H280" s="7">
        <v>31</v>
      </c>
      <c r="I280" s="7">
        <v>19</v>
      </c>
      <c r="J280" s="7">
        <v>20</v>
      </c>
      <c r="K280" s="7">
        <v>10</v>
      </c>
      <c r="L280" s="7">
        <v>10</v>
      </c>
      <c r="M280" s="8">
        <f t="shared" si="4"/>
        <v>90</v>
      </c>
    </row>
    <row r="281" spans="1:13" x14ac:dyDescent="0.15">
      <c r="A281" s="4" t="s">
        <v>1093</v>
      </c>
      <c r="B281" s="5" t="s">
        <v>566</v>
      </c>
      <c r="C281" s="5" t="s">
        <v>567</v>
      </c>
      <c r="D281" s="5" t="s">
        <v>7</v>
      </c>
      <c r="E281" s="6">
        <v>33400</v>
      </c>
      <c r="F281" s="5" t="s">
        <v>14</v>
      </c>
      <c r="G281" s="5" t="s">
        <v>804</v>
      </c>
      <c r="H281" s="7">
        <v>32</v>
      </c>
      <c r="I281" s="7">
        <v>20</v>
      </c>
      <c r="J281" s="7">
        <v>20</v>
      </c>
      <c r="K281" s="7">
        <v>9</v>
      </c>
      <c r="L281" s="7">
        <v>9</v>
      </c>
      <c r="M281" s="8">
        <f t="shared" si="4"/>
        <v>90</v>
      </c>
    </row>
    <row r="282" spans="1:13" x14ac:dyDescent="0.15">
      <c r="A282" s="4" t="s">
        <v>1094</v>
      </c>
      <c r="B282" s="5" t="s">
        <v>568</v>
      </c>
      <c r="C282" s="5" t="s">
        <v>569</v>
      </c>
      <c r="D282" s="5" t="s">
        <v>7</v>
      </c>
      <c r="E282" s="6">
        <v>33504</v>
      </c>
      <c r="F282" s="5" t="s">
        <v>14</v>
      </c>
      <c r="G282" s="5" t="s">
        <v>804</v>
      </c>
      <c r="H282" s="7">
        <v>29</v>
      </c>
      <c r="I282" s="7">
        <v>18</v>
      </c>
      <c r="J282" s="7">
        <v>20</v>
      </c>
      <c r="K282" s="7">
        <v>10</v>
      </c>
      <c r="L282" s="7">
        <v>9</v>
      </c>
      <c r="M282" s="8">
        <f t="shared" si="4"/>
        <v>86</v>
      </c>
    </row>
    <row r="283" spans="1:13" x14ac:dyDescent="0.15">
      <c r="A283" s="4" t="s">
        <v>1095</v>
      </c>
      <c r="B283" s="5" t="s">
        <v>570</v>
      </c>
      <c r="C283" s="5" t="s">
        <v>571</v>
      </c>
      <c r="D283" s="5" t="s">
        <v>7</v>
      </c>
      <c r="E283" s="6">
        <v>33410</v>
      </c>
      <c r="F283" s="5" t="s">
        <v>14</v>
      </c>
      <c r="G283" s="5" t="s">
        <v>804</v>
      </c>
      <c r="H283" s="7">
        <v>33</v>
      </c>
      <c r="I283" s="7">
        <v>18</v>
      </c>
      <c r="J283" s="7">
        <v>18</v>
      </c>
      <c r="K283" s="7">
        <v>10</v>
      </c>
      <c r="L283" s="7">
        <v>9</v>
      </c>
      <c r="M283" s="8">
        <f t="shared" si="4"/>
        <v>88</v>
      </c>
    </row>
    <row r="284" spans="1:13" x14ac:dyDescent="0.15">
      <c r="A284" s="4" t="s">
        <v>1096</v>
      </c>
      <c r="B284" s="5" t="s">
        <v>572</v>
      </c>
      <c r="C284" s="5" t="s">
        <v>573</v>
      </c>
      <c r="D284" s="5" t="s">
        <v>7</v>
      </c>
      <c r="E284" s="6">
        <v>33432</v>
      </c>
      <c r="F284" s="5" t="s">
        <v>14</v>
      </c>
      <c r="G284" s="5" t="s">
        <v>804</v>
      </c>
      <c r="H284" s="7">
        <v>37</v>
      </c>
      <c r="I284" s="7">
        <v>18</v>
      </c>
      <c r="J284" s="7">
        <v>20</v>
      </c>
      <c r="K284" s="7">
        <v>10</v>
      </c>
      <c r="L284" s="7">
        <v>9</v>
      </c>
      <c r="M284" s="8">
        <f t="shared" si="4"/>
        <v>94</v>
      </c>
    </row>
    <row r="285" spans="1:13" x14ac:dyDescent="0.15">
      <c r="A285" s="4" t="s">
        <v>1097</v>
      </c>
      <c r="B285" s="5" t="s">
        <v>574</v>
      </c>
      <c r="C285" s="5" t="s">
        <v>575</v>
      </c>
      <c r="D285" s="5" t="s">
        <v>7</v>
      </c>
      <c r="E285" s="6">
        <v>33563</v>
      </c>
      <c r="F285" s="5" t="s">
        <v>61</v>
      </c>
      <c r="G285" s="5" t="s">
        <v>804</v>
      </c>
      <c r="H285" s="7">
        <v>27</v>
      </c>
      <c r="I285" s="7">
        <v>19</v>
      </c>
      <c r="J285" s="7">
        <v>20</v>
      </c>
      <c r="K285" s="7">
        <v>10</v>
      </c>
      <c r="L285" s="7">
        <v>8</v>
      </c>
      <c r="M285" s="8">
        <f t="shared" si="4"/>
        <v>84</v>
      </c>
    </row>
    <row r="286" spans="1:13" x14ac:dyDescent="0.15">
      <c r="A286" s="4" t="s">
        <v>1098</v>
      </c>
      <c r="B286" s="5" t="s">
        <v>576</v>
      </c>
      <c r="C286" s="5" t="s">
        <v>577</v>
      </c>
      <c r="D286" s="5" t="s">
        <v>7</v>
      </c>
      <c r="E286" s="6">
        <v>33551</v>
      </c>
      <c r="F286" s="5" t="s">
        <v>14</v>
      </c>
      <c r="G286" s="5" t="s">
        <v>804</v>
      </c>
      <c r="H286" s="7">
        <v>26</v>
      </c>
      <c r="I286" s="7">
        <v>17</v>
      </c>
      <c r="J286" s="7">
        <v>14</v>
      </c>
      <c r="K286" s="7">
        <v>8</v>
      </c>
      <c r="L286" s="7">
        <v>8</v>
      </c>
      <c r="M286" s="8">
        <f t="shared" si="4"/>
        <v>73</v>
      </c>
    </row>
    <row r="287" spans="1:13" x14ac:dyDescent="0.15">
      <c r="A287" s="4" t="s">
        <v>1099</v>
      </c>
      <c r="B287" s="5" t="s">
        <v>578</v>
      </c>
      <c r="C287" s="5" t="s">
        <v>579</v>
      </c>
      <c r="D287" s="5" t="s">
        <v>7</v>
      </c>
      <c r="E287" s="6">
        <v>33443</v>
      </c>
      <c r="F287" s="5" t="s">
        <v>14</v>
      </c>
      <c r="G287" s="5" t="s">
        <v>804</v>
      </c>
      <c r="H287" s="7">
        <v>30</v>
      </c>
      <c r="I287" s="7">
        <v>19</v>
      </c>
      <c r="J287" s="7">
        <v>18</v>
      </c>
      <c r="K287" s="7">
        <v>10</v>
      </c>
      <c r="L287" s="7">
        <v>10</v>
      </c>
      <c r="M287" s="8">
        <f t="shared" si="4"/>
        <v>87</v>
      </c>
    </row>
    <row r="288" spans="1:13" x14ac:dyDescent="0.15">
      <c r="A288" s="4" t="s">
        <v>1100</v>
      </c>
      <c r="B288" s="5" t="s">
        <v>580</v>
      </c>
      <c r="C288" s="5" t="s">
        <v>581</v>
      </c>
      <c r="D288" s="5" t="s">
        <v>17</v>
      </c>
      <c r="E288" s="6">
        <v>33555</v>
      </c>
      <c r="F288" s="5" t="s">
        <v>14</v>
      </c>
      <c r="G288" s="5" t="s">
        <v>804</v>
      </c>
      <c r="H288" s="7">
        <v>31</v>
      </c>
      <c r="I288" s="7">
        <v>19</v>
      </c>
      <c r="J288" s="7">
        <v>20</v>
      </c>
      <c r="K288" s="7">
        <v>8</v>
      </c>
      <c r="L288" s="7">
        <v>9</v>
      </c>
      <c r="M288" s="8">
        <f t="shared" si="4"/>
        <v>87</v>
      </c>
    </row>
    <row r="289" spans="1:13" x14ac:dyDescent="0.15">
      <c r="A289" s="4" t="s">
        <v>1101</v>
      </c>
      <c r="B289" s="5" t="s">
        <v>582</v>
      </c>
      <c r="C289" s="5" t="s">
        <v>583</v>
      </c>
      <c r="D289" s="5" t="s">
        <v>17</v>
      </c>
      <c r="E289" s="6">
        <v>33367</v>
      </c>
      <c r="F289" s="5" t="s">
        <v>14</v>
      </c>
      <c r="G289" s="5" t="s">
        <v>804</v>
      </c>
      <c r="H289" s="7">
        <v>30</v>
      </c>
      <c r="I289" s="7">
        <v>19</v>
      </c>
      <c r="J289" s="7">
        <v>20</v>
      </c>
      <c r="K289" s="7">
        <v>10</v>
      </c>
      <c r="L289" s="7">
        <v>10</v>
      </c>
      <c r="M289" s="8">
        <f t="shared" si="4"/>
        <v>89</v>
      </c>
    </row>
    <row r="290" spans="1:13" x14ac:dyDescent="0.15">
      <c r="A290" s="4" t="s">
        <v>1102</v>
      </c>
      <c r="B290" s="5" t="s">
        <v>584</v>
      </c>
      <c r="C290" s="5" t="s">
        <v>585</v>
      </c>
      <c r="D290" s="5" t="s">
        <v>17</v>
      </c>
      <c r="E290" s="6">
        <v>33255</v>
      </c>
      <c r="F290" s="5" t="s">
        <v>14</v>
      </c>
      <c r="G290" s="5" t="s">
        <v>804</v>
      </c>
      <c r="H290" s="7">
        <v>21</v>
      </c>
      <c r="I290" s="7">
        <v>19</v>
      </c>
      <c r="J290" s="7">
        <v>20</v>
      </c>
      <c r="K290" s="7">
        <v>10</v>
      </c>
      <c r="L290" s="7">
        <v>9</v>
      </c>
      <c r="M290" s="8">
        <f t="shared" si="4"/>
        <v>79</v>
      </c>
    </row>
    <row r="291" spans="1:13" x14ac:dyDescent="0.15">
      <c r="A291" s="4" t="s">
        <v>1103</v>
      </c>
      <c r="B291" s="5" t="s">
        <v>586</v>
      </c>
      <c r="C291" s="5" t="s">
        <v>587</v>
      </c>
      <c r="D291" s="5" t="s">
        <v>17</v>
      </c>
      <c r="E291" s="6">
        <v>33569</v>
      </c>
      <c r="F291" s="5" t="s">
        <v>14</v>
      </c>
      <c r="G291" s="5" t="s">
        <v>804</v>
      </c>
      <c r="H291" s="7">
        <v>20</v>
      </c>
      <c r="I291" s="7">
        <v>17</v>
      </c>
      <c r="J291" s="7">
        <v>16</v>
      </c>
      <c r="K291" s="7">
        <v>8</v>
      </c>
      <c r="L291" s="7">
        <v>8</v>
      </c>
      <c r="M291" s="8">
        <f t="shared" si="4"/>
        <v>69</v>
      </c>
    </row>
    <row r="292" spans="1:13" x14ac:dyDescent="0.15">
      <c r="A292" s="4" t="s">
        <v>1104</v>
      </c>
      <c r="B292" s="5" t="s">
        <v>588</v>
      </c>
      <c r="C292" s="5" t="s">
        <v>589</v>
      </c>
      <c r="D292" s="5" t="s">
        <v>7</v>
      </c>
      <c r="E292" s="6">
        <v>33559</v>
      </c>
      <c r="F292" s="5" t="s">
        <v>14</v>
      </c>
      <c r="G292" s="5" t="s">
        <v>804</v>
      </c>
      <c r="H292" s="7">
        <v>29</v>
      </c>
      <c r="I292" s="7">
        <v>17</v>
      </c>
      <c r="J292" s="7">
        <v>20</v>
      </c>
      <c r="K292" s="7">
        <v>10</v>
      </c>
      <c r="L292" s="7">
        <v>10</v>
      </c>
      <c r="M292" s="8">
        <f t="shared" si="4"/>
        <v>86</v>
      </c>
    </row>
    <row r="293" spans="1:13" x14ac:dyDescent="0.15">
      <c r="A293" s="4" t="s">
        <v>1105</v>
      </c>
      <c r="B293" s="5" t="s">
        <v>590</v>
      </c>
      <c r="C293" s="5" t="s">
        <v>591</v>
      </c>
      <c r="D293" s="5" t="s">
        <v>7</v>
      </c>
      <c r="E293" s="6">
        <v>33390</v>
      </c>
      <c r="F293" s="5" t="s">
        <v>14</v>
      </c>
      <c r="G293" s="5" t="s">
        <v>804</v>
      </c>
      <c r="H293" s="7">
        <v>30</v>
      </c>
      <c r="I293" s="7">
        <v>20</v>
      </c>
      <c r="J293" s="7">
        <v>20</v>
      </c>
      <c r="K293" s="7">
        <v>10</v>
      </c>
      <c r="L293" s="7">
        <v>10</v>
      </c>
      <c r="M293" s="8">
        <f t="shared" si="4"/>
        <v>90</v>
      </c>
    </row>
    <row r="294" spans="1:13" x14ac:dyDescent="0.15">
      <c r="A294" s="4" t="s">
        <v>1106</v>
      </c>
      <c r="B294" s="5" t="s">
        <v>592</v>
      </c>
      <c r="C294" s="5" t="s">
        <v>593</v>
      </c>
      <c r="D294" s="5" t="s">
        <v>17</v>
      </c>
      <c r="E294" s="6">
        <v>33403</v>
      </c>
      <c r="F294" s="5" t="s">
        <v>14</v>
      </c>
      <c r="G294" s="5" t="s">
        <v>804</v>
      </c>
      <c r="H294" s="7">
        <v>24</v>
      </c>
      <c r="I294" s="7">
        <v>19</v>
      </c>
      <c r="J294" s="7">
        <v>18</v>
      </c>
      <c r="K294" s="7">
        <v>10</v>
      </c>
      <c r="L294" s="7">
        <v>10</v>
      </c>
      <c r="M294" s="8">
        <f t="shared" si="4"/>
        <v>81</v>
      </c>
    </row>
    <row r="295" spans="1:13" x14ac:dyDescent="0.15">
      <c r="A295" s="4" t="s">
        <v>1107</v>
      </c>
      <c r="B295" s="5" t="s">
        <v>594</v>
      </c>
      <c r="C295" s="5" t="s">
        <v>595</v>
      </c>
      <c r="D295" s="5" t="s">
        <v>17</v>
      </c>
      <c r="E295" s="6">
        <v>33348</v>
      </c>
      <c r="F295" s="5" t="s">
        <v>14</v>
      </c>
      <c r="G295" s="5" t="s">
        <v>804</v>
      </c>
      <c r="H295" s="7">
        <v>30</v>
      </c>
      <c r="I295" s="7">
        <v>19</v>
      </c>
      <c r="J295" s="7">
        <v>20</v>
      </c>
      <c r="K295" s="7">
        <v>8</v>
      </c>
      <c r="L295" s="7">
        <v>9</v>
      </c>
      <c r="M295" s="8">
        <f t="shared" si="4"/>
        <v>86</v>
      </c>
    </row>
    <row r="296" spans="1:13" x14ac:dyDescent="0.15">
      <c r="A296" s="4" t="s">
        <v>1108</v>
      </c>
      <c r="B296" s="5" t="s">
        <v>596</v>
      </c>
      <c r="C296" s="5" t="s">
        <v>597</v>
      </c>
      <c r="D296" s="5" t="s">
        <v>7</v>
      </c>
      <c r="E296" s="6">
        <v>33258</v>
      </c>
      <c r="F296" s="5" t="s">
        <v>14</v>
      </c>
      <c r="G296" s="5" t="s">
        <v>804</v>
      </c>
      <c r="H296" s="7">
        <v>26</v>
      </c>
      <c r="I296" s="7">
        <v>19</v>
      </c>
      <c r="J296" s="7">
        <v>20</v>
      </c>
      <c r="K296" s="7">
        <v>10</v>
      </c>
      <c r="L296" s="7">
        <v>9</v>
      </c>
      <c r="M296" s="8">
        <f t="shared" si="4"/>
        <v>84</v>
      </c>
    </row>
    <row r="297" spans="1:13" x14ac:dyDescent="0.15">
      <c r="A297" s="4" t="s">
        <v>1109</v>
      </c>
      <c r="B297" s="5" t="s">
        <v>598</v>
      </c>
      <c r="C297" s="5" t="s">
        <v>599</v>
      </c>
      <c r="D297" s="5" t="s">
        <v>17</v>
      </c>
      <c r="E297" s="6">
        <v>33511</v>
      </c>
      <c r="F297" s="5" t="s">
        <v>8</v>
      </c>
      <c r="G297" s="5" t="s">
        <v>804</v>
      </c>
      <c r="H297" s="7">
        <v>29</v>
      </c>
      <c r="I297" s="7">
        <v>19</v>
      </c>
      <c r="J297" s="7">
        <v>18</v>
      </c>
      <c r="K297" s="7">
        <v>10</v>
      </c>
      <c r="L297" s="7">
        <v>0</v>
      </c>
      <c r="M297" s="8">
        <f t="shared" si="4"/>
        <v>76</v>
      </c>
    </row>
    <row r="298" spans="1:13" x14ac:dyDescent="0.15">
      <c r="A298" s="4" t="s">
        <v>1110</v>
      </c>
      <c r="B298" s="5" t="s">
        <v>600</v>
      </c>
      <c r="C298" s="5" t="s">
        <v>601</v>
      </c>
      <c r="D298" s="5" t="s">
        <v>17</v>
      </c>
      <c r="E298" s="6">
        <v>33434</v>
      </c>
      <c r="F298" s="5" t="s">
        <v>14</v>
      </c>
      <c r="G298" s="5" t="s">
        <v>804</v>
      </c>
      <c r="H298" s="7">
        <v>31</v>
      </c>
      <c r="I298" s="7">
        <v>20</v>
      </c>
      <c r="J298" s="7">
        <v>18</v>
      </c>
      <c r="K298" s="7">
        <v>10</v>
      </c>
      <c r="L298" s="7">
        <v>9</v>
      </c>
      <c r="M298" s="8">
        <f t="shared" si="4"/>
        <v>88</v>
      </c>
    </row>
    <row r="299" spans="1:13" x14ac:dyDescent="0.15">
      <c r="A299" s="4" t="s">
        <v>1111</v>
      </c>
      <c r="B299" s="5" t="s">
        <v>602</v>
      </c>
      <c r="C299" s="5" t="s">
        <v>603</v>
      </c>
      <c r="D299" s="5" t="s">
        <v>17</v>
      </c>
      <c r="E299" s="6">
        <v>33555</v>
      </c>
      <c r="F299" s="5" t="s">
        <v>14</v>
      </c>
      <c r="G299" s="5" t="s">
        <v>804</v>
      </c>
      <c r="H299" s="7">
        <v>35</v>
      </c>
      <c r="I299" s="7">
        <v>20</v>
      </c>
      <c r="J299" s="7">
        <v>20</v>
      </c>
      <c r="K299" s="7">
        <v>10</v>
      </c>
      <c r="L299" s="7">
        <v>10</v>
      </c>
      <c r="M299" s="8">
        <f t="shared" si="4"/>
        <v>95</v>
      </c>
    </row>
    <row r="300" spans="1:13" x14ac:dyDescent="0.15">
      <c r="A300" s="4" t="s">
        <v>1112</v>
      </c>
      <c r="B300" s="5" t="s">
        <v>604</v>
      </c>
      <c r="C300" s="5" t="s">
        <v>605</v>
      </c>
      <c r="D300" s="5" t="s">
        <v>7</v>
      </c>
      <c r="E300" s="6">
        <v>33405</v>
      </c>
      <c r="F300" s="5" t="s">
        <v>14</v>
      </c>
      <c r="G300" s="5" t="s">
        <v>804</v>
      </c>
      <c r="H300" s="7">
        <v>35</v>
      </c>
      <c r="I300" s="7">
        <v>20</v>
      </c>
      <c r="J300" s="7">
        <v>20</v>
      </c>
      <c r="K300" s="7">
        <v>10</v>
      </c>
      <c r="L300" s="7">
        <v>10</v>
      </c>
      <c r="M300" s="8">
        <f t="shared" si="4"/>
        <v>95</v>
      </c>
    </row>
    <row r="301" spans="1:13" x14ac:dyDescent="0.15">
      <c r="A301" s="4" t="s">
        <v>1113</v>
      </c>
      <c r="B301" s="5" t="s">
        <v>606</v>
      </c>
      <c r="C301" s="5" t="s">
        <v>607</v>
      </c>
      <c r="D301" s="5" t="s">
        <v>17</v>
      </c>
      <c r="E301" s="6">
        <v>33396</v>
      </c>
      <c r="F301" s="5" t="s">
        <v>14</v>
      </c>
      <c r="G301" s="5" t="s">
        <v>804</v>
      </c>
      <c r="H301" s="7">
        <v>15</v>
      </c>
      <c r="I301" s="7">
        <v>16</v>
      </c>
      <c r="J301" s="7">
        <v>19</v>
      </c>
      <c r="K301" s="7">
        <v>8</v>
      </c>
      <c r="L301" s="7">
        <v>0</v>
      </c>
      <c r="M301" s="8">
        <f t="shared" si="4"/>
        <v>58</v>
      </c>
    </row>
    <row r="302" spans="1:13" x14ac:dyDescent="0.15">
      <c r="A302" s="4" t="s">
        <v>1114</v>
      </c>
      <c r="B302" s="5" t="s">
        <v>608</v>
      </c>
      <c r="C302" s="5" t="s">
        <v>609</v>
      </c>
      <c r="D302" s="5" t="s">
        <v>17</v>
      </c>
      <c r="E302" s="6">
        <v>33267</v>
      </c>
      <c r="F302" s="5" t="s">
        <v>14</v>
      </c>
      <c r="G302" s="5" t="s">
        <v>804</v>
      </c>
      <c r="H302" s="7">
        <v>32</v>
      </c>
      <c r="I302" s="7">
        <v>20</v>
      </c>
      <c r="J302" s="7">
        <v>18</v>
      </c>
      <c r="K302" s="7">
        <v>10</v>
      </c>
      <c r="L302" s="7">
        <v>9</v>
      </c>
      <c r="M302" s="8">
        <f t="shared" si="4"/>
        <v>89</v>
      </c>
    </row>
    <row r="303" spans="1:13" x14ac:dyDescent="0.15">
      <c r="A303" s="4" t="s">
        <v>1115</v>
      </c>
      <c r="B303" s="5" t="s">
        <v>610</v>
      </c>
      <c r="C303" s="5" t="s">
        <v>611</v>
      </c>
      <c r="D303" s="5" t="s">
        <v>7</v>
      </c>
      <c r="E303" s="6">
        <v>33387</v>
      </c>
      <c r="F303" s="5" t="s">
        <v>61</v>
      </c>
      <c r="G303" s="5" t="s">
        <v>804</v>
      </c>
      <c r="H303" s="7">
        <v>26</v>
      </c>
      <c r="I303" s="7">
        <v>19</v>
      </c>
      <c r="J303" s="7">
        <v>20</v>
      </c>
      <c r="K303" s="7">
        <v>10</v>
      </c>
      <c r="L303" s="7">
        <v>5</v>
      </c>
      <c r="M303" s="8">
        <f t="shared" si="4"/>
        <v>80</v>
      </c>
    </row>
    <row r="304" spans="1:13" x14ac:dyDescent="0.15">
      <c r="A304" s="4" t="s">
        <v>1116</v>
      </c>
      <c r="B304" s="5" t="s">
        <v>612</v>
      </c>
      <c r="C304" s="5" t="s">
        <v>613</v>
      </c>
      <c r="D304" s="5" t="s">
        <v>7</v>
      </c>
      <c r="E304" s="6">
        <v>33358</v>
      </c>
      <c r="F304" s="5" t="s">
        <v>14</v>
      </c>
      <c r="G304" s="5" t="s">
        <v>804</v>
      </c>
      <c r="H304" s="7">
        <v>17</v>
      </c>
      <c r="I304" s="7">
        <v>0</v>
      </c>
      <c r="J304" s="7">
        <v>18</v>
      </c>
      <c r="K304" s="7">
        <v>10</v>
      </c>
      <c r="L304" s="7">
        <v>6</v>
      </c>
      <c r="M304" s="8">
        <f t="shared" si="4"/>
        <v>51</v>
      </c>
    </row>
    <row r="305" spans="1:13" x14ac:dyDescent="0.15">
      <c r="A305" s="4" t="s">
        <v>1117</v>
      </c>
      <c r="B305" s="5" t="s">
        <v>614</v>
      </c>
      <c r="C305" s="5" t="s">
        <v>615</v>
      </c>
      <c r="D305" s="5" t="s">
        <v>17</v>
      </c>
      <c r="E305" s="6">
        <v>33392</v>
      </c>
      <c r="F305" s="5" t="s">
        <v>14</v>
      </c>
      <c r="G305" s="5" t="s">
        <v>804</v>
      </c>
      <c r="H305" s="7">
        <v>17</v>
      </c>
      <c r="I305" s="7">
        <v>20</v>
      </c>
      <c r="J305" s="7">
        <v>20</v>
      </c>
      <c r="K305" s="7">
        <v>10</v>
      </c>
      <c r="L305" s="7">
        <v>9</v>
      </c>
      <c r="M305" s="8">
        <f t="shared" si="4"/>
        <v>76</v>
      </c>
    </row>
    <row r="306" spans="1:13" x14ac:dyDescent="0.15">
      <c r="A306" s="4" t="s">
        <v>1118</v>
      </c>
      <c r="B306" s="5" t="s">
        <v>616</v>
      </c>
      <c r="C306" s="5" t="s">
        <v>617</v>
      </c>
      <c r="D306" s="5" t="s">
        <v>17</v>
      </c>
      <c r="E306" s="6">
        <v>33312</v>
      </c>
      <c r="F306" s="5" t="s">
        <v>14</v>
      </c>
      <c r="G306" s="5" t="s">
        <v>804</v>
      </c>
      <c r="H306" s="7">
        <v>17</v>
      </c>
      <c r="I306" s="7">
        <v>20</v>
      </c>
      <c r="J306" s="7">
        <v>19</v>
      </c>
      <c r="K306" s="7">
        <v>10</v>
      </c>
      <c r="L306" s="7">
        <v>0</v>
      </c>
      <c r="M306" s="8">
        <f t="shared" si="4"/>
        <v>66</v>
      </c>
    </row>
    <row r="307" spans="1:13" x14ac:dyDescent="0.15">
      <c r="A307" s="4" t="s">
        <v>1119</v>
      </c>
      <c r="B307" s="5" t="s">
        <v>618</v>
      </c>
      <c r="C307" s="5" t="s">
        <v>619</v>
      </c>
      <c r="D307" s="5" t="s">
        <v>17</v>
      </c>
      <c r="E307" s="6">
        <v>33420</v>
      </c>
      <c r="F307" s="5" t="s">
        <v>14</v>
      </c>
      <c r="G307" s="5" t="s">
        <v>804</v>
      </c>
      <c r="H307" s="7">
        <v>18</v>
      </c>
      <c r="I307" s="7">
        <v>20</v>
      </c>
      <c r="J307" s="7">
        <v>19</v>
      </c>
      <c r="K307" s="7">
        <v>10</v>
      </c>
      <c r="L307" s="7">
        <v>9</v>
      </c>
      <c r="M307" s="8">
        <f t="shared" si="4"/>
        <v>76</v>
      </c>
    </row>
    <row r="308" spans="1:13" x14ac:dyDescent="0.15">
      <c r="A308" s="4" t="s">
        <v>1120</v>
      </c>
      <c r="B308" s="5" t="s">
        <v>620</v>
      </c>
      <c r="C308" s="5" t="s">
        <v>621</v>
      </c>
      <c r="D308" s="5" t="s">
        <v>7</v>
      </c>
      <c r="E308" s="6">
        <v>33352</v>
      </c>
      <c r="F308" s="5" t="s">
        <v>14</v>
      </c>
      <c r="G308" s="5" t="s">
        <v>804</v>
      </c>
      <c r="H308" s="7">
        <v>20</v>
      </c>
      <c r="I308" s="7">
        <v>18</v>
      </c>
      <c r="J308" s="7">
        <v>19</v>
      </c>
      <c r="K308" s="7">
        <v>10</v>
      </c>
      <c r="L308" s="7">
        <v>8</v>
      </c>
      <c r="M308" s="8">
        <f t="shared" si="4"/>
        <v>75</v>
      </c>
    </row>
    <row r="309" spans="1:13" x14ac:dyDescent="0.15">
      <c r="A309" s="4" t="s">
        <v>1121</v>
      </c>
      <c r="B309" s="5" t="s">
        <v>622</v>
      </c>
      <c r="C309" s="5" t="s">
        <v>623</v>
      </c>
      <c r="D309" s="5" t="s">
        <v>17</v>
      </c>
      <c r="E309" s="6">
        <v>33272</v>
      </c>
      <c r="F309" s="5" t="s">
        <v>42</v>
      </c>
      <c r="G309" s="5" t="s">
        <v>804</v>
      </c>
      <c r="H309" s="7">
        <v>11</v>
      </c>
      <c r="I309" s="7">
        <v>19</v>
      </c>
      <c r="J309" s="7">
        <v>19</v>
      </c>
      <c r="K309" s="7">
        <v>6</v>
      </c>
      <c r="L309" s="7">
        <v>0</v>
      </c>
      <c r="M309" s="8">
        <f t="shared" si="4"/>
        <v>55</v>
      </c>
    </row>
    <row r="310" spans="1:13" x14ac:dyDescent="0.15">
      <c r="A310" s="4" t="s">
        <v>1122</v>
      </c>
      <c r="B310" s="5" t="s">
        <v>624</v>
      </c>
      <c r="C310" s="5" t="s">
        <v>625</v>
      </c>
      <c r="D310" s="5" t="s">
        <v>17</v>
      </c>
      <c r="E310" s="6">
        <v>33394</v>
      </c>
      <c r="F310" s="5" t="s">
        <v>14</v>
      </c>
      <c r="G310" s="5" t="s">
        <v>804</v>
      </c>
      <c r="H310" s="7">
        <v>20</v>
      </c>
      <c r="I310" s="7">
        <v>17</v>
      </c>
      <c r="J310" s="7">
        <v>20</v>
      </c>
      <c r="K310" s="7">
        <v>8</v>
      </c>
      <c r="L310" s="7">
        <v>9</v>
      </c>
      <c r="M310" s="8">
        <f t="shared" si="4"/>
        <v>74</v>
      </c>
    </row>
    <row r="311" spans="1:13" x14ac:dyDescent="0.15">
      <c r="A311" s="4" t="s">
        <v>1123</v>
      </c>
      <c r="B311" s="5" t="s">
        <v>626</v>
      </c>
      <c r="C311" s="5" t="s">
        <v>627</v>
      </c>
      <c r="D311" s="5" t="s">
        <v>17</v>
      </c>
      <c r="E311" s="6">
        <v>33513</v>
      </c>
      <c r="F311" s="5" t="s">
        <v>14</v>
      </c>
      <c r="G311" s="5" t="s">
        <v>805</v>
      </c>
      <c r="H311" s="7">
        <v>26</v>
      </c>
      <c r="I311" s="7">
        <v>20</v>
      </c>
      <c r="J311" s="7">
        <v>20</v>
      </c>
      <c r="K311" s="7">
        <v>10</v>
      </c>
      <c r="L311" s="7">
        <v>10</v>
      </c>
      <c r="M311" s="8">
        <f t="shared" si="4"/>
        <v>86</v>
      </c>
    </row>
    <row r="312" spans="1:13" x14ac:dyDescent="0.15">
      <c r="A312" s="4" t="s">
        <v>1124</v>
      </c>
      <c r="B312" s="5" t="s">
        <v>628</v>
      </c>
      <c r="C312" s="5" t="s">
        <v>629</v>
      </c>
      <c r="D312" s="5" t="s">
        <v>7</v>
      </c>
      <c r="E312" s="6">
        <v>33407</v>
      </c>
      <c r="F312" s="5" t="s">
        <v>14</v>
      </c>
      <c r="G312" s="5" t="s">
        <v>805</v>
      </c>
      <c r="H312" s="7">
        <v>30</v>
      </c>
      <c r="I312" s="7">
        <v>20</v>
      </c>
      <c r="J312" s="7">
        <v>20</v>
      </c>
      <c r="K312" s="7">
        <v>10</v>
      </c>
      <c r="L312" s="7">
        <v>10</v>
      </c>
      <c r="M312" s="8">
        <f t="shared" si="4"/>
        <v>90</v>
      </c>
    </row>
    <row r="313" spans="1:13" x14ac:dyDescent="0.15">
      <c r="A313" s="4" t="s">
        <v>1125</v>
      </c>
      <c r="B313" s="5" t="s">
        <v>630</v>
      </c>
      <c r="C313" s="5" t="s">
        <v>631</v>
      </c>
      <c r="D313" s="5" t="s">
        <v>7</v>
      </c>
      <c r="E313" s="6">
        <v>33545</v>
      </c>
      <c r="F313" s="5" t="s">
        <v>14</v>
      </c>
      <c r="G313" s="5" t="s">
        <v>805</v>
      </c>
      <c r="H313" s="7">
        <v>17</v>
      </c>
      <c r="I313" s="7">
        <v>18</v>
      </c>
      <c r="J313" s="7">
        <v>19</v>
      </c>
      <c r="K313" s="7">
        <v>6</v>
      </c>
      <c r="L313" s="7">
        <v>9</v>
      </c>
      <c r="M313" s="8">
        <f t="shared" si="4"/>
        <v>69</v>
      </c>
    </row>
    <row r="314" spans="1:13" x14ac:dyDescent="0.15">
      <c r="A314" s="4" t="s">
        <v>1126</v>
      </c>
      <c r="B314" s="5" t="s">
        <v>632</v>
      </c>
      <c r="C314" s="5" t="s">
        <v>633</v>
      </c>
      <c r="D314" s="5" t="s">
        <v>17</v>
      </c>
      <c r="E314" s="6">
        <v>33280</v>
      </c>
      <c r="F314" s="5" t="s">
        <v>14</v>
      </c>
      <c r="G314" s="5" t="s">
        <v>805</v>
      </c>
      <c r="H314" s="7">
        <v>26</v>
      </c>
      <c r="I314" s="7">
        <v>19</v>
      </c>
      <c r="J314" s="7">
        <v>8</v>
      </c>
      <c r="K314" s="7">
        <v>6</v>
      </c>
      <c r="L314" s="7">
        <v>8</v>
      </c>
      <c r="M314" s="8">
        <f t="shared" si="4"/>
        <v>67</v>
      </c>
    </row>
    <row r="315" spans="1:13" x14ac:dyDescent="0.15">
      <c r="A315" s="4" t="s">
        <v>1127</v>
      </c>
      <c r="B315" s="5" t="s">
        <v>634</v>
      </c>
      <c r="C315" s="5" t="s">
        <v>635</v>
      </c>
      <c r="D315" s="5" t="s">
        <v>7</v>
      </c>
      <c r="E315" s="6">
        <v>33552</v>
      </c>
      <c r="F315" s="5" t="s">
        <v>14</v>
      </c>
      <c r="G315" s="5" t="s">
        <v>805</v>
      </c>
      <c r="H315" s="7">
        <v>34</v>
      </c>
      <c r="I315" s="7">
        <v>15</v>
      </c>
      <c r="J315" s="7">
        <v>17</v>
      </c>
      <c r="K315" s="7">
        <v>7</v>
      </c>
      <c r="L315" s="7">
        <v>9</v>
      </c>
      <c r="M315" s="8">
        <f t="shared" si="4"/>
        <v>82</v>
      </c>
    </row>
    <row r="316" spans="1:13" x14ac:dyDescent="0.15">
      <c r="A316" s="4" t="s">
        <v>1128</v>
      </c>
      <c r="B316" s="5" t="s">
        <v>636</v>
      </c>
      <c r="C316" s="5" t="s">
        <v>637</v>
      </c>
      <c r="D316" s="5" t="s">
        <v>7</v>
      </c>
      <c r="E316" s="6">
        <v>33549</v>
      </c>
      <c r="F316" s="5" t="s">
        <v>14</v>
      </c>
      <c r="G316" s="5" t="s">
        <v>805</v>
      </c>
      <c r="H316" s="7">
        <v>24</v>
      </c>
      <c r="I316" s="7">
        <v>17</v>
      </c>
      <c r="J316" s="7">
        <v>20</v>
      </c>
      <c r="K316" s="7">
        <v>8</v>
      </c>
      <c r="L316" s="7">
        <v>9</v>
      </c>
      <c r="M316" s="8">
        <f t="shared" si="4"/>
        <v>78</v>
      </c>
    </row>
    <row r="317" spans="1:13" x14ac:dyDescent="0.15">
      <c r="A317" s="4" t="s">
        <v>1129</v>
      </c>
      <c r="B317" s="5" t="s">
        <v>638</v>
      </c>
      <c r="C317" s="5" t="s">
        <v>639</v>
      </c>
      <c r="D317" s="5" t="s">
        <v>7</v>
      </c>
      <c r="E317" s="6">
        <v>33271</v>
      </c>
      <c r="F317" s="5" t="s">
        <v>14</v>
      </c>
      <c r="G317" s="5" t="s">
        <v>805</v>
      </c>
      <c r="H317" s="7">
        <v>25</v>
      </c>
      <c r="I317" s="7">
        <v>19</v>
      </c>
      <c r="J317" s="7">
        <v>19</v>
      </c>
      <c r="K317" s="7">
        <v>10</v>
      </c>
      <c r="L317" s="7">
        <v>8</v>
      </c>
      <c r="M317" s="8">
        <f t="shared" si="4"/>
        <v>81</v>
      </c>
    </row>
    <row r="318" spans="1:13" x14ac:dyDescent="0.15">
      <c r="A318" s="4" t="s">
        <v>1130</v>
      </c>
      <c r="B318" s="5" t="s">
        <v>640</v>
      </c>
      <c r="C318" s="5" t="s">
        <v>641</v>
      </c>
      <c r="D318" s="5" t="s">
        <v>7</v>
      </c>
      <c r="E318" s="6">
        <v>33513</v>
      </c>
      <c r="F318" s="5" t="s">
        <v>14</v>
      </c>
      <c r="G318" s="5" t="s">
        <v>805</v>
      </c>
      <c r="H318" s="7">
        <v>32</v>
      </c>
      <c r="I318" s="7">
        <v>19</v>
      </c>
      <c r="J318" s="7">
        <v>20</v>
      </c>
      <c r="K318" s="7">
        <v>8</v>
      </c>
      <c r="L318" s="7">
        <v>9</v>
      </c>
      <c r="M318" s="8">
        <f t="shared" si="4"/>
        <v>88</v>
      </c>
    </row>
    <row r="319" spans="1:13" x14ac:dyDescent="0.15">
      <c r="A319" s="4" t="s">
        <v>1131</v>
      </c>
      <c r="B319" s="5" t="s">
        <v>642</v>
      </c>
      <c r="C319" s="5" t="s">
        <v>643</v>
      </c>
      <c r="D319" s="5" t="s">
        <v>7</v>
      </c>
      <c r="E319" s="6">
        <v>33566</v>
      </c>
      <c r="F319" s="5" t="s">
        <v>14</v>
      </c>
      <c r="G319" s="5" t="s">
        <v>805</v>
      </c>
      <c r="H319" s="7">
        <v>25</v>
      </c>
      <c r="I319" s="7">
        <v>17</v>
      </c>
      <c r="J319" s="7">
        <v>20</v>
      </c>
      <c r="K319" s="7">
        <v>8</v>
      </c>
      <c r="L319" s="7">
        <v>9</v>
      </c>
      <c r="M319" s="8">
        <f t="shared" si="4"/>
        <v>79</v>
      </c>
    </row>
    <row r="320" spans="1:13" x14ac:dyDescent="0.15">
      <c r="A320" s="4" t="s">
        <v>1132</v>
      </c>
      <c r="B320" s="5" t="s">
        <v>644</v>
      </c>
      <c r="C320" s="5" t="s">
        <v>645</v>
      </c>
      <c r="D320" s="5" t="s">
        <v>7</v>
      </c>
      <c r="E320" s="6">
        <v>33345</v>
      </c>
      <c r="F320" s="5" t="s">
        <v>14</v>
      </c>
      <c r="G320" s="5" t="s">
        <v>805</v>
      </c>
      <c r="H320" s="7">
        <v>31</v>
      </c>
      <c r="I320" s="7">
        <v>18</v>
      </c>
      <c r="J320" s="7">
        <v>18</v>
      </c>
      <c r="K320" s="7">
        <v>8</v>
      </c>
      <c r="L320" s="7">
        <v>9</v>
      </c>
      <c r="M320" s="8">
        <f t="shared" si="4"/>
        <v>84</v>
      </c>
    </row>
    <row r="321" spans="1:13" x14ac:dyDescent="0.15">
      <c r="A321" s="4" t="s">
        <v>1133</v>
      </c>
      <c r="B321" s="5" t="s">
        <v>646</v>
      </c>
      <c r="C321" s="5" t="s">
        <v>647</v>
      </c>
      <c r="D321" s="5" t="s">
        <v>7</v>
      </c>
      <c r="E321" s="6">
        <v>33566</v>
      </c>
      <c r="F321" s="5" t="s">
        <v>14</v>
      </c>
      <c r="G321" s="5" t="s">
        <v>805</v>
      </c>
      <c r="H321" s="7">
        <v>26</v>
      </c>
      <c r="I321" s="7">
        <v>19</v>
      </c>
      <c r="J321" s="7">
        <v>18</v>
      </c>
      <c r="K321" s="7">
        <v>8</v>
      </c>
      <c r="L321" s="7">
        <v>2</v>
      </c>
      <c r="M321" s="8">
        <f t="shared" si="4"/>
        <v>73</v>
      </c>
    </row>
    <row r="322" spans="1:13" x14ac:dyDescent="0.15">
      <c r="A322" s="4" t="s">
        <v>1134</v>
      </c>
      <c r="B322" s="5" t="s">
        <v>648</v>
      </c>
      <c r="C322" s="5" t="s">
        <v>649</v>
      </c>
      <c r="D322" s="5" t="s">
        <v>7</v>
      </c>
      <c r="E322" s="6">
        <v>33254</v>
      </c>
      <c r="F322" s="5" t="s">
        <v>8</v>
      </c>
      <c r="G322" s="5" t="s">
        <v>805</v>
      </c>
      <c r="H322" s="7">
        <v>32</v>
      </c>
      <c r="I322" s="7">
        <v>19</v>
      </c>
      <c r="J322" s="7">
        <v>20</v>
      </c>
      <c r="K322" s="7">
        <v>10</v>
      </c>
      <c r="L322" s="7">
        <v>9</v>
      </c>
      <c r="M322" s="8">
        <f t="shared" si="4"/>
        <v>90</v>
      </c>
    </row>
    <row r="323" spans="1:13" x14ac:dyDescent="0.15">
      <c r="A323" s="4" t="s">
        <v>1135</v>
      </c>
      <c r="B323" s="5" t="s">
        <v>650</v>
      </c>
      <c r="C323" s="5" t="s">
        <v>651</v>
      </c>
      <c r="D323" s="5" t="s">
        <v>7</v>
      </c>
      <c r="E323" s="6">
        <v>33518</v>
      </c>
      <c r="F323" s="5" t="s">
        <v>14</v>
      </c>
      <c r="G323" s="5" t="s">
        <v>805</v>
      </c>
      <c r="H323" s="7">
        <v>21</v>
      </c>
      <c r="I323" s="7">
        <v>18</v>
      </c>
      <c r="J323" s="7">
        <v>19</v>
      </c>
      <c r="K323" s="7">
        <v>8</v>
      </c>
      <c r="L323" s="7">
        <v>5</v>
      </c>
      <c r="M323" s="8">
        <f t="shared" si="4"/>
        <v>71</v>
      </c>
    </row>
    <row r="324" spans="1:13" x14ac:dyDescent="0.15">
      <c r="A324" s="4" t="s">
        <v>1136</v>
      </c>
      <c r="B324" s="5" t="s">
        <v>652</v>
      </c>
      <c r="C324" s="5" t="s">
        <v>653</v>
      </c>
      <c r="D324" s="5" t="s">
        <v>7</v>
      </c>
      <c r="E324" s="6">
        <v>33515</v>
      </c>
      <c r="F324" s="5" t="s">
        <v>14</v>
      </c>
      <c r="G324" s="5" t="s">
        <v>805</v>
      </c>
      <c r="H324" s="7">
        <v>13</v>
      </c>
      <c r="I324" s="7">
        <v>15</v>
      </c>
      <c r="J324" s="7">
        <v>16</v>
      </c>
      <c r="K324" s="7">
        <v>4</v>
      </c>
      <c r="L324" s="7">
        <v>0</v>
      </c>
      <c r="M324" s="8">
        <f t="shared" ref="M324:M387" si="5">IF(COUNTIF(H324:L324,"=0")&gt;=2,0,SUM(H324:L324))</f>
        <v>48</v>
      </c>
    </row>
    <row r="325" spans="1:13" x14ac:dyDescent="0.15">
      <c r="A325" s="4" t="s">
        <v>1137</v>
      </c>
      <c r="B325" s="5" t="s">
        <v>654</v>
      </c>
      <c r="C325" s="5" t="s">
        <v>655</v>
      </c>
      <c r="D325" s="5" t="s">
        <v>7</v>
      </c>
      <c r="E325" s="6">
        <v>33573</v>
      </c>
      <c r="F325" s="5" t="s">
        <v>14</v>
      </c>
      <c r="G325" s="5" t="s">
        <v>805</v>
      </c>
      <c r="H325" s="7">
        <v>24</v>
      </c>
      <c r="I325" s="7">
        <v>18</v>
      </c>
      <c r="J325" s="7">
        <v>20</v>
      </c>
      <c r="K325" s="7">
        <v>8</v>
      </c>
      <c r="L325" s="7">
        <v>5</v>
      </c>
      <c r="M325" s="8">
        <f t="shared" si="5"/>
        <v>75</v>
      </c>
    </row>
    <row r="326" spans="1:13" x14ac:dyDescent="0.15">
      <c r="A326" s="4" t="s">
        <v>1138</v>
      </c>
      <c r="B326" s="5" t="s">
        <v>656</v>
      </c>
      <c r="C326" s="5" t="s">
        <v>657</v>
      </c>
      <c r="D326" s="5" t="s">
        <v>17</v>
      </c>
      <c r="E326" s="6">
        <v>33277</v>
      </c>
      <c r="F326" s="5" t="s">
        <v>14</v>
      </c>
      <c r="G326" s="5" t="s">
        <v>805</v>
      </c>
      <c r="H326" s="7">
        <v>34</v>
      </c>
      <c r="I326" s="7">
        <v>1</v>
      </c>
      <c r="J326" s="7">
        <v>18</v>
      </c>
      <c r="K326" s="7">
        <v>8</v>
      </c>
      <c r="L326" s="7">
        <v>0</v>
      </c>
      <c r="M326" s="8">
        <f t="shared" si="5"/>
        <v>61</v>
      </c>
    </row>
    <row r="327" spans="1:13" x14ac:dyDescent="0.15">
      <c r="A327" s="4" t="s">
        <v>1139</v>
      </c>
      <c r="B327" s="5" t="s">
        <v>658</v>
      </c>
      <c r="C327" s="5" t="s">
        <v>659</v>
      </c>
      <c r="D327" s="5" t="s">
        <v>7</v>
      </c>
      <c r="E327" s="6">
        <v>33409</v>
      </c>
      <c r="F327" s="5" t="s">
        <v>14</v>
      </c>
      <c r="G327" s="5" t="s">
        <v>805</v>
      </c>
      <c r="H327" s="7">
        <v>14</v>
      </c>
      <c r="I327" s="7">
        <v>17</v>
      </c>
      <c r="J327" s="7">
        <v>17</v>
      </c>
      <c r="K327" s="7">
        <v>10</v>
      </c>
      <c r="L327" s="7">
        <v>9</v>
      </c>
      <c r="M327" s="8">
        <f t="shared" si="5"/>
        <v>67</v>
      </c>
    </row>
    <row r="328" spans="1:13" x14ac:dyDescent="0.15">
      <c r="A328" s="4" t="s">
        <v>1140</v>
      </c>
      <c r="B328" s="5" t="s">
        <v>660</v>
      </c>
      <c r="C328" s="5" t="s">
        <v>661</v>
      </c>
      <c r="D328" s="5" t="s">
        <v>17</v>
      </c>
      <c r="E328" s="6">
        <v>33531</v>
      </c>
      <c r="F328" s="5" t="s">
        <v>14</v>
      </c>
      <c r="G328" s="5" t="s">
        <v>805</v>
      </c>
      <c r="H328" s="7">
        <v>13</v>
      </c>
      <c r="I328" s="7">
        <v>20</v>
      </c>
      <c r="J328" s="7">
        <v>19</v>
      </c>
      <c r="K328" s="7">
        <v>6</v>
      </c>
      <c r="L328" s="7">
        <v>0</v>
      </c>
      <c r="M328" s="8">
        <f t="shared" si="5"/>
        <v>58</v>
      </c>
    </row>
    <row r="329" spans="1:13" x14ac:dyDescent="0.15">
      <c r="A329" s="4" t="s">
        <v>1141</v>
      </c>
      <c r="B329" s="5" t="s">
        <v>662</v>
      </c>
      <c r="C329" s="5" t="s">
        <v>663</v>
      </c>
      <c r="D329" s="5" t="s">
        <v>7</v>
      </c>
      <c r="E329" s="6">
        <v>33262</v>
      </c>
      <c r="F329" s="5" t="s">
        <v>14</v>
      </c>
      <c r="G329" s="5" t="s">
        <v>805</v>
      </c>
      <c r="H329" s="7">
        <v>34</v>
      </c>
      <c r="I329" s="7">
        <v>19</v>
      </c>
      <c r="J329" s="7">
        <v>18</v>
      </c>
      <c r="K329" s="7">
        <v>8</v>
      </c>
      <c r="L329" s="7">
        <v>0</v>
      </c>
      <c r="M329" s="8">
        <f t="shared" si="5"/>
        <v>79</v>
      </c>
    </row>
    <row r="330" spans="1:13" x14ac:dyDescent="0.15">
      <c r="A330" s="4" t="s">
        <v>1142</v>
      </c>
      <c r="B330" s="5" t="s">
        <v>664</v>
      </c>
      <c r="C330" s="5" t="s">
        <v>219</v>
      </c>
      <c r="D330" s="5" t="s">
        <v>17</v>
      </c>
      <c r="E330" s="6">
        <v>33520</v>
      </c>
      <c r="F330" s="5" t="s">
        <v>14</v>
      </c>
      <c r="G330" s="5" t="s">
        <v>805</v>
      </c>
      <c r="H330" s="7">
        <v>19</v>
      </c>
      <c r="I330" s="7">
        <v>19</v>
      </c>
      <c r="J330" s="7">
        <v>18</v>
      </c>
      <c r="K330" s="7">
        <v>5</v>
      </c>
      <c r="L330" s="7">
        <v>0</v>
      </c>
      <c r="M330" s="8">
        <f t="shared" si="5"/>
        <v>61</v>
      </c>
    </row>
    <row r="331" spans="1:13" x14ac:dyDescent="0.15">
      <c r="A331" s="4" t="s">
        <v>1143</v>
      </c>
      <c r="B331" s="5" t="s">
        <v>665</v>
      </c>
      <c r="C331" s="5" t="s">
        <v>666</v>
      </c>
      <c r="D331" s="5" t="s">
        <v>7</v>
      </c>
      <c r="E331" s="6">
        <v>33250</v>
      </c>
      <c r="F331" s="5" t="s">
        <v>14</v>
      </c>
      <c r="G331" s="5" t="s">
        <v>805</v>
      </c>
      <c r="H331" s="7">
        <v>22</v>
      </c>
      <c r="I331" s="7">
        <v>17</v>
      </c>
      <c r="J331" s="7">
        <v>20</v>
      </c>
      <c r="K331" s="7">
        <v>2</v>
      </c>
      <c r="L331" s="7">
        <v>0</v>
      </c>
      <c r="M331" s="8">
        <f t="shared" si="5"/>
        <v>61</v>
      </c>
    </row>
    <row r="332" spans="1:13" x14ac:dyDescent="0.15">
      <c r="A332" s="4" t="s">
        <v>1144</v>
      </c>
      <c r="B332" s="5" t="s">
        <v>667</v>
      </c>
      <c r="C332" s="5" t="s">
        <v>668</v>
      </c>
      <c r="D332" s="5" t="s">
        <v>17</v>
      </c>
      <c r="E332" s="6">
        <v>33256</v>
      </c>
      <c r="F332" s="5" t="s">
        <v>14</v>
      </c>
      <c r="G332" s="5" t="s">
        <v>805</v>
      </c>
      <c r="H332" s="7">
        <v>12</v>
      </c>
      <c r="I332" s="7">
        <v>18</v>
      </c>
      <c r="J332" s="7">
        <v>20</v>
      </c>
      <c r="K332" s="7">
        <v>4</v>
      </c>
      <c r="L332" s="7">
        <v>5</v>
      </c>
      <c r="M332" s="8">
        <f t="shared" si="5"/>
        <v>59</v>
      </c>
    </row>
    <row r="333" spans="1:13" x14ac:dyDescent="0.15">
      <c r="A333" s="4" t="s">
        <v>1145</v>
      </c>
      <c r="B333" s="5" t="s">
        <v>669</v>
      </c>
      <c r="C333" s="5" t="s">
        <v>670</v>
      </c>
      <c r="D333" s="5" t="s">
        <v>7</v>
      </c>
      <c r="E333" s="6">
        <v>33520</v>
      </c>
      <c r="F333" s="5" t="s">
        <v>14</v>
      </c>
      <c r="G333" s="5" t="s">
        <v>805</v>
      </c>
      <c r="H333" s="7">
        <v>19</v>
      </c>
      <c r="I333" s="7">
        <v>19</v>
      </c>
      <c r="J333" s="7">
        <v>20</v>
      </c>
      <c r="K333" s="7">
        <v>8</v>
      </c>
      <c r="L333" s="7">
        <v>9</v>
      </c>
      <c r="M333" s="8">
        <f t="shared" si="5"/>
        <v>75</v>
      </c>
    </row>
    <row r="334" spans="1:13" x14ac:dyDescent="0.15">
      <c r="A334" s="4" t="s">
        <v>1146</v>
      </c>
      <c r="B334" s="5" t="s">
        <v>671</v>
      </c>
      <c r="C334" s="5" t="s">
        <v>672</v>
      </c>
      <c r="D334" s="5" t="s">
        <v>7</v>
      </c>
      <c r="E334" s="6">
        <v>33242</v>
      </c>
      <c r="F334" s="5" t="s">
        <v>14</v>
      </c>
      <c r="G334" s="5" t="s">
        <v>805</v>
      </c>
      <c r="H334" s="7">
        <v>18</v>
      </c>
      <c r="I334" s="7">
        <v>18</v>
      </c>
      <c r="J334" s="7">
        <v>18</v>
      </c>
      <c r="K334" s="7">
        <v>1</v>
      </c>
      <c r="L334" s="7">
        <v>0</v>
      </c>
      <c r="M334" s="8">
        <f t="shared" si="5"/>
        <v>55</v>
      </c>
    </row>
    <row r="335" spans="1:13" x14ac:dyDescent="0.15">
      <c r="A335" s="4" t="s">
        <v>1147</v>
      </c>
      <c r="B335" s="5" t="s">
        <v>673</v>
      </c>
      <c r="C335" s="5" t="s">
        <v>674</v>
      </c>
      <c r="D335" s="5" t="s">
        <v>7</v>
      </c>
      <c r="E335" s="6">
        <v>33260</v>
      </c>
      <c r="F335" s="5" t="s">
        <v>42</v>
      </c>
      <c r="G335" s="5" t="s">
        <v>805</v>
      </c>
      <c r="H335" s="7">
        <v>28</v>
      </c>
      <c r="I335" s="7">
        <v>17</v>
      </c>
      <c r="J335" s="7">
        <v>18</v>
      </c>
      <c r="K335" s="7">
        <v>8</v>
      </c>
      <c r="L335" s="7">
        <v>0</v>
      </c>
      <c r="M335" s="8">
        <f t="shared" si="5"/>
        <v>71</v>
      </c>
    </row>
    <row r="336" spans="1:13" x14ac:dyDescent="0.15">
      <c r="A336" s="4" t="s">
        <v>1148</v>
      </c>
      <c r="B336" s="5" t="s">
        <v>675</v>
      </c>
      <c r="C336" s="5" t="s">
        <v>676</v>
      </c>
      <c r="D336" s="5" t="s">
        <v>7</v>
      </c>
      <c r="E336" s="6">
        <v>33560</v>
      </c>
      <c r="F336" s="5" t="s">
        <v>14</v>
      </c>
      <c r="G336" s="5" t="s">
        <v>805</v>
      </c>
      <c r="H336" s="7">
        <v>32</v>
      </c>
      <c r="I336" s="7">
        <v>18</v>
      </c>
      <c r="J336" s="7">
        <v>20</v>
      </c>
      <c r="K336" s="7">
        <v>10</v>
      </c>
      <c r="L336" s="7">
        <v>0</v>
      </c>
      <c r="M336" s="8">
        <f t="shared" si="5"/>
        <v>80</v>
      </c>
    </row>
    <row r="337" spans="1:13" x14ac:dyDescent="0.15">
      <c r="A337" s="4" t="s">
        <v>1149</v>
      </c>
      <c r="B337" s="5" t="s">
        <v>677</v>
      </c>
      <c r="C337" s="5" t="s">
        <v>678</v>
      </c>
      <c r="D337" s="5" t="s">
        <v>17</v>
      </c>
      <c r="E337" s="6">
        <v>33542</v>
      </c>
      <c r="F337" s="5" t="s">
        <v>14</v>
      </c>
      <c r="G337" s="5" t="s">
        <v>805</v>
      </c>
      <c r="H337" s="7">
        <v>29</v>
      </c>
      <c r="I337" s="7">
        <v>16</v>
      </c>
      <c r="J337" s="7">
        <v>18</v>
      </c>
      <c r="K337" s="7">
        <v>10</v>
      </c>
      <c r="L337" s="7">
        <v>0</v>
      </c>
      <c r="M337" s="8">
        <f t="shared" si="5"/>
        <v>73</v>
      </c>
    </row>
    <row r="338" spans="1:13" x14ac:dyDescent="0.15">
      <c r="A338" s="4" t="s">
        <v>1150</v>
      </c>
      <c r="B338" s="5" t="s">
        <v>679</v>
      </c>
      <c r="C338" s="5" t="s">
        <v>680</v>
      </c>
      <c r="D338" s="5" t="s">
        <v>7</v>
      </c>
      <c r="E338" s="6">
        <v>33544</v>
      </c>
      <c r="F338" s="5" t="s">
        <v>14</v>
      </c>
      <c r="G338" s="5" t="s">
        <v>805</v>
      </c>
      <c r="H338" s="7">
        <v>32</v>
      </c>
      <c r="I338" s="7">
        <v>20</v>
      </c>
      <c r="J338" s="7">
        <v>19</v>
      </c>
      <c r="K338" s="7">
        <v>10</v>
      </c>
      <c r="L338" s="7">
        <v>9</v>
      </c>
      <c r="M338" s="8">
        <f t="shared" si="5"/>
        <v>90</v>
      </c>
    </row>
    <row r="339" spans="1:13" x14ac:dyDescent="0.15">
      <c r="A339" s="4" t="s">
        <v>1151</v>
      </c>
      <c r="B339" s="5" t="s">
        <v>681</v>
      </c>
      <c r="C339" s="5" t="s">
        <v>682</v>
      </c>
      <c r="D339" s="5" t="s">
        <v>7</v>
      </c>
      <c r="E339" s="6">
        <v>33263</v>
      </c>
      <c r="F339" s="5" t="s">
        <v>14</v>
      </c>
      <c r="G339" s="5" t="s">
        <v>805</v>
      </c>
      <c r="H339" s="7">
        <v>20</v>
      </c>
      <c r="I339" s="7">
        <v>18</v>
      </c>
      <c r="J339" s="7">
        <v>20</v>
      </c>
      <c r="K339" s="7">
        <v>6</v>
      </c>
      <c r="L339" s="7">
        <v>0</v>
      </c>
      <c r="M339" s="8">
        <f t="shared" si="5"/>
        <v>64</v>
      </c>
    </row>
    <row r="340" spans="1:13" x14ac:dyDescent="0.15">
      <c r="A340" s="4" t="s">
        <v>1152</v>
      </c>
      <c r="B340" s="5" t="s">
        <v>683</v>
      </c>
      <c r="C340" s="5" t="s">
        <v>684</v>
      </c>
      <c r="D340" s="5" t="s">
        <v>7</v>
      </c>
      <c r="E340" s="6">
        <v>33409</v>
      </c>
      <c r="F340" s="5" t="s">
        <v>14</v>
      </c>
      <c r="G340" s="5" t="s">
        <v>805</v>
      </c>
      <c r="H340" s="7">
        <v>13</v>
      </c>
      <c r="I340" s="7">
        <v>15</v>
      </c>
      <c r="J340" s="7">
        <v>6</v>
      </c>
      <c r="K340" s="7">
        <v>0</v>
      </c>
      <c r="L340" s="7">
        <v>0</v>
      </c>
      <c r="M340" s="8">
        <f t="shared" si="5"/>
        <v>0</v>
      </c>
    </row>
    <row r="341" spans="1:13" x14ac:dyDescent="0.15">
      <c r="A341" s="4" t="s">
        <v>1153</v>
      </c>
      <c r="B341" s="5" t="s">
        <v>685</v>
      </c>
      <c r="C341" s="5" t="s">
        <v>686</v>
      </c>
      <c r="D341" s="5" t="s">
        <v>7</v>
      </c>
      <c r="E341" s="6">
        <v>33530</v>
      </c>
      <c r="F341" s="5" t="s">
        <v>14</v>
      </c>
      <c r="G341" s="5" t="s">
        <v>805</v>
      </c>
      <c r="H341" s="7">
        <v>22</v>
      </c>
      <c r="I341" s="7">
        <v>19</v>
      </c>
      <c r="J341" s="7">
        <v>19</v>
      </c>
      <c r="K341" s="7">
        <v>8</v>
      </c>
      <c r="L341" s="7">
        <v>8</v>
      </c>
      <c r="M341" s="8">
        <f t="shared" si="5"/>
        <v>76</v>
      </c>
    </row>
    <row r="342" spans="1:13" x14ac:dyDescent="0.15">
      <c r="A342" s="4" t="s">
        <v>1154</v>
      </c>
      <c r="B342" s="5" t="s">
        <v>687</v>
      </c>
      <c r="C342" s="5" t="s">
        <v>688</v>
      </c>
      <c r="D342" s="5" t="s">
        <v>7</v>
      </c>
      <c r="E342" s="6">
        <v>33522</v>
      </c>
      <c r="F342" s="5" t="s">
        <v>14</v>
      </c>
      <c r="G342" s="5" t="s">
        <v>805</v>
      </c>
      <c r="H342" s="7">
        <v>22</v>
      </c>
      <c r="I342" s="7">
        <v>18</v>
      </c>
      <c r="J342" s="7">
        <v>20</v>
      </c>
      <c r="K342" s="7">
        <v>8</v>
      </c>
      <c r="L342" s="7">
        <v>9</v>
      </c>
      <c r="M342" s="8">
        <f t="shared" si="5"/>
        <v>77</v>
      </c>
    </row>
    <row r="343" spans="1:13" x14ac:dyDescent="0.15">
      <c r="A343" s="4" t="s">
        <v>1155</v>
      </c>
      <c r="B343" s="5" t="s">
        <v>689</v>
      </c>
      <c r="C343" s="5" t="s">
        <v>690</v>
      </c>
      <c r="D343" s="5" t="s">
        <v>7</v>
      </c>
      <c r="E343" s="6">
        <v>33407</v>
      </c>
      <c r="F343" s="5" t="s">
        <v>14</v>
      </c>
      <c r="G343" s="5" t="s">
        <v>805</v>
      </c>
      <c r="H343" s="7">
        <v>28</v>
      </c>
      <c r="I343" s="7">
        <v>17</v>
      </c>
      <c r="J343" s="7">
        <v>19</v>
      </c>
      <c r="K343" s="7">
        <v>10</v>
      </c>
      <c r="L343" s="7">
        <v>8</v>
      </c>
      <c r="M343" s="8">
        <f t="shared" si="5"/>
        <v>82</v>
      </c>
    </row>
    <row r="344" spans="1:13" x14ac:dyDescent="0.15">
      <c r="A344" s="4" t="s">
        <v>1156</v>
      </c>
      <c r="B344" s="5" t="s">
        <v>691</v>
      </c>
      <c r="C344" s="5" t="s">
        <v>692</v>
      </c>
      <c r="D344" s="5" t="s">
        <v>7</v>
      </c>
      <c r="E344" s="6">
        <v>33387</v>
      </c>
      <c r="F344" s="5" t="s">
        <v>14</v>
      </c>
      <c r="G344" s="5" t="s">
        <v>805</v>
      </c>
      <c r="H344" s="7">
        <v>31</v>
      </c>
      <c r="I344" s="7">
        <v>17</v>
      </c>
      <c r="J344" s="7">
        <v>20</v>
      </c>
      <c r="K344" s="7">
        <v>10</v>
      </c>
      <c r="L344" s="7">
        <v>5</v>
      </c>
      <c r="M344" s="8">
        <f t="shared" si="5"/>
        <v>83</v>
      </c>
    </row>
    <row r="345" spans="1:13" x14ac:dyDescent="0.15">
      <c r="A345" s="4" t="s">
        <v>1157</v>
      </c>
      <c r="B345" s="5" t="s">
        <v>693</v>
      </c>
      <c r="C345" s="5" t="s">
        <v>694</v>
      </c>
      <c r="D345" s="5" t="s">
        <v>17</v>
      </c>
      <c r="E345" s="6">
        <v>33506</v>
      </c>
      <c r="F345" s="5" t="s">
        <v>14</v>
      </c>
      <c r="G345" s="5" t="s">
        <v>805</v>
      </c>
      <c r="H345" s="7">
        <v>20</v>
      </c>
      <c r="I345" s="7">
        <v>16</v>
      </c>
      <c r="J345" s="7">
        <v>11</v>
      </c>
      <c r="K345" s="7">
        <v>4</v>
      </c>
      <c r="L345" s="7">
        <v>0</v>
      </c>
      <c r="M345" s="8">
        <f t="shared" si="5"/>
        <v>51</v>
      </c>
    </row>
    <row r="346" spans="1:13" x14ac:dyDescent="0.15">
      <c r="A346" s="4" t="s">
        <v>1158</v>
      </c>
      <c r="B346" s="5" t="s">
        <v>695</v>
      </c>
      <c r="C346" s="5" t="s">
        <v>696</v>
      </c>
      <c r="D346" s="5" t="s">
        <v>7</v>
      </c>
      <c r="E346" s="6">
        <v>33315</v>
      </c>
      <c r="F346" s="5" t="s">
        <v>14</v>
      </c>
      <c r="G346" s="5" t="s">
        <v>805</v>
      </c>
      <c r="H346" s="7">
        <v>18</v>
      </c>
      <c r="I346" s="7">
        <v>12</v>
      </c>
      <c r="J346" s="7">
        <v>5</v>
      </c>
      <c r="K346" s="7">
        <v>1</v>
      </c>
      <c r="L346" s="7">
        <v>0</v>
      </c>
      <c r="M346" s="8">
        <f t="shared" si="5"/>
        <v>36</v>
      </c>
    </row>
    <row r="347" spans="1:13" x14ac:dyDescent="0.15">
      <c r="A347" s="4" t="s">
        <v>1159</v>
      </c>
      <c r="B347" s="5" t="s">
        <v>697</v>
      </c>
      <c r="C347" s="5" t="s">
        <v>698</v>
      </c>
      <c r="D347" s="5" t="s">
        <v>7</v>
      </c>
      <c r="E347" s="6">
        <v>33572</v>
      </c>
      <c r="F347" s="5" t="s">
        <v>14</v>
      </c>
      <c r="G347" s="5" t="s">
        <v>805</v>
      </c>
      <c r="H347" s="7">
        <v>26</v>
      </c>
      <c r="I347" s="7">
        <v>20</v>
      </c>
      <c r="J347" s="7">
        <v>20</v>
      </c>
      <c r="K347" s="7">
        <v>10</v>
      </c>
      <c r="L347" s="7">
        <v>7</v>
      </c>
      <c r="M347" s="8">
        <f t="shared" si="5"/>
        <v>83</v>
      </c>
    </row>
    <row r="348" spans="1:13" x14ac:dyDescent="0.15">
      <c r="A348" s="4" t="s">
        <v>1160</v>
      </c>
      <c r="B348" s="5" t="s">
        <v>699</v>
      </c>
      <c r="C348" s="5" t="s">
        <v>700</v>
      </c>
      <c r="D348" s="5" t="s">
        <v>17</v>
      </c>
      <c r="E348" s="6">
        <v>33284</v>
      </c>
      <c r="F348" s="5" t="s">
        <v>14</v>
      </c>
      <c r="G348" s="5" t="s">
        <v>805</v>
      </c>
      <c r="H348" s="7">
        <v>33</v>
      </c>
      <c r="I348" s="7">
        <v>19</v>
      </c>
      <c r="J348" s="7">
        <v>18</v>
      </c>
      <c r="K348" s="7">
        <v>8</v>
      </c>
      <c r="L348" s="7">
        <v>9</v>
      </c>
      <c r="M348" s="8">
        <f t="shared" si="5"/>
        <v>87</v>
      </c>
    </row>
    <row r="349" spans="1:13" x14ac:dyDescent="0.15">
      <c r="A349" s="4" t="s">
        <v>1161</v>
      </c>
      <c r="B349" s="5" t="s">
        <v>701</v>
      </c>
      <c r="C349" s="5" t="s">
        <v>702</v>
      </c>
      <c r="D349" s="5" t="s">
        <v>7</v>
      </c>
      <c r="E349" s="6">
        <v>33549</v>
      </c>
      <c r="F349" s="5" t="s">
        <v>8</v>
      </c>
      <c r="G349" s="5" t="s">
        <v>805</v>
      </c>
      <c r="H349" s="7">
        <v>12</v>
      </c>
      <c r="I349" s="7">
        <v>20</v>
      </c>
      <c r="J349" s="7">
        <v>11</v>
      </c>
      <c r="K349" s="7">
        <v>10</v>
      </c>
      <c r="L349" s="7">
        <v>8</v>
      </c>
      <c r="M349" s="8">
        <f t="shared" si="5"/>
        <v>61</v>
      </c>
    </row>
    <row r="350" spans="1:13" x14ac:dyDescent="0.15">
      <c r="A350" s="4" t="s">
        <v>1162</v>
      </c>
      <c r="B350" s="5" t="s">
        <v>703</v>
      </c>
      <c r="C350" s="5" t="s">
        <v>704</v>
      </c>
      <c r="D350" s="5" t="s">
        <v>7</v>
      </c>
      <c r="E350" s="6">
        <v>33515</v>
      </c>
      <c r="F350" s="5" t="s">
        <v>14</v>
      </c>
      <c r="G350" s="5" t="s">
        <v>805</v>
      </c>
      <c r="H350" s="7">
        <v>24</v>
      </c>
      <c r="I350" s="7">
        <v>11</v>
      </c>
      <c r="J350" s="7">
        <v>18</v>
      </c>
      <c r="K350" s="7">
        <v>10</v>
      </c>
      <c r="L350" s="7">
        <v>8</v>
      </c>
      <c r="M350" s="8">
        <f t="shared" si="5"/>
        <v>71</v>
      </c>
    </row>
    <row r="351" spans="1:13" x14ac:dyDescent="0.15">
      <c r="A351" s="4" t="s">
        <v>1163</v>
      </c>
      <c r="B351" s="5" t="s">
        <v>705</v>
      </c>
      <c r="C351" s="5" t="s">
        <v>629</v>
      </c>
      <c r="D351" s="5" t="s">
        <v>7</v>
      </c>
      <c r="E351" s="6">
        <v>33408</v>
      </c>
      <c r="F351" s="5" t="s">
        <v>14</v>
      </c>
      <c r="G351" s="5" t="s">
        <v>805</v>
      </c>
      <c r="H351" s="7">
        <v>4</v>
      </c>
      <c r="I351" s="7">
        <v>0</v>
      </c>
      <c r="J351" s="7">
        <v>16</v>
      </c>
      <c r="K351" s="7">
        <v>10</v>
      </c>
      <c r="L351" s="7">
        <v>9</v>
      </c>
      <c r="M351" s="8">
        <f t="shared" si="5"/>
        <v>39</v>
      </c>
    </row>
    <row r="352" spans="1:13" x14ac:dyDescent="0.15">
      <c r="A352" s="4" t="s">
        <v>1164</v>
      </c>
      <c r="B352" s="5" t="s">
        <v>706</v>
      </c>
      <c r="C352" s="5" t="s">
        <v>707</v>
      </c>
      <c r="D352" s="5" t="s">
        <v>7</v>
      </c>
      <c r="E352" s="6">
        <v>33525</v>
      </c>
      <c r="F352" s="5" t="s">
        <v>14</v>
      </c>
      <c r="G352" s="5" t="s">
        <v>805</v>
      </c>
      <c r="H352" s="7">
        <v>10</v>
      </c>
      <c r="I352" s="7">
        <v>0</v>
      </c>
      <c r="J352" s="7">
        <v>0</v>
      </c>
      <c r="K352" s="7">
        <v>10</v>
      </c>
      <c r="L352" s="7">
        <v>9</v>
      </c>
      <c r="M352" s="8">
        <f t="shared" si="5"/>
        <v>0</v>
      </c>
    </row>
    <row r="353" spans="1:13" x14ac:dyDescent="0.15">
      <c r="A353" s="4" t="s">
        <v>1165</v>
      </c>
      <c r="B353" s="5" t="s">
        <v>708</v>
      </c>
      <c r="C353" s="5" t="s">
        <v>709</v>
      </c>
      <c r="D353" s="5" t="s">
        <v>7</v>
      </c>
      <c r="E353" s="6">
        <v>33564</v>
      </c>
      <c r="F353" s="5" t="s">
        <v>61</v>
      </c>
      <c r="G353" s="5" t="s">
        <v>805</v>
      </c>
      <c r="H353" s="7">
        <v>12</v>
      </c>
      <c r="I353" s="7">
        <v>0</v>
      </c>
      <c r="J353" s="7">
        <v>0</v>
      </c>
      <c r="K353" s="7">
        <v>10</v>
      </c>
      <c r="L353" s="7">
        <v>7</v>
      </c>
      <c r="M353" s="8">
        <f t="shared" si="5"/>
        <v>0</v>
      </c>
    </row>
    <row r="354" spans="1:13" x14ac:dyDescent="0.15">
      <c r="A354" s="4" t="s">
        <v>1166</v>
      </c>
      <c r="B354" s="5" t="s">
        <v>710</v>
      </c>
      <c r="C354" s="5" t="s">
        <v>711</v>
      </c>
      <c r="D354" s="5" t="s">
        <v>7</v>
      </c>
      <c r="E354" s="6">
        <v>33513</v>
      </c>
      <c r="F354" s="5" t="s">
        <v>14</v>
      </c>
      <c r="G354" s="5" t="s">
        <v>805</v>
      </c>
      <c r="H354" s="7">
        <v>18</v>
      </c>
      <c r="I354" s="7">
        <v>19</v>
      </c>
      <c r="J354" s="7">
        <v>20</v>
      </c>
      <c r="K354" s="7">
        <v>10</v>
      </c>
      <c r="L354" s="7">
        <v>9</v>
      </c>
      <c r="M354" s="8">
        <f t="shared" si="5"/>
        <v>76</v>
      </c>
    </row>
    <row r="355" spans="1:13" x14ac:dyDescent="0.15">
      <c r="A355" s="4" t="s">
        <v>1167</v>
      </c>
      <c r="B355" s="5" t="s">
        <v>712</v>
      </c>
      <c r="C355" s="5" t="s">
        <v>713</v>
      </c>
      <c r="D355" s="5" t="s">
        <v>17</v>
      </c>
      <c r="E355" s="6">
        <v>33394</v>
      </c>
      <c r="F355" s="5" t="s">
        <v>14</v>
      </c>
      <c r="G355" s="5" t="s">
        <v>805</v>
      </c>
      <c r="H355" s="7">
        <v>3</v>
      </c>
      <c r="I355" s="7">
        <v>0</v>
      </c>
      <c r="J355" s="7">
        <v>20</v>
      </c>
      <c r="K355" s="7">
        <v>10</v>
      </c>
      <c r="L355" s="7">
        <v>8</v>
      </c>
      <c r="M355" s="8">
        <f t="shared" si="5"/>
        <v>41</v>
      </c>
    </row>
    <row r="356" spans="1:13" x14ac:dyDescent="0.15">
      <c r="A356" s="4" t="s">
        <v>1168</v>
      </c>
      <c r="B356" s="5" t="s">
        <v>714</v>
      </c>
      <c r="C356" s="5" t="s">
        <v>715</v>
      </c>
      <c r="D356" s="5" t="s">
        <v>7</v>
      </c>
      <c r="E356" s="6">
        <v>33541</v>
      </c>
      <c r="F356" s="5" t="s">
        <v>14</v>
      </c>
      <c r="G356" s="5" t="s">
        <v>805</v>
      </c>
      <c r="H356" s="7">
        <v>3</v>
      </c>
      <c r="I356" s="7">
        <v>12</v>
      </c>
      <c r="J356" s="7">
        <v>9</v>
      </c>
      <c r="K356" s="7">
        <v>9</v>
      </c>
      <c r="L356" s="7">
        <v>7</v>
      </c>
      <c r="M356" s="8">
        <f t="shared" si="5"/>
        <v>40</v>
      </c>
    </row>
    <row r="357" spans="1:13" x14ac:dyDescent="0.15">
      <c r="A357" s="4" t="s">
        <v>1169</v>
      </c>
      <c r="B357" s="5" t="s">
        <v>716</v>
      </c>
      <c r="C357" s="5" t="s">
        <v>717</v>
      </c>
      <c r="D357" s="5" t="s">
        <v>7</v>
      </c>
      <c r="E357" s="6">
        <v>33397</v>
      </c>
      <c r="F357" s="5" t="s">
        <v>14</v>
      </c>
      <c r="G357" s="5" t="s">
        <v>806</v>
      </c>
      <c r="H357" s="7">
        <v>34</v>
      </c>
      <c r="I357" s="7">
        <v>18</v>
      </c>
      <c r="J357" s="7">
        <v>19</v>
      </c>
      <c r="K357" s="7">
        <v>8</v>
      </c>
      <c r="L357" s="7">
        <v>9</v>
      </c>
      <c r="M357" s="8">
        <f t="shared" si="5"/>
        <v>88</v>
      </c>
    </row>
    <row r="358" spans="1:13" x14ac:dyDescent="0.15">
      <c r="A358" s="4" t="s">
        <v>1170</v>
      </c>
      <c r="B358" s="5" t="s">
        <v>718</v>
      </c>
      <c r="C358" s="5" t="s">
        <v>719</v>
      </c>
      <c r="D358" s="5" t="s">
        <v>7</v>
      </c>
      <c r="E358" s="6">
        <v>33395</v>
      </c>
      <c r="F358" s="5" t="s">
        <v>14</v>
      </c>
      <c r="G358" s="5" t="s">
        <v>806</v>
      </c>
      <c r="H358" s="7">
        <v>21</v>
      </c>
      <c r="I358" s="7">
        <v>17</v>
      </c>
      <c r="J358" s="7">
        <v>18</v>
      </c>
      <c r="K358" s="7">
        <v>8</v>
      </c>
      <c r="L358" s="7">
        <v>8</v>
      </c>
      <c r="M358" s="8">
        <f t="shared" si="5"/>
        <v>72</v>
      </c>
    </row>
    <row r="359" spans="1:13" x14ac:dyDescent="0.15">
      <c r="A359" s="4" t="s">
        <v>1171</v>
      </c>
      <c r="B359" s="5" t="s">
        <v>720</v>
      </c>
      <c r="C359" s="5" t="s">
        <v>721</v>
      </c>
      <c r="D359" s="5" t="s">
        <v>7</v>
      </c>
      <c r="E359" s="6">
        <v>33249</v>
      </c>
      <c r="F359" s="5" t="s">
        <v>14</v>
      </c>
      <c r="G359" s="5" t="s">
        <v>806</v>
      </c>
      <c r="H359" s="7">
        <v>25</v>
      </c>
      <c r="I359" s="7">
        <v>19</v>
      </c>
      <c r="J359" s="7">
        <v>17</v>
      </c>
      <c r="K359" s="7">
        <v>8</v>
      </c>
      <c r="L359" s="7">
        <v>9</v>
      </c>
      <c r="M359" s="8">
        <f t="shared" si="5"/>
        <v>78</v>
      </c>
    </row>
    <row r="360" spans="1:13" x14ac:dyDescent="0.15">
      <c r="A360" s="4" t="s">
        <v>1172</v>
      </c>
      <c r="B360" s="5" t="s">
        <v>722</v>
      </c>
      <c r="C360" s="5" t="s">
        <v>723</v>
      </c>
      <c r="D360" s="5" t="s">
        <v>7</v>
      </c>
      <c r="E360" s="6">
        <v>33487</v>
      </c>
      <c r="F360" s="5" t="s">
        <v>14</v>
      </c>
      <c r="G360" s="5" t="s">
        <v>806</v>
      </c>
      <c r="H360" s="7">
        <v>33</v>
      </c>
      <c r="I360" s="7">
        <v>17</v>
      </c>
      <c r="J360" s="7">
        <v>20</v>
      </c>
      <c r="K360" s="7">
        <v>10</v>
      </c>
      <c r="L360" s="7">
        <v>7</v>
      </c>
      <c r="M360" s="8">
        <f t="shared" si="5"/>
        <v>87</v>
      </c>
    </row>
    <row r="361" spans="1:13" x14ac:dyDescent="0.15">
      <c r="A361" s="4" t="s">
        <v>1173</v>
      </c>
      <c r="B361" s="5" t="s">
        <v>724</v>
      </c>
      <c r="C361" s="5" t="s">
        <v>725</v>
      </c>
      <c r="D361" s="5" t="s">
        <v>7</v>
      </c>
      <c r="E361" s="6">
        <v>33489</v>
      </c>
      <c r="F361" s="5" t="s">
        <v>14</v>
      </c>
      <c r="G361" s="5" t="s">
        <v>806</v>
      </c>
      <c r="H361" s="7">
        <v>15</v>
      </c>
      <c r="I361" s="7">
        <v>14</v>
      </c>
      <c r="J361" s="7">
        <v>19</v>
      </c>
      <c r="K361" s="7">
        <v>6</v>
      </c>
      <c r="L361" s="7">
        <v>9</v>
      </c>
      <c r="M361" s="8">
        <f t="shared" si="5"/>
        <v>63</v>
      </c>
    </row>
    <row r="362" spans="1:13" x14ac:dyDescent="0.15">
      <c r="A362" s="4" t="s">
        <v>1174</v>
      </c>
      <c r="B362" s="5" t="s">
        <v>726</v>
      </c>
      <c r="C362" s="5" t="s">
        <v>727</v>
      </c>
      <c r="D362" s="5" t="s">
        <v>7</v>
      </c>
      <c r="E362" s="6">
        <v>33490</v>
      </c>
      <c r="F362" s="5" t="s">
        <v>14</v>
      </c>
      <c r="G362" s="5" t="s">
        <v>806</v>
      </c>
      <c r="H362" s="7">
        <v>23</v>
      </c>
      <c r="I362" s="7">
        <v>15</v>
      </c>
      <c r="J362" s="7">
        <v>19</v>
      </c>
      <c r="K362" s="7">
        <v>8</v>
      </c>
      <c r="L362" s="7">
        <v>9</v>
      </c>
      <c r="M362" s="8">
        <f t="shared" si="5"/>
        <v>74</v>
      </c>
    </row>
    <row r="363" spans="1:13" x14ac:dyDescent="0.15">
      <c r="A363" s="4" t="s">
        <v>1175</v>
      </c>
      <c r="B363" s="5" t="s">
        <v>728</v>
      </c>
      <c r="C363" s="5" t="s">
        <v>729</v>
      </c>
      <c r="D363" s="5" t="s">
        <v>7</v>
      </c>
      <c r="E363" s="6">
        <v>33496</v>
      </c>
      <c r="F363" s="5" t="s">
        <v>42</v>
      </c>
      <c r="G363" s="5" t="s">
        <v>806</v>
      </c>
      <c r="H363" s="7">
        <v>24</v>
      </c>
      <c r="I363" s="7">
        <v>16</v>
      </c>
      <c r="J363" s="7">
        <v>17</v>
      </c>
      <c r="K363" s="7">
        <v>8</v>
      </c>
      <c r="L363" s="7">
        <v>9</v>
      </c>
      <c r="M363" s="8">
        <f t="shared" si="5"/>
        <v>74</v>
      </c>
    </row>
    <row r="364" spans="1:13" x14ac:dyDescent="0.15">
      <c r="A364" s="4" t="s">
        <v>1176</v>
      </c>
      <c r="B364" s="5" t="s">
        <v>730</v>
      </c>
      <c r="C364" s="5" t="s">
        <v>731</v>
      </c>
      <c r="D364" s="5" t="s">
        <v>7</v>
      </c>
      <c r="E364" s="6">
        <v>33382</v>
      </c>
      <c r="F364" s="5" t="s">
        <v>8</v>
      </c>
      <c r="G364" s="5" t="s">
        <v>806</v>
      </c>
      <c r="H364" s="7">
        <v>15</v>
      </c>
      <c r="I364" s="7">
        <v>18</v>
      </c>
      <c r="J364" s="7">
        <v>17</v>
      </c>
      <c r="K364" s="7">
        <v>8</v>
      </c>
      <c r="L364" s="7">
        <v>9</v>
      </c>
      <c r="M364" s="8">
        <f t="shared" si="5"/>
        <v>67</v>
      </c>
    </row>
    <row r="365" spans="1:13" x14ac:dyDescent="0.15">
      <c r="A365" s="4" t="s">
        <v>1177</v>
      </c>
      <c r="B365" s="5" t="s">
        <v>732</v>
      </c>
      <c r="C365" s="5" t="s">
        <v>733</v>
      </c>
      <c r="D365" s="5" t="s">
        <v>7</v>
      </c>
      <c r="E365" s="6">
        <v>33384</v>
      </c>
      <c r="F365" s="5" t="s">
        <v>14</v>
      </c>
      <c r="G365" s="5" t="s">
        <v>806</v>
      </c>
      <c r="H365" s="7">
        <v>18</v>
      </c>
      <c r="I365" s="7">
        <v>15</v>
      </c>
      <c r="J365" s="7">
        <v>17</v>
      </c>
      <c r="K365" s="7">
        <v>6</v>
      </c>
      <c r="L365" s="7">
        <v>9</v>
      </c>
      <c r="M365" s="8">
        <f t="shared" si="5"/>
        <v>65</v>
      </c>
    </row>
    <row r="366" spans="1:13" x14ac:dyDescent="0.15">
      <c r="A366" s="4" t="s">
        <v>1178</v>
      </c>
      <c r="B366" s="5" t="s">
        <v>734</v>
      </c>
      <c r="C366" s="5" t="s">
        <v>735</v>
      </c>
      <c r="D366" s="5" t="s">
        <v>7</v>
      </c>
      <c r="E366" s="6">
        <v>33287</v>
      </c>
      <c r="F366" s="5" t="s">
        <v>14</v>
      </c>
      <c r="G366" s="5" t="s">
        <v>806</v>
      </c>
      <c r="H366" s="7">
        <v>8</v>
      </c>
      <c r="I366" s="7">
        <v>16</v>
      </c>
      <c r="J366" s="7">
        <v>19</v>
      </c>
      <c r="K366" s="7">
        <v>6</v>
      </c>
      <c r="L366" s="7">
        <v>1</v>
      </c>
      <c r="M366" s="8">
        <f t="shared" si="5"/>
        <v>50</v>
      </c>
    </row>
    <row r="367" spans="1:13" x14ac:dyDescent="0.15">
      <c r="A367" s="4" t="s">
        <v>1179</v>
      </c>
      <c r="B367" s="5" t="s">
        <v>736</v>
      </c>
      <c r="C367" s="5" t="s">
        <v>737</v>
      </c>
      <c r="D367" s="5" t="s">
        <v>7</v>
      </c>
      <c r="E367" s="6">
        <v>33286</v>
      </c>
      <c r="F367" s="5" t="s">
        <v>14</v>
      </c>
      <c r="G367" s="5" t="s">
        <v>806</v>
      </c>
      <c r="H367" s="7">
        <v>34</v>
      </c>
      <c r="I367" s="7">
        <v>17</v>
      </c>
      <c r="J367" s="7">
        <v>18</v>
      </c>
      <c r="K367" s="7">
        <v>8</v>
      </c>
      <c r="L367" s="7">
        <v>9</v>
      </c>
      <c r="M367" s="8">
        <f t="shared" si="5"/>
        <v>86</v>
      </c>
    </row>
    <row r="368" spans="1:13" x14ac:dyDescent="0.15">
      <c r="A368" s="4" t="s">
        <v>1180</v>
      </c>
      <c r="B368" s="5" t="s">
        <v>738</v>
      </c>
      <c r="C368" s="5" t="s">
        <v>739</v>
      </c>
      <c r="D368" s="5" t="s">
        <v>7</v>
      </c>
      <c r="E368" s="6">
        <v>33288</v>
      </c>
      <c r="F368" s="5" t="s">
        <v>14</v>
      </c>
      <c r="G368" s="5" t="s">
        <v>806</v>
      </c>
      <c r="H368" s="7">
        <v>32</v>
      </c>
      <c r="I368" s="7">
        <v>19</v>
      </c>
      <c r="J368" s="7">
        <v>20</v>
      </c>
      <c r="K368" s="7">
        <v>10</v>
      </c>
      <c r="L368" s="7">
        <v>9</v>
      </c>
      <c r="M368" s="8">
        <f t="shared" si="5"/>
        <v>90</v>
      </c>
    </row>
    <row r="369" spans="1:13" x14ac:dyDescent="0.15">
      <c r="A369" s="4" t="s">
        <v>1181</v>
      </c>
      <c r="B369" s="5" t="s">
        <v>740</v>
      </c>
      <c r="C369" s="5" t="s">
        <v>741</v>
      </c>
      <c r="D369" s="5" t="s">
        <v>7</v>
      </c>
      <c r="E369" s="6">
        <v>33486</v>
      </c>
      <c r="F369" s="5" t="s">
        <v>14</v>
      </c>
      <c r="G369" s="5" t="s">
        <v>806</v>
      </c>
      <c r="H369" s="7">
        <v>35</v>
      </c>
      <c r="I369" s="7">
        <v>19</v>
      </c>
      <c r="J369" s="7">
        <v>18</v>
      </c>
      <c r="K369" s="7">
        <v>10</v>
      </c>
      <c r="L369" s="7">
        <v>9</v>
      </c>
      <c r="M369" s="8">
        <f t="shared" si="5"/>
        <v>91</v>
      </c>
    </row>
    <row r="370" spans="1:13" x14ac:dyDescent="0.15">
      <c r="A370" s="4" t="s">
        <v>1182</v>
      </c>
      <c r="B370" s="5" t="s">
        <v>742</v>
      </c>
      <c r="C370" s="5" t="s">
        <v>743</v>
      </c>
      <c r="D370" s="5" t="s">
        <v>7</v>
      </c>
      <c r="E370" s="6">
        <v>33485</v>
      </c>
      <c r="F370" s="5" t="s">
        <v>14</v>
      </c>
      <c r="G370" s="5" t="s">
        <v>806</v>
      </c>
      <c r="H370" s="7">
        <v>29</v>
      </c>
      <c r="I370" s="7">
        <v>18</v>
      </c>
      <c r="J370" s="7">
        <v>19</v>
      </c>
      <c r="K370" s="7">
        <v>10</v>
      </c>
      <c r="L370" s="7">
        <v>9</v>
      </c>
      <c r="M370" s="8">
        <f t="shared" si="5"/>
        <v>85</v>
      </c>
    </row>
    <row r="371" spans="1:13" x14ac:dyDescent="0.15">
      <c r="A371" s="4" t="s">
        <v>1183</v>
      </c>
      <c r="B371" s="5" t="s">
        <v>744</v>
      </c>
      <c r="C371" s="5" t="s">
        <v>745</v>
      </c>
      <c r="D371" s="5" t="s">
        <v>7</v>
      </c>
      <c r="E371" s="6">
        <v>33484</v>
      </c>
      <c r="F371" s="5" t="s">
        <v>8</v>
      </c>
      <c r="G371" s="5" t="s">
        <v>806</v>
      </c>
      <c r="H371" s="7">
        <v>33</v>
      </c>
      <c r="I371" s="7">
        <v>17</v>
      </c>
      <c r="J371" s="7">
        <v>11</v>
      </c>
      <c r="K371" s="7">
        <v>6</v>
      </c>
      <c r="L371" s="7">
        <v>5</v>
      </c>
      <c r="M371" s="8">
        <f t="shared" si="5"/>
        <v>72</v>
      </c>
    </row>
    <row r="372" spans="1:13" x14ac:dyDescent="0.15">
      <c r="A372" s="4" t="s">
        <v>1184</v>
      </c>
      <c r="B372" s="5" t="s">
        <v>746</v>
      </c>
      <c r="C372" s="5" t="s">
        <v>747</v>
      </c>
      <c r="D372" s="5" t="s">
        <v>7</v>
      </c>
      <c r="E372" s="6">
        <v>33483</v>
      </c>
      <c r="F372" s="5" t="s">
        <v>14</v>
      </c>
      <c r="G372" s="5" t="s">
        <v>806</v>
      </c>
      <c r="H372" s="7">
        <v>33</v>
      </c>
      <c r="I372" s="7">
        <v>19</v>
      </c>
      <c r="J372" s="7">
        <v>15</v>
      </c>
      <c r="K372" s="7">
        <v>8</v>
      </c>
      <c r="L372" s="7">
        <v>5</v>
      </c>
      <c r="M372" s="8">
        <f t="shared" si="5"/>
        <v>80</v>
      </c>
    </row>
    <row r="373" spans="1:13" x14ac:dyDescent="0.15">
      <c r="A373" s="4" t="s">
        <v>1185</v>
      </c>
      <c r="B373" s="5" t="s">
        <v>748</v>
      </c>
      <c r="C373" s="5" t="s">
        <v>749</v>
      </c>
      <c r="D373" s="5" t="s">
        <v>7</v>
      </c>
      <c r="E373" s="6">
        <v>33482</v>
      </c>
      <c r="F373" s="5" t="s">
        <v>14</v>
      </c>
      <c r="G373" s="5" t="s">
        <v>806</v>
      </c>
      <c r="H373" s="7">
        <v>24</v>
      </c>
      <c r="I373" s="7">
        <v>19</v>
      </c>
      <c r="J373" s="7">
        <v>20</v>
      </c>
      <c r="K373" s="7">
        <v>8</v>
      </c>
      <c r="L373" s="7">
        <v>9</v>
      </c>
      <c r="M373" s="8">
        <f t="shared" si="5"/>
        <v>80</v>
      </c>
    </row>
    <row r="374" spans="1:13" x14ac:dyDescent="0.15">
      <c r="A374" s="4" t="s">
        <v>1186</v>
      </c>
      <c r="B374" s="5" t="s">
        <v>750</v>
      </c>
      <c r="C374" s="5" t="s">
        <v>751</v>
      </c>
      <c r="D374" s="5" t="s">
        <v>7</v>
      </c>
      <c r="E374" s="6">
        <v>33481</v>
      </c>
      <c r="F374" s="5" t="s">
        <v>14</v>
      </c>
      <c r="G374" s="5" t="s">
        <v>806</v>
      </c>
      <c r="H374" s="7">
        <v>14</v>
      </c>
      <c r="I374" s="7">
        <v>15</v>
      </c>
      <c r="J374" s="7">
        <v>17</v>
      </c>
      <c r="K374" s="7">
        <v>6</v>
      </c>
      <c r="L374" s="7">
        <v>8</v>
      </c>
      <c r="M374" s="8">
        <f t="shared" si="5"/>
        <v>60</v>
      </c>
    </row>
    <row r="375" spans="1:13" x14ac:dyDescent="0.15">
      <c r="A375" s="4" t="s">
        <v>1187</v>
      </c>
      <c r="B375" s="5" t="s">
        <v>752</v>
      </c>
      <c r="C375" s="5" t="s">
        <v>753</v>
      </c>
      <c r="D375" s="5" t="s">
        <v>7</v>
      </c>
      <c r="E375" s="6">
        <v>33332</v>
      </c>
      <c r="F375" s="5" t="s">
        <v>14</v>
      </c>
      <c r="G375" s="5" t="s">
        <v>806</v>
      </c>
      <c r="H375" s="7">
        <v>31</v>
      </c>
      <c r="I375" s="7">
        <v>19</v>
      </c>
      <c r="J375" s="7">
        <v>20</v>
      </c>
      <c r="K375" s="7">
        <v>8</v>
      </c>
      <c r="L375" s="7">
        <v>9</v>
      </c>
      <c r="M375" s="8">
        <f t="shared" si="5"/>
        <v>87</v>
      </c>
    </row>
    <row r="376" spans="1:13" x14ac:dyDescent="0.15">
      <c r="A376" s="4" t="s">
        <v>1188</v>
      </c>
      <c r="B376" s="5" t="s">
        <v>754</v>
      </c>
      <c r="C376" s="5" t="s">
        <v>755</v>
      </c>
      <c r="D376" s="5" t="s">
        <v>7</v>
      </c>
      <c r="E376" s="6">
        <v>33286</v>
      </c>
      <c r="F376" s="5" t="s">
        <v>14</v>
      </c>
      <c r="G376" s="5" t="s">
        <v>806</v>
      </c>
      <c r="H376" s="7">
        <v>22</v>
      </c>
      <c r="I376" s="7">
        <v>17</v>
      </c>
      <c r="J376" s="7">
        <v>19</v>
      </c>
      <c r="K376" s="7">
        <v>10</v>
      </c>
      <c r="L376" s="7">
        <v>8</v>
      </c>
      <c r="M376" s="8">
        <f t="shared" si="5"/>
        <v>76</v>
      </c>
    </row>
    <row r="377" spans="1:13" x14ac:dyDescent="0.15">
      <c r="A377" s="4" t="s">
        <v>1189</v>
      </c>
      <c r="B377" s="5" t="s">
        <v>756</v>
      </c>
      <c r="C377" s="5" t="s">
        <v>757</v>
      </c>
      <c r="D377" s="5" t="s">
        <v>17</v>
      </c>
      <c r="E377" s="6">
        <v>33290</v>
      </c>
      <c r="F377" s="5" t="s">
        <v>14</v>
      </c>
      <c r="G377" s="5" t="s">
        <v>806</v>
      </c>
      <c r="H377" s="7">
        <v>18</v>
      </c>
      <c r="I377" s="7">
        <v>15</v>
      </c>
      <c r="J377" s="7">
        <v>19</v>
      </c>
      <c r="K377" s="7">
        <v>8</v>
      </c>
      <c r="L377" s="7">
        <v>10</v>
      </c>
      <c r="M377" s="8">
        <f t="shared" si="5"/>
        <v>70</v>
      </c>
    </row>
    <row r="378" spans="1:13" x14ac:dyDescent="0.15">
      <c r="A378" s="4" t="s">
        <v>1190</v>
      </c>
      <c r="B378" s="5" t="s">
        <v>758</v>
      </c>
      <c r="C378" s="5" t="s">
        <v>759</v>
      </c>
      <c r="D378" s="5" t="s">
        <v>17</v>
      </c>
      <c r="E378" s="6">
        <v>33389</v>
      </c>
      <c r="F378" s="5" t="s">
        <v>14</v>
      </c>
      <c r="G378" s="5" t="s">
        <v>806</v>
      </c>
      <c r="H378" s="7">
        <v>22</v>
      </c>
      <c r="I378" s="7">
        <v>14</v>
      </c>
      <c r="J378" s="7">
        <v>6</v>
      </c>
      <c r="K378" s="7">
        <v>4</v>
      </c>
      <c r="L378" s="7">
        <v>0</v>
      </c>
      <c r="M378" s="8">
        <f t="shared" si="5"/>
        <v>46</v>
      </c>
    </row>
    <row r="379" spans="1:13" x14ac:dyDescent="0.15">
      <c r="A379" s="4" t="s">
        <v>1191</v>
      </c>
      <c r="B379" s="5" t="s">
        <v>760</v>
      </c>
      <c r="C379" s="5" t="s">
        <v>761</v>
      </c>
      <c r="D379" s="5" t="s">
        <v>7</v>
      </c>
      <c r="E379" s="6">
        <v>33386</v>
      </c>
      <c r="F379" s="5" t="s">
        <v>14</v>
      </c>
      <c r="G379" s="5" t="s">
        <v>806</v>
      </c>
      <c r="H379" s="7">
        <v>30</v>
      </c>
      <c r="I379" s="7">
        <v>14</v>
      </c>
      <c r="J379" s="7">
        <v>16</v>
      </c>
      <c r="K379" s="7">
        <v>4</v>
      </c>
      <c r="L379" s="7">
        <v>5</v>
      </c>
      <c r="M379" s="8">
        <f t="shared" si="5"/>
        <v>69</v>
      </c>
    </row>
    <row r="380" spans="1:13" x14ac:dyDescent="0.15">
      <c r="A380" s="4" t="s">
        <v>1192</v>
      </c>
      <c r="B380" s="5" t="s">
        <v>762</v>
      </c>
      <c r="C380" s="5" t="s">
        <v>763</v>
      </c>
      <c r="D380" s="5" t="s">
        <v>7</v>
      </c>
      <c r="E380" s="6">
        <v>33385</v>
      </c>
      <c r="F380" s="5" t="s">
        <v>14</v>
      </c>
      <c r="G380" s="5" t="s">
        <v>806</v>
      </c>
      <c r="H380" s="7">
        <v>25</v>
      </c>
      <c r="I380" s="7">
        <v>19</v>
      </c>
      <c r="J380" s="7">
        <v>18</v>
      </c>
      <c r="K380" s="7">
        <v>10</v>
      </c>
      <c r="L380" s="7">
        <v>9</v>
      </c>
      <c r="M380" s="8">
        <f t="shared" si="5"/>
        <v>81</v>
      </c>
    </row>
    <row r="381" spans="1:13" x14ac:dyDescent="0.15">
      <c r="A381" s="4" t="s">
        <v>1193</v>
      </c>
      <c r="B381" s="5" t="s">
        <v>764</v>
      </c>
      <c r="C381" s="5" t="s">
        <v>765</v>
      </c>
      <c r="D381" s="5" t="s">
        <v>7</v>
      </c>
      <c r="E381" s="6">
        <v>33384</v>
      </c>
      <c r="F381" s="5" t="s">
        <v>14</v>
      </c>
      <c r="G381" s="5" t="s">
        <v>806</v>
      </c>
      <c r="H381" s="7">
        <v>28</v>
      </c>
      <c r="I381" s="7">
        <v>18</v>
      </c>
      <c r="J381" s="7">
        <v>20</v>
      </c>
      <c r="K381" s="7">
        <v>8</v>
      </c>
      <c r="L381" s="7">
        <v>9</v>
      </c>
      <c r="M381" s="8">
        <f t="shared" si="5"/>
        <v>83</v>
      </c>
    </row>
    <row r="382" spans="1:13" x14ac:dyDescent="0.15">
      <c r="A382" s="4" t="s">
        <v>1194</v>
      </c>
      <c r="B382" s="5" t="s">
        <v>766</v>
      </c>
      <c r="C382" s="5" t="s">
        <v>767</v>
      </c>
      <c r="D382" s="5" t="s">
        <v>17</v>
      </c>
      <c r="E382" s="6">
        <v>33379</v>
      </c>
      <c r="F382" s="5" t="s">
        <v>14</v>
      </c>
      <c r="G382" s="5" t="s">
        <v>806</v>
      </c>
      <c r="H382" s="7">
        <v>31</v>
      </c>
      <c r="I382" s="7">
        <v>18</v>
      </c>
      <c r="J382" s="7">
        <v>20</v>
      </c>
      <c r="K382" s="7">
        <v>6</v>
      </c>
      <c r="L382" s="7">
        <v>9</v>
      </c>
      <c r="M382" s="8">
        <f t="shared" si="5"/>
        <v>84</v>
      </c>
    </row>
    <row r="383" spans="1:13" x14ac:dyDescent="0.15">
      <c r="A383" s="4" t="s">
        <v>1195</v>
      </c>
      <c r="B383" s="5" t="s">
        <v>768</v>
      </c>
      <c r="C383" s="5" t="s">
        <v>769</v>
      </c>
      <c r="D383" s="5" t="s">
        <v>7</v>
      </c>
      <c r="E383" s="6">
        <v>33285</v>
      </c>
      <c r="F383" s="5" t="s">
        <v>14</v>
      </c>
      <c r="G383" s="5" t="s">
        <v>806</v>
      </c>
      <c r="H383" s="7">
        <v>31</v>
      </c>
      <c r="I383" s="7">
        <v>18</v>
      </c>
      <c r="J383" s="7">
        <v>17</v>
      </c>
      <c r="K383" s="7">
        <v>8</v>
      </c>
      <c r="L383" s="7">
        <v>8</v>
      </c>
      <c r="M383" s="8">
        <f t="shared" si="5"/>
        <v>82</v>
      </c>
    </row>
    <row r="384" spans="1:13" x14ac:dyDescent="0.15">
      <c r="A384" s="4" t="s">
        <v>1196</v>
      </c>
      <c r="B384" s="5" t="s">
        <v>770</v>
      </c>
      <c r="C384" s="5" t="s">
        <v>771</v>
      </c>
      <c r="D384" s="5" t="s">
        <v>7</v>
      </c>
      <c r="E384" s="6">
        <v>33334</v>
      </c>
      <c r="F384" s="5" t="s">
        <v>14</v>
      </c>
      <c r="G384" s="5" t="s">
        <v>806</v>
      </c>
      <c r="H384" s="7">
        <v>28</v>
      </c>
      <c r="I384" s="7">
        <v>18</v>
      </c>
      <c r="J384" s="7">
        <v>19</v>
      </c>
      <c r="K384" s="7">
        <v>8</v>
      </c>
      <c r="L384" s="7">
        <v>9</v>
      </c>
      <c r="M384" s="8">
        <f t="shared" si="5"/>
        <v>82</v>
      </c>
    </row>
    <row r="385" spans="1:13" x14ac:dyDescent="0.15">
      <c r="A385" s="4" t="s">
        <v>1197</v>
      </c>
      <c r="B385" s="5" t="s">
        <v>772</v>
      </c>
      <c r="C385" s="5" t="s">
        <v>773</v>
      </c>
      <c r="D385" s="5" t="s">
        <v>7</v>
      </c>
      <c r="E385" s="6">
        <v>33335</v>
      </c>
      <c r="F385" s="5" t="s">
        <v>8</v>
      </c>
      <c r="G385" s="5" t="s">
        <v>806</v>
      </c>
      <c r="H385" s="7">
        <v>31</v>
      </c>
      <c r="I385" s="7">
        <v>19</v>
      </c>
      <c r="J385" s="7">
        <v>20</v>
      </c>
      <c r="K385" s="7">
        <v>10</v>
      </c>
      <c r="L385" s="7">
        <v>9</v>
      </c>
      <c r="M385" s="8">
        <f t="shared" si="5"/>
        <v>89</v>
      </c>
    </row>
    <row r="386" spans="1:13" x14ac:dyDescent="0.15">
      <c r="A386" s="4" t="s">
        <v>1198</v>
      </c>
      <c r="B386" s="5" t="s">
        <v>774</v>
      </c>
      <c r="C386" s="5" t="s">
        <v>775</v>
      </c>
      <c r="D386" s="5" t="s">
        <v>7</v>
      </c>
      <c r="E386" s="6">
        <v>33336</v>
      </c>
      <c r="F386" s="5" t="s">
        <v>14</v>
      </c>
      <c r="G386" s="5" t="s">
        <v>806</v>
      </c>
      <c r="H386" s="7">
        <v>30</v>
      </c>
      <c r="I386" s="7">
        <v>18</v>
      </c>
      <c r="J386" s="7">
        <v>19</v>
      </c>
      <c r="K386" s="7">
        <v>8</v>
      </c>
      <c r="L386" s="7">
        <v>9</v>
      </c>
      <c r="M386" s="8">
        <f t="shared" si="5"/>
        <v>84</v>
      </c>
    </row>
    <row r="387" spans="1:13" x14ac:dyDescent="0.15">
      <c r="A387" s="4" t="s">
        <v>1199</v>
      </c>
      <c r="B387" s="5" t="s">
        <v>776</v>
      </c>
      <c r="C387" s="5" t="s">
        <v>777</v>
      </c>
      <c r="D387" s="5" t="s">
        <v>7</v>
      </c>
      <c r="E387" s="6">
        <v>33284</v>
      </c>
      <c r="F387" s="5" t="s">
        <v>42</v>
      </c>
      <c r="G387" s="5" t="s">
        <v>806</v>
      </c>
      <c r="H387" s="7">
        <v>32</v>
      </c>
      <c r="I387" s="7">
        <v>19</v>
      </c>
      <c r="J387" s="7">
        <v>20</v>
      </c>
      <c r="K387" s="7">
        <v>8</v>
      </c>
      <c r="L387" s="7">
        <v>9</v>
      </c>
      <c r="M387" s="8">
        <f t="shared" si="5"/>
        <v>88</v>
      </c>
    </row>
    <row r="388" spans="1:13" x14ac:dyDescent="0.15">
      <c r="A388" s="4" t="s">
        <v>1200</v>
      </c>
      <c r="B388" s="5" t="s">
        <v>778</v>
      </c>
      <c r="C388" s="5" t="s">
        <v>779</v>
      </c>
      <c r="D388" s="5" t="s">
        <v>7</v>
      </c>
      <c r="E388" s="6">
        <v>33270</v>
      </c>
      <c r="F388" s="5" t="s">
        <v>14</v>
      </c>
      <c r="G388" s="5" t="s">
        <v>806</v>
      </c>
      <c r="H388" s="7">
        <v>25</v>
      </c>
      <c r="I388" s="7">
        <v>15</v>
      </c>
      <c r="J388" s="7">
        <v>16</v>
      </c>
      <c r="K388" s="7">
        <v>4</v>
      </c>
      <c r="L388" s="7">
        <v>6</v>
      </c>
      <c r="M388" s="8">
        <f t="shared" ref="M388:M396" si="6">IF(COUNTIF(H388:L388,"=0")&gt;=2,0,SUM(H388:L388))</f>
        <v>66</v>
      </c>
    </row>
    <row r="389" spans="1:13" x14ac:dyDescent="0.15">
      <c r="A389" s="4" t="s">
        <v>1201</v>
      </c>
      <c r="B389" s="5" t="s">
        <v>780</v>
      </c>
      <c r="C389" s="5" t="s">
        <v>781</v>
      </c>
      <c r="D389" s="5" t="s">
        <v>7</v>
      </c>
      <c r="E389" s="6">
        <v>33268</v>
      </c>
      <c r="F389" s="5" t="s">
        <v>14</v>
      </c>
      <c r="G389" s="5" t="s">
        <v>806</v>
      </c>
      <c r="H389" s="7">
        <v>30</v>
      </c>
      <c r="I389" s="7">
        <v>19</v>
      </c>
      <c r="J389" s="7">
        <v>20</v>
      </c>
      <c r="K389" s="7">
        <v>10</v>
      </c>
      <c r="L389" s="7">
        <v>9</v>
      </c>
      <c r="M389" s="8">
        <f t="shared" si="6"/>
        <v>88</v>
      </c>
    </row>
    <row r="390" spans="1:13" x14ac:dyDescent="0.15">
      <c r="A390" s="4" t="s">
        <v>1202</v>
      </c>
      <c r="B390" s="5" t="s">
        <v>782</v>
      </c>
      <c r="C390" s="5" t="s">
        <v>783</v>
      </c>
      <c r="D390" s="5" t="s">
        <v>17</v>
      </c>
      <c r="E390" s="6">
        <v>33259</v>
      </c>
      <c r="F390" s="5" t="s">
        <v>8</v>
      </c>
      <c r="G390" s="5" t="s">
        <v>806</v>
      </c>
      <c r="H390" s="7">
        <v>21</v>
      </c>
      <c r="I390" s="7">
        <v>15</v>
      </c>
      <c r="J390" s="7">
        <v>11</v>
      </c>
      <c r="K390" s="7">
        <v>2</v>
      </c>
      <c r="L390" s="7">
        <v>9</v>
      </c>
      <c r="M390" s="8">
        <f t="shared" si="6"/>
        <v>58</v>
      </c>
    </row>
    <row r="391" spans="1:13" x14ac:dyDescent="0.15">
      <c r="A391" s="4" t="s">
        <v>1203</v>
      </c>
      <c r="B391" s="5" t="s">
        <v>784</v>
      </c>
      <c r="C391" s="5" t="s">
        <v>785</v>
      </c>
      <c r="D391" s="5" t="s">
        <v>7</v>
      </c>
      <c r="E391" s="6">
        <v>33257</v>
      </c>
      <c r="F391" s="5" t="s">
        <v>14</v>
      </c>
      <c r="G391" s="5" t="s">
        <v>806</v>
      </c>
      <c r="H391" s="7">
        <v>24</v>
      </c>
      <c r="I391" s="7">
        <v>19</v>
      </c>
      <c r="J391" s="7">
        <v>20</v>
      </c>
      <c r="K391" s="7">
        <v>8</v>
      </c>
      <c r="L391" s="7">
        <v>9</v>
      </c>
      <c r="M391" s="8">
        <f t="shared" si="6"/>
        <v>80</v>
      </c>
    </row>
    <row r="392" spans="1:13" x14ac:dyDescent="0.15">
      <c r="A392" s="4" t="s">
        <v>1204</v>
      </c>
      <c r="B392" s="5" t="s">
        <v>786</v>
      </c>
      <c r="C392" s="5" t="s">
        <v>787</v>
      </c>
      <c r="D392" s="5" t="s">
        <v>7</v>
      </c>
      <c r="E392" s="6">
        <v>33391</v>
      </c>
      <c r="F392" s="5" t="s">
        <v>14</v>
      </c>
      <c r="G392" s="5" t="s">
        <v>806</v>
      </c>
      <c r="H392" s="7">
        <v>16</v>
      </c>
      <c r="I392" s="7">
        <v>3</v>
      </c>
      <c r="J392" s="7">
        <v>12</v>
      </c>
      <c r="K392" s="7">
        <v>2</v>
      </c>
      <c r="L392" s="7">
        <v>1</v>
      </c>
      <c r="M392" s="8">
        <f t="shared" si="6"/>
        <v>34</v>
      </c>
    </row>
    <row r="393" spans="1:13" x14ac:dyDescent="0.15">
      <c r="A393" s="4" t="s">
        <v>1205</v>
      </c>
      <c r="B393" s="5" t="s">
        <v>788</v>
      </c>
      <c r="C393" s="5" t="s">
        <v>789</v>
      </c>
      <c r="D393" s="5" t="s">
        <v>7</v>
      </c>
      <c r="E393" s="6">
        <v>33281</v>
      </c>
      <c r="F393" s="5" t="s">
        <v>14</v>
      </c>
      <c r="G393" s="5" t="s">
        <v>806</v>
      </c>
      <c r="H393" s="7">
        <v>25</v>
      </c>
      <c r="I393" s="7">
        <v>9</v>
      </c>
      <c r="J393" s="7">
        <v>16</v>
      </c>
      <c r="K393" s="7">
        <v>6</v>
      </c>
      <c r="L393" s="7">
        <v>2</v>
      </c>
      <c r="M393" s="8">
        <f t="shared" si="6"/>
        <v>58</v>
      </c>
    </row>
    <row r="394" spans="1:13" x14ac:dyDescent="0.15">
      <c r="A394" s="4" t="s">
        <v>1206</v>
      </c>
      <c r="B394" s="5" t="s">
        <v>790</v>
      </c>
      <c r="C394" s="5" t="s">
        <v>787</v>
      </c>
      <c r="D394" s="5" t="s">
        <v>7</v>
      </c>
      <c r="E394" s="6">
        <v>33392</v>
      </c>
      <c r="F394" s="5" t="s">
        <v>14</v>
      </c>
      <c r="G394" s="5" t="s">
        <v>806</v>
      </c>
      <c r="H394" s="7">
        <v>28</v>
      </c>
      <c r="I394" s="7">
        <v>17</v>
      </c>
      <c r="J394" s="7">
        <v>20</v>
      </c>
      <c r="K394" s="7">
        <v>6</v>
      </c>
      <c r="L394" s="7">
        <v>9</v>
      </c>
      <c r="M394" s="8">
        <f t="shared" si="6"/>
        <v>80</v>
      </c>
    </row>
    <row r="395" spans="1:13" x14ac:dyDescent="0.15">
      <c r="A395" s="4" t="s">
        <v>1207</v>
      </c>
      <c r="B395" s="5" t="s">
        <v>791</v>
      </c>
      <c r="C395" s="5" t="s">
        <v>792</v>
      </c>
      <c r="D395" s="5" t="s">
        <v>7</v>
      </c>
      <c r="E395" s="6">
        <v>33417</v>
      </c>
      <c r="F395" s="5" t="s">
        <v>14</v>
      </c>
      <c r="G395" s="5" t="s">
        <v>806</v>
      </c>
      <c r="H395" s="7">
        <v>12</v>
      </c>
      <c r="I395" s="7">
        <v>17</v>
      </c>
      <c r="J395" s="7">
        <v>20</v>
      </c>
      <c r="K395" s="7">
        <v>8</v>
      </c>
      <c r="L395" s="7">
        <v>9</v>
      </c>
      <c r="M395" s="8">
        <f t="shared" si="6"/>
        <v>66</v>
      </c>
    </row>
    <row r="396" spans="1:13" x14ac:dyDescent="0.15">
      <c r="A396" s="4" t="s">
        <v>1208</v>
      </c>
      <c r="B396" s="5" t="s">
        <v>793</v>
      </c>
      <c r="C396" s="5" t="s">
        <v>794</v>
      </c>
      <c r="D396" s="5" t="s">
        <v>7</v>
      </c>
      <c r="E396" s="6">
        <v>33416</v>
      </c>
      <c r="F396" s="5" t="s">
        <v>8</v>
      </c>
      <c r="G396" s="5" t="s">
        <v>806</v>
      </c>
      <c r="H396" s="7">
        <v>19</v>
      </c>
      <c r="I396" s="7">
        <v>18</v>
      </c>
      <c r="J396" s="7">
        <v>13</v>
      </c>
      <c r="K396" s="7">
        <v>6</v>
      </c>
      <c r="L396" s="7">
        <v>1</v>
      </c>
      <c r="M396" s="8">
        <f t="shared" si="6"/>
        <v>57</v>
      </c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2"/>
  <sheetViews>
    <sheetView topLeftCell="A379" workbookViewId="0">
      <selection activeCell="F20" sqref="F20"/>
    </sheetView>
  </sheetViews>
  <sheetFormatPr defaultRowHeight="14.25" outlineLevelRow="2" x14ac:dyDescent="0.15"/>
  <cols>
    <col min="2" max="2" width="8.25" bestFit="1" customWidth="1"/>
    <col min="3" max="3" width="6" bestFit="1" customWidth="1"/>
    <col min="4" max="4" width="5.5" bestFit="1" customWidth="1"/>
    <col min="5" max="5" width="9.5" bestFit="1" customWidth="1"/>
    <col min="6" max="6" width="5.5" bestFit="1" customWidth="1"/>
    <col min="7" max="7" width="6" bestFit="1" customWidth="1"/>
    <col min="8" max="12" width="6.625" customWidth="1"/>
  </cols>
  <sheetData>
    <row r="1" spans="1:13" s="1" customFormat="1" ht="32.1" customHeight="1" x14ac:dyDescent="0.15">
      <c r="A1" s="2" t="s">
        <v>1209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15">
      <c r="A2" s="3" t="s">
        <v>814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807</v>
      </c>
      <c r="H2" s="3" t="s">
        <v>808</v>
      </c>
      <c r="I2" s="3" t="s">
        <v>809</v>
      </c>
      <c r="J2" s="3" t="s">
        <v>810</v>
      </c>
      <c r="K2" s="3" t="s">
        <v>811</v>
      </c>
      <c r="L2" s="3" t="s">
        <v>812</v>
      </c>
      <c r="M2" s="3" t="s">
        <v>813</v>
      </c>
    </row>
    <row r="3" spans="1:13" outlineLevel="2" x14ac:dyDescent="0.15">
      <c r="A3" s="4" t="s">
        <v>833</v>
      </c>
      <c r="B3" s="5" t="s">
        <v>472</v>
      </c>
      <c r="C3" s="5" t="s">
        <v>473</v>
      </c>
      <c r="D3" s="5" t="s">
        <v>7</v>
      </c>
      <c r="E3" s="6">
        <v>33512</v>
      </c>
      <c r="F3" s="5" t="s">
        <v>61</v>
      </c>
      <c r="G3" s="5" t="s">
        <v>797</v>
      </c>
      <c r="H3" s="7">
        <v>28</v>
      </c>
      <c r="I3" s="7">
        <v>20</v>
      </c>
      <c r="J3" s="7">
        <v>18</v>
      </c>
      <c r="K3" s="7">
        <v>10</v>
      </c>
      <c r="L3" s="7">
        <v>10</v>
      </c>
      <c r="M3" s="8">
        <f>IF(COUNTIF(H3:L3,"=0")&gt;=2,0,SUM(H3:L3))</f>
        <v>86</v>
      </c>
    </row>
    <row r="4" spans="1:13" outlineLevel="2" x14ac:dyDescent="0.15">
      <c r="A4" s="4" t="s">
        <v>854</v>
      </c>
      <c r="B4" s="5" t="s">
        <v>514</v>
      </c>
      <c r="C4" s="5" t="s">
        <v>515</v>
      </c>
      <c r="D4" s="5" t="s">
        <v>7</v>
      </c>
      <c r="E4" s="6">
        <v>33424</v>
      </c>
      <c r="F4" s="5" t="s">
        <v>61</v>
      </c>
      <c r="G4" s="5" t="s">
        <v>797</v>
      </c>
      <c r="H4" s="7">
        <v>29</v>
      </c>
      <c r="I4" s="7">
        <v>18</v>
      </c>
      <c r="J4" s="7">
        <v>20</v>
      </c>
      <c r="K4" s="7">
        <v>8</v>
      </c>
      <c r="L4" s="7">
        <v>10</v>
      </c>
      <c r="M4" s="8">
        <f>IF(COUNTIF(H4:L4,"=0")&gt;=2,0,SUM(H4:L4))</f>
        <v>85</v>
      </c>
    </row>
    <row r="5" spans="1:13" outlineLevel="2" x14ac:dyDescent="0.15">
      <c r="A5" s="4" t="s">
        <v>882</v>
      </c>
      <c r="B5" s="5" t="s">
        <v>59</v>
      </c>
      <c r="C5" s="5" t="s">
        <v>60</v>
      </c>
      <c r="D5" s="5" t="s">
        <v>17</v>
      </c>
      <c r="E5" s="6">
        <v>33564</v>
      </c>
      <c r="F5" s="5" t="s">
        <v>61</v>
      </c>
      <c r="G5" s="5" t="s">
        <v>798</v>
      </c>
      <c r="H5" s="7">
        <v>17</v>
      </c>
      <c r="I5" s="7">
        <v>19</v>
      </c>
      <c r="J5" s="7">
        <v>19</v>
      </c>
      <c r="K5" s="7">
        <v>9</v>
      </c>
      <c r="L5" s="7">
        <v>8</v>
      </c>
      <c r="M5" s="8">
        <f>IF(COUNTIF(H5:L5,"=0")&gt;=2,0,SUM(H5:L5))</f>
        <v>72</v>
      </c>
    </row>
    <row r="6" spans="1:13" outlineLevel="2" x14ac:dyDescent="0.15">
      <c r="A6" s="4" t="s">
        <v>894</v>
      </c>
      <c r="B6" s="5" t="s">
        <v>84</v>
      </c>
      <c r="C6" s="5" t="s">
        <v>85</v>
      </c>
      <c r="D6" s="5" t="s">
        <v>7</v>
      </c>
      <c r="E6" s="6">
        <v>33432</v>
      </c>
      <c r="F6" s="5" t="s">
        <v>61</v>
      </c>
      <c r="G6" s="5" t="s">
        <v>798</v>
      </c>
      <c r="H6" s="7">
        <v>32</v>
      </c>
      <c r="I6" s="7">
        <v>14</v>
      </c>
      <c r="J6" s="7">
        <v>8</v>
      </c>
      <c r="K6" s="7">
        <v>9</v>
      </c>
      <c r="L6" s="7">
        <v>1</v>
      </c>
      <c r="M6" s="8">
        <f>IF(COUNTIF(H6:L6,"=0")&gt;=2,0,SUM(H6:L6))</f>
        <v>64</v>
      </c>
    </row>
    <row r="7" spans="1:13" outlineLevel="2" x14ac:dyDescent="0.15">
      <c r="A7" s="4" t="s">
        <v>909</v>
      </c>
      <c r="B7" s="5" t="s">
        <v>114</v>
      </c>
      <c r="C7" s="5" t="s">
        <v>115</v>
      </c>
      <c r="D7" s="5" t="s">
        <v>7</v>
      </c>
      <c r="E7" s="6">
        <v>33527</v>
      </c>
      <c r="F7" s="5" t="s">
        <v>61</v>
      </c>
      <c r="G7" s="5" t="s">
        <v>799</v>
      </c>
      <c r="H7" s="7">
        <v>22</v>
      </c>
      <c r="I7" s="7">
        <v>0</v>
      </c>
      <c r="J7" s="7">
        <v>0</v>
      </c>
      <c r="K7" s="7">
        <v>1</v>
      </c>
      <c r="L7" s="7">
        <v>3</v>
      </c>
      <c r="M7" s="8">
        <f>IF(COUNTIF(H7:L7,"=0")&gt;=2,0,SUM(H7:L7))</f>
        <v>0</v>
      </c>
    </row>
    <row r="8" spans="1:13" outlineLevel="2" x14ac:dyDescent="0.15">
      <c r="A8" s="4" t="s">
        <v>921</v>
      </c>
      <c r="B8" s="5" t="s">
        <v>138</v>
      </c>
      <c r="C8" s="5" t="s">
        <v>139</v>
      </c>
      <c r="D8" s="5" t="s">
        <v>7</v>
      </c>
      <c r="E8" s="6">
        <v>33266</v>
      </c>
      <c r="F8" s="5" t="s">
        <v>61</v>
      </c>
      <c r="G8" s="5" t="s">
        <v>799</v>
      </c>
      <c r="H8" s="7">
        <v>8</v>
      </c>
      <c r="I8" s="7">
        <v>0</v>
      </c>
      <c r="J8" s="7">
        <v>9</v>
      </c>
      <c r="K8" s="7">
        <v>0</v>
      </c>
      <c r="L8" s="7">
        <v>0</v>
      </c>
      <c r="M8" s="8">
        <f>IF(COUNTIF(H8:L8,"=0")&gt;=2,0,SUM(H8:L8))</f>
        <v>0</v>
      </c>
    </row>
    <row r="9" spans="1:13" outlineLevel="2" x14ac:dyDescent="0.15">
      <c r="A9" s="4" t="s">
        <v>933</v>
      </c>
      <c r="B9" s="5" t="s">
        <v>162</v>
      </c>
      <c r="C9" s="5" t="s">
        <v>163</v>
      </c>
      <c r="D9" s="5" t="s">
        <v>17</v>
      </c>
      <c r="E9" s="6">
        <v>33386</v>
      </c>
      <c r="F9" s="5" t="s">
        <v>61</v>
      </c>
      <c r="G9" s="5" t="s">
        <v>800</v>
      </c>
      <c r="H9" s="7">
        <v>25</v>
      </c>
      <c r="I9" s="7">
        <v>17</v>
      </c>
      <c r="J9" s="7">
        <v>17</v>
      </c>
      <c r="K9" s="7">
        <v>10</v>
      </c>
      <c r="L9" s="7">
        <v>9</v>
      </c>
      <c r="M9" s="8">
        <f>IF(COUNTIF(H9:L9,"=0")&gt;=2,0,SUM(H9:L9))</f>
        <v>78</v>
      </c>
    </row>
    <row r="10" spans="1:13" outlineLevel="2" x14ac:dyDescent="0.15">
      <c r="A10" s="4" t="s">
        <v>947</v>
      </c>
      <c r="B10" s="5" t="s">
        <v>190</v>
      </c>
      <c r="C10" s="5" t="s">
        <v>191</v>
      </c>
      <c r="D10" s="5" t="s">
        <v>17</v>
      </c>
      <c r="E10" s="6">
        <v>33285</v>
      </c>
      <c r="F10" s="5" t="s">
        <v>61</v>
      </c>
      <c r="G10" s="5" t="s">
        <v>800</v>
      </c>
      <c r="H10" s="7">
        <v>25</v>
      </c>
      <c r="I10" s="7">
        <v>17</v>
      </c>
      <c r="J10" s="7">
        <v>20</v>
      </c>
      <c r="K10" s="7">
        <v>10</v>
      </c>
      <c r="L10" s="7">
        <v>9</v>
      </c>
      <c r="M10" s="8">
        <f>IF(COUNTIF(H10:L10,"=0")&gt;=2,0,SUM(H10:L10))</f>
        <v>81</v>
      </c>
    </row>
    <row r="11" spans="1:13" outlineLevel="2" x14ac:dyDescent="0.15">
      <c r="A11" s="4" t="s">
        <v>987</v>
      </c>
      <c r="B11" s="5" t="s">
        <v>270</v>
      </c>
      <c r="C11" s="5" t="s">
        <v>271</v>
      </c>
      <c r="D11" s="5" t="s">
        <v>7</v>
      </c>
      <c r="E11" s="6">
        <v>33493</v>
      </c>
      <c r="F11" s="5" t="s">
        <v>61</v>
      </c>
      <c r="G11" s="5" t="s">
        <v>801</v>
      </c>
      <c r="H11" s="7">
        <v>35</v>
      </c>
      <c r="I11" s="7">
        <v>17</v>
      </c>
      <c r="J11" s="7">
        <v>18</v>
      </c>
      <c r="K11" s="7">
        <v>10</v>
      </c>
      <c r="L11" s="7">
        <v>9</v>
      </c>
      <c r="M11" s="8">
        <f>IF(COUNTIF(H11:L11,"=0")&gt;=2,0,SUM(H11:L11))</f>
        <v>89</v>
      </c>
    </row>
    <row r="12" spans="1:13" outlineLevel="2" x14ac:dyDescent="0.15">
      <c r="A12" s="4" t="s">
        <v>1014</v>
      </c>
      <c r="B12" s="5" t="s">
        <v>324</v>
      </c>
      <c r="C12" s="5" t="s">
        <v>325</v>
      </c>
      <c r="D12" s="5" t="s">
        <v>7</v>
      </c>
      <c r="E12" s="6">
        <v>33406</v>
      </c>
      <c r="F12" s="5" t="s">
        <v>61</v>
      </c>
      <c r="G12" s="5" t="s">
        <v>802</v>
      </c>
      <c r="H12" s="7">
        <v>35</v>
      </c>
      <c r="I12" s="7">
        <v>15</v>
      </c>
      <c r="J12" s="7">
        <v>17</v>
      </c>
      <c r="K12" s="7">
        <v>10</v>
      </c>
      <c r="L12" s="7">
        <v>7</v>
      </c>
      <c r="M12" s="8">
        <f>IF(COUNTIF(H12:L12,"=0")&gt;=2,0,SUM(H12:L12))</f>
        <v>84</v>
      </c>
    </row>
    <row r="13" spans="1:13" outlineLevel="2" x14ac:dyDescent="0.15">
      <c r="A13" s="4" t="s">
        <v>1032</v>
      </c>
      <c r="B13" s="5" t="s">
        <v>360</v>
      </c>
      <c r="C13" s="5" t="s">
        <v>361</v>
      </c>
      <c r="D13" s="5" t="s">
        <v>17</v>
      </c>
      <c r="E13" s="6">
        <v>33304</v>
      </c>
      <c r="F13" s="5" t="s">
        <v>61</v>
      </c>
      <c r="G13" s="5" t="s">
        <v>802</v>
      </c>
      <c r="H13" s="7">
        <v>29</v>
      </c>
      <c r="I13" s="7">
        <v>20</v>
      </c>
      <c r="J13" s="7">
        <v>18</v>
      </c>
      <c r="K13" s="7">
        <v>10</v>
      </c>
      <c r="L13" s="7">
        <v>8</v>
      </c>
      <c r="M13" s="8">
        <f>IF(COUNTIF(H13:L13,"=0")&gt;=2,0,SUM(H13:L13))</f>
        <v>85</v>
      </c>
    </row>
    <row r="14" spans="1:13" outlineLevel="2" x14ac:dyDescent="0.15">
      <c r="A14" s="4" t="s">
        <v>1053</v>
      </c>
      <c r="B14" s="5" t="s">
        <v>402</v>
      </c>
      <c r="C14" s="5" t="s">
        <v>403</v>
      </c>
      <c r="D14" s="5" t="s">
        <v>7</v>
      </c>
      <c r="E14" s="6">
        <v>33290</v>
      </c>
      <c r="F14" s="5" t="s">
        <v>61</v>
      </c>
      <c r="G14" s="5" t="s">
        <v>803</v>
      </c>
      <c r="H14" s="7">
        <v>28</v>
      </c>
      <c r="I14" s="7">
        <v>18</v>
      </c>
      <c r="J14" s="7">
        <v>14</v>
      </c>
      <c r="K14" s="7">
        <v>9</v>
      </c>
      <c r="L14" s="7">
        <v>0</v>
      </c>
      <c r="M14" s="8">
        <f>IF(COUNTIF(H14:L14,"=0")&gt;=2,0,SUM(H14:L14))</f>
        <v>69</v>
      </c>
    </row>
    <row r="15" spans="1:13" outlineLevel="2" x14ac:dyDescent="0.15">
      <c r="A15" s="4" t="s">
        <v>1065</v>
      </c>
      <c r="B15" s="5" t="s">
        <v>426</v>
      </c>
      <c r="C15" s="5" t="s">
        <v>427</v>
      </c>
      <c r="D15" s="5" t="s">
        <v>7</v>
      </c>
      <c r="E15" s="6">
        <v>33438</v>
      </c>
      <c r="F15" s="5" t="s">
        <v>61</v>
      </c>
      <c r="G15" s="5" t="s">
        <v>803</v>
      </c>
      <c r="H15" s="7">
        <v>25</v>
      </c>
      <c r="I15" s="7">
        <v>20</v>
      </c>
      <c r="J15" s="7">
        <v>17</v>
      </c>
      <c r="K15" s="7">
        <v>8</v>
      </c>
      <c r="L15" s="7">
        <v>0</v>
      </c>
      <c r="M15" s="8">
        <f>IF(COUNTIF(H15:L15,"=0")&gt;=2,0,SUM(H15:L15))</f>
        <v>70</v>
      </c>
    </row>
    <row r="16" spans="1:13" outlineLevel="2" x14ac:dyDescent="0.15">
      <c r="A16" s="4" t="s">
        <v>1080</v>
      </c>
      <c r="B16" s="5" t="s">
        <v>456</v>
      </c>
      <c r="C16" s="5" t="s">
        <v>457</v>
      </c>
      <c r="D16" s="5" t="s">
        <v>7</v>
      </c>
      <c r="E16" s="6">
        <v>33277</v>
      </c>
      <c r="F16" s="5" t="s">
        <v>61</v>
      </c>
      <c r="G16" s="5" t="s">
        <v>804</v>
      </c>
      <c r="H16" s="7">
        <v>28</v>
      </c>
      <c r="I16" s="7">
        <v>19</v>
      </c>
      <c r="J16" s="7">
        <v>20</v>
      </c>
      <c r="K16" s="7">
        <v>10</v>
      </c>
      <c r="L16" s="7">
        <v>10</v>
      </c>
      <c r="M16" s="8">
        <f>IF(COUNTIF(H16:L16,"=0")&gt;=2,0,SUM(H16:L16))</f>
        <v>87</v>
      </c>
    </row>
    <row r="17" spans="1:13" outlineLevel="2" x14ac:dyDescent="0.15">
      <c r="A17" s="4" t="s">
        <v>1097</v>
      </c>
      <c r="B17" s="5" t="s">
        <v>574</v>
      </c>
      <c r="C17" s="5" t="s">
        <v>575</v>
      </c>
      <c r="D17" s="5" t="s">
        <v>7</v>
      </c>
      <c r="E17" s="6">
        <v>33563</v>
      </c>
      <c r="F17" s="5" t="s">
        <v>61</v>
      </c>
      <c r="G17" s="5" t="s">
        <v>804</v>
      </c>
      <c r="H17" s="7">
        <v>27</v>
      </c>
      <c r="I17" s="7">
        <v>19</v>
      </c>
      <c r="J17" s="7">
        <v>20</v>
      </c>
      <c r="K17" s="7">
        <v>10</v>
      </c>
      <c r="L17" s="7">
        <v>8</v>
      </c>
      <c r="M17" s="8">
        <f>IF(COUNTIF(H17:L17,"=0")&gt;=2,0,SUM(H17:L17))</f>
        <v>84</v>
      </c>
    </row>
    <row r="18" spans="1:13" outlineLevel="2" x14ac:dyDescent="0.15">
      <c r="A18" s="4" t="s">
        <v>1115</v>
      </c>
      <c r="B18" s="5" t="s">
        <v>610</v>
      </c>
      <c r="C18" s="5" t="s">
        <v>611</v>
      </c>
      <c r="D18" s="5" t="s">
        <v>7</v>
      </c>
      <c r="E18" s="6">
        <v>33387</v>
      </c>
      <c r="F18" s="5" t="s">
        <v>61</v>
      </c>
      <c r="G18" s="5" t="s">
        <v>804</v>
      </c>
      <c r="H18" s="7">
        <v>26</v>
      </c>
      <c r="I18" s="7">
        <v>19</v>
      </c>
      <c r="J18" s="7">
        <v>20</v>
      </c>
      <c r="K18" s="7">
        <v>10</v>
      </c>
      <c r="L18" s="7">
        <v>5</v>
      </c>
      <c r="M18" s="8">
        <f>IF(COUNTIF(H18:L18,"=0")&gt;=2,0,SUM(H18:L18))</f>
        <v>80</v>
      </c>
    </row>
    <row r="19" spans="1:13" outlineLevel="2" x14ac:dyDescent="0.15">
      <c r="A19" s="4" t="s">
        <v>1165</v>
      </c>
      <c r="B19" s="5" t="s">
        <v>708</v>
      </c>
      <c r="C19" s="5" t="s">
        <v>709</v>
      </c>
      <c r="D19" s="5" t="s">
        <v>7</v>
      </c>
      <c r="E19" s="6">
        <v>33564</v>
      </c>
      <c r="F19" s="5" t="s">
        <v>61</v>
      </c>
      <c r="G19" s="5" t="s">
        <v>805</v>
      </c>
      <c r="H19" s="7">
        <v>12</v>
      </c>
      <c r="I19" s="7">
        <v>0</v>
      </c>
      <c r="J19" s="7">
        <v>0</v>
      </c>
      <c r="K19" s="7">
        <v>10</v>
      </c>
      <c r="L19" s="7">
        <v>7</v>
      </c>
      <c r="M19" s="8">
        <f>IF(COUNTIF(H19:L19,"=0")&gt;=2,0,SUM(H19:L19))</f>
        <v>0</v>
      </c>
    </row>
    <row r="20" spans="1:13" ht="22.5" outlineLevel="1" x14ac:dyDescent="0.15">
      <c r="A20" s="4"/>
      <c r="B20" s="5"/>
      <c r="C20" s="5"/>
      <c r="D20" s="5"/>
      <c r="E20" s="6"/>
      <c r="F20" s="9" t="s">
        <v>1210</v>
      </c>
      <c r="G20" s="5"/>
      <c r="H20" s="7"/>
      <c r="I20" s="7"/>
      <c r="J20" s="7"/>
      <c r="K20" s="7"/>
      <c r="L20" s="7"/>
      <c r="M20" s="8">
        <f>SUBTOTAL(1,M3:M19)</f>
        <v>65.529411764705884</v>
      </c>
    </row>
    <row r="21" spans="1:13" outlineLevel="2" x14ac:dyDescent="0.15">
      <c r="A21" s="4" t="s">
        <v>849</v>
      </c>
      <c r="B21" s="5" t="s">
        <v>504</v>
      </c>
      <c r="C21" s="5" t="s">
        <v>505</v>
      </c>
      <c r="D21" s="5" t="s">
        <v>7</v>
      </c>
      <c r="E21" s="6">
        <v>33514</v>
      </c>
      <c r="F21" s="5" t="s">
        <v>42</v>
      </c>
      <c r="G21" s="5" t="s">
        <v>797</v>
      </c>
      <c r="H21" s="7">
        <v>34</v>
      </c>
      <c r="I21" s="7">
        <v>19</v>
      </c>
      <c r="J21" s="7">
        <v>19</v>
      </c>
      <c r="K21" s="7">
        <v>10</v>
      </c>
      <c r="L21" s="7">
        <v>10</v>
      </c>
      <c r="M21" s="8">
        <f>IF(COUNTIF(H21:L21,"=0")&gt;=2,0,SUM(H21:L21))</f>
        <v>92</v>
      </c>
    </row>
    <row r="22" spans="1:13" outlineLevel="2" x14ac:dyDescent="0.15">
      <c r="A22" s="4" t="s">
        <v>873</v>
      </c>
      <c r="B22" s="5" t="s">
        <v>40</v>
      </c>
      <c r="C22" s="5" t="s">
        <v>41</v>
      </c>
      <c r="D22" s="5" t="s">
        <v>17</v>
      </c>
      <c r="E22" s="6">
        <v>33239</v>
      </c>
      <c r="F22" s="5" t="s">
        <v>42</v>
      </c>
      <c r="G22" s="5" t="s">
        <v>798</v>
      </c>
      <c r="H22" s="7">
        <v>31</v>
      </c>
      <c r="I22" s="7">
        <v>18</v>
      </c>
      <c r="J22" s="7">
        <v>19</v>
      </c>
      <c r="K22" s="7">
        <v>10</v>
      </c>
      <c r="L22" s="7">
        <v>9</v>
      </c>
      <c r="M22" s="8">
        <f>IF(COUNTIF(H22:L22,"=0")&gt;=2,0,SUM(H22:L22))</f>
        <v>87</v>
      </c>
    </row>
    <row r="23" spans="1:13" outlineLevel="2" x14ac:dyDescent="0.15">
      <c r="A23" s="4" t="s">
        <v>881</v>
      </c>
      <c r="B23" s="5" t="s">
        <v>57</v>
      </c>
      <c r="C23" s="5" t="s">
        <v>58</v>
      </c>
      <c r="D23" s="5" t="s">
        <v>7</v>
      </c>
      <c r="E23" s="6">
        <v>33613</v>
      </c>
      <c r="F23" s="5" t="s">
        <v>42</v>
      </c>
      <c r="G23" s="5" t="s">
        <v>798</v>
      </c>
      <c r="H23" s="7">
        <v>20</v>
      </c>
      <c r="I23" s="7">
        <v>17</v>
      </c>
      <c r="J23" s="7">
        <v>18</v>
      </c>
      <c r="K23" s="7">
        <v>8</v>
      </c>
      <c r="L23" s="7">
        <v>9</v>
      </c>
      <c r="M23" s="8">
        <f>IF(COUNTIF(H23:L23,"=0")&gt;=2,0,SUM(H23:L23))</f>
        <v>72</v>
      </c>
    </row>
    <row r="24" spans="1:13" outlineLevel="2" x14ac:dyDescent="0.15">
      <c r="A24" s="4" t="s">
        <v>884</v>
      </c>
      <c r="B24" s="5" t="s">
        <v>64</v>
      </c>
      <c r="C24" s="5" t="s">
        <v>65</v>
      </c>
      <c r="D24" s="5" t="s">
        <v>17</v>
      </c>
      <c r="E24" s="6">
        <v>33281</v>
      </c>
      <c r="F24" s="5" t="s">
        <v>42</v>
      </c>
      <c r="G24" s="5" t="s">
        <v>798</v>
      </c>
      <c r="H24" s="7">
        <v>25</v>
      </c>
      <c r="I24" s="7">
        <v>18</v>
      </c>
      <c r="J24" s="7">
        <v>15</v>
      </c>
      <c r="K24" s="7">
        <v>10</v>
      </c>
      <c r="L24" s="7">
        <v>5</v>
      </c>
      <c r="M24" s="8">
        <f>IF(COUNTIF(H24:L24,"=0")&gt;=2,0,SUM(H24:L24))</f>
        <v>73</v>
      </c>
    </row>
    <row r="25" spans="1:13" outlineLevel="2" x14ac:dyDescent="0.15">
      <c r="A25" s="4" t="s">
        <v>905</v>
      </c>
      <c r="B25" s="5" t="s">
        <v>106</v>
      </c>
      <c r="C25" s="5" t="s">
        <v>107</v>
      </c>
      <c r="D25" s="5" t="s">
        <v>17</v>
      </c>
      <c r="E25" s="6">
        <v>33551</v>
      </c>
      <c r="F25" s="5" t="s">
        <v>42</v>
      </c>
      <c r="G25" s="5" t="s">
        <v>798</v>
      </c>
      <c r="H25" s="7">
        <v>28</v>
      </c>
      <c r="I25" s="7">
        <v>15</v>
      </c>
      <c r="J25" s="7">
        <v>17</v>
      </c>
      <c r="K25" s="7">
        <v>3</v>
      </c>
      <c r="L25" s="7">
        <v>1</v>
      </c>
      <c r="M25" s="8">
        <f>IF(COUNTIF(H25:L25,"=0")&gt;=2,0,SUM(H25:L25))</f>
        <v>64</v>
      </c>
    </row>
    <row r="26" spans="1:13" outlineLevel="2" x14ac:dyDescent="0.15">
      <c r="A26" s="4" t="s">
        <v>918</v>
      </c>
      <c r="B26" s="5" t="s">
        <v>132</v>
      </c>
      <c r="C26" s="5" t="s">
        <v>133</v>
      </c>
      <c r="D26" s="5" t="s">
        <v>17</v>
      </c>
      <c r="E26" s="6">
        <v>33292</v>
      </c>
      <c r="F26" s="5" t="s">
        <v>42</v>
      </c>
      <c r="G26" s="5" t="s">
        <v>799</v>
      </c>
      <c r="H26" s="7">
        <v>23</v>
      </c>
      <c r="I26" s="7">
        <v>15</v>
      </c>
      <c r="J26" s="7">
        <v>19</v>
      </c>
      <c r="K26" s="7">
        <v>6</v>
      </c>
      <c r="L26" s="7">
        <v>9</v>
      </c>
      <c r="M26" s="8">
        <f>IF(COUNTIF(H26:L26,"=0")&gt;=2,0,SUM(H26:L26))</f>
        <v>72</v>
      </c>
    </row>
    <row r="27" spans="1:13" outlineLevel="2" x14ac:dyDescent="0.15">
      <c r="A27" s="4" t="s">
        <v>942</v>
      </c>
      <c r="B27" s="5" t="s">
        <v>180</v>
      </c>
      <c r="C27" s="5" t="s">
        <v>181</v>
      </c>
      <c r="D27" s="5" t="s">
        <v>17</v>
      </c>
      <c r="E27" s="6">
        <v>33514</v>
      </c>
      <c r="F27" s="5" t="s">
        <v>42</v>
      </c>
      <c r="G27" s="5" t="s">
        <v>800</v>
      </c>
      <c r="H27" s="7">
        <v>15</v>
      </c>
      <c r="I27" s="7">
        <v>11</v>
      </c>
      <c r="J27" s="7">
        <v>7</v>
      </c>
      <c r="K27" s="7">
        <v>0</v>
      </c>
      <c r="L27" s="7">
        <v>0</v>
      </c>
      <c r="M27" s="8">
        <f>IF(COUNTIF(H27:L27,"=0")&gt;=2,0,SUM(H27:L27))</f>
        <v>0</v>
      </c>
    </row>
    <row r="28" spans="1:13" outlineLevel="2" x14ac:dyDescent="0.15">
      <c r="A28" s="4" t="s">
        <v>952</v>
      </c>
      <c r="B28" s="5" t="s">
        <v>200</v>
      </c>
      <c r="C28" s="5" t="s">
        <v>201</v>
      </c>
      <c r="D28" s="5" t="s">
        <v>17</v>
      </c>
      <c r="E28" s="6">
        <v>33436</v>
      </c>
      <c r="F28" s="5" t="s">
        <v>42</v>
      </c>
      <c r="G28" s="5" t="s">
        <v>800</v>
      </c>
      <c r="H28" s="7">
        <v>34</v>
      </c>
      <c r="I28" s="7">
        <v>19</v>
      </c>
      <c r="J28" s="7">
        <v>18</v>
      </c>
      <c r="K28" s="7">
        <v>9</v>
      </c>
      <c r="L28" s="7">
        <v>10</v>
      </c>
      <c r="M28" s="8">
        <f>IF(COUNTIF(H28:L28,"=0")&gt;=2,0,SUM(H28:L28))</f>
        <v>90</v>
      </c>
    </row>
    <row r="29" spans="1:13" outlineLevel="2" x14ac:dyDescent="0.15">
      <c r="A29" s="4" t="s">
        <v>969</v>
      </c>
      <c r="B29" s="5" t="s">
        <v>234</v>
      </c>
      <c r="C29" s="5" t="s">
        <v>235</v>
      </c>
      <c r="D29" s="5" t="s">
        <v>17</v>
      </c>
      <c r="E29" s="6">
        <v>33550</v>
      </c>
      <c r="F29" s="5" t="s">
        <v>42</v>
      </c>
      <c r="G29" s="5" t="s">
        <v>801</v>
      </c>
      <c r="H29" s="7">
        <v>28</v>
      </c>
      <c r="I29" s="7">
        <v>19</v>
      </c>
      <c r="J29" s="7">
        <v>4</v>
      </c>
      <c r="K29" s="7">
        <v>0</v>
      </c>
      <c r="L29" s="7">
        <v>0</v>
      </c>
      <c r="M29" s="8">
        <f>IF(COUNTIF(H29:L29,"=0")&gt;=2,0,SUM(H29:L29))</f>
        <v>0</v>
      </c>
    </row>
    <row r="30" spans="1:13" outlineLevel="2" x14ac:dyDescent="0.15">
      <c r="A30" s="4" t="s">
        <v>984</v>
      </c>
      <c r="B30" s="5" t="s">
        <v>264</v>
      </c>
      <c r="C30" s="5" t="s">
        <v>265</v>
      </c>
      <c r="D30" s="5" t="s">
        <v>7</v>
      </c>
      <c r="E30" s="6">
        <v>33548</v>
      </c>
      <c r="F30" s="5" t="s">
        <v>42</v>
      </c>
      <c r="G30" s="5" t="s">
        <v>801</v>
      </c>
      <c r="H30" s="7">
        <v>35</v>
      </c>
      <c r="I30" s="7">
        <v>20</v>
      </c>
      <c r="J30" s="7">
        <v>18</v>
      </c>
      <c r="K30" s="7">
        <v>10</v>
      </c>
      <c r="L30" s="7">
        <v>9</v>
      </c>
      <c r="M30" s="8">
        <f>IF(COUNTIF(H30:L30,"=0")&gt;=2,0,SUM(H30:L30))</f>
        <v>92</v>
      </c>
    </row>
    <row r="31" spans="1:13" outlineLevel="2" x14ac:dyDescent="0.15">
      <c r="A31" s="4" t="s">
        <v>1005</v>
      </c>
      <c r="B31" s="5" t="s">
        <v>306</v>
      </c>
      <c r="C31" s="5" t="s">
        <v>307</v>
      </c>
      <c r="D31" s="5" t="s">
        <v>7</v>
      </c>
      <c r="E31" s="6">
        <v>33291</v>
      </c>
      <c r="F31" s="5" t="s">
        <v>42</v>
      </c>
      <c r="G31" s="5" t="s">
        <v>801</v>
      </c>
      <c r="H31" s="7">
        <v>30</v>
      </c>
      <c r="I31" s="7">
        <v>19</v>
      </c>
      <c r="J31" s="7">
        <v>18</v>
      </c>
      <c r="K31" s="7">
        <v>8</v>
      </c>
      <c r="L31" s="7">
        <v>9</v>
      </c>
      <c r="M31" s="8">
        <f>IF(COUNTIF(H31:L31,"=0")&gt;=2,0,SUM(H31:L31))</f>
        <v>84</v>
      </c>
    </row>
    <row r="32" spans="1:13" outlineLevel="2" x14ac:dyDescent="0.15">
      <c r="A32" s="4" t="s">
        <v>1030</v>
      </c>
      <c r="B32" s="5" t="s">
        <v>356</v>
      </c>
      <c r="C32" s="5" t="s">
        <v>357</v>
      </c>
      <c r="D32" s="5" t="s">
        <v>17</v>
      </c>
      <c r="E32" s="6">
        <v>33383</v>
      </c>
      <c r="F32" s="5" t="s">
        <v>42</v>
      </c>
      <c r="G32" s="5" t="s">
        <v>802</v>
      </c>
      <c r="H32" s="7">
        <v>15</v>
      </c>
      <c r="I32" s="7">
        <v>12</v>
      </c>
      <c r="J32" s="7">
        <v>0</v>
      </c>
      <c r="K32" s="7">
        <v>0</v>
      </c>
      <c r="L32" s="7">
        <v>0</v>
      </c>
      <c r="M32" s="8">
        <f>IF(COUNTIF(H32:L32,"=0")&gt;=2,0,SUM(H32:L32))</f>
        <v>0</v>
      </c>
    </row>
    <row r="33" spans="1:13" outlineLevel="2" x14ac:dyDescent="0.15">
      <c r="A33" s="4" t="s">
        <v>1048</v>
      </c>
      <c r="B33" s="5" t="s">
        <v>392</v>
      </c>
      <c r="C33" s="5" t="s">
        <v>393</v>
      </c>
      <c r="D33" s="5" t="s">
        <v>7</v>
      </c>
      <c r="E33" s="6">
        <v>33517</v>
      </c>
      <c r="F33" s="5" t="s">
        <v>42</v>
      </c>
      <c r="G33" s="5" t="s">
        <v>803</v>
      </c>
      <c r="H33" s="7">
        <v>19</v>
      </c>
      <c r="I33" s="7">
        <v>16</v>
      </c>
      <c r="J33" s="7">
        <v>18</v>
      </c>
      <c r="K33" s="7">
        <v>9</v>
      </c>
      <c r="L33" s="7">
        <v>1</v>
      </c>
      <c r="M33" s="8">
        <f>IF(COUNTIF(H33:L33,"=0")&gt;=2,0,SUM(H33:L33))</f>
        <v>63</v>
      </c>
    </row>
    <row r="34" spans="1:13" outlineLevel="2" x14ac:dyDescent="0.15">
      <c r="A34" s="4" t="s">
        <v>1087</v>
      </c>
      <c r="B34" s="5" t="s">
        <v>554</v>
      </c>
      <c r="C34" s="5" t="s">
        <v>555</v>
      </c>
      <c r="D34" s="5" t="s">
        <v>7</v>
      </c>
      <c r="E34" s="6">
        <v>33294</v>
      </c>
      <c r="F34" s="5" t="s">
        <v>42</v>
      </c>
      <c r="G34" s="5" t="s">
        <v>804</v>
      </c>
      <c r="H34" s="7">
        <v>32</v>
      </c>
      <c r="I34" s="7">
        <v>20</v>
      </c>
      <c r="J34" s="7">
        <v>20</v>
      </c>
      <c r="K34" s="7">
        <v>10</v>
      </c>
      <c r="L34" s="7">
        <v>10</v>
      </c>
      <c r="M34" s="8">
        <f>IF(COUNTIF(H34:L34,"=0")&gt;=2,0,SUM(H34:L34))</f>
        <v>92</v>
      </c>
    </row>
    <row r="35" spans="1:13" outlineLevel="2" x14ac:dyDescent="0.15">
      <c r="A35" s="4" t="s">
        <v>1121</v>
      </c>
      <c r="B35" s="5" t="s">
        <v>622</v>
      </c>
      <c r="C35" s="5" t="s">
        <v>623</v>
      </c>
      <c r="D35" s="5" t="s">
        <v>17</v>
      </c>
      <c r="E35" s="6">
        <v>33272</v>
      </c>
      <c r="F35" s="5" t="s">
        <v>42</v>
      </c>
      <c r="G35" s="5" t="s">
        <v>804</v>
      </c>
      <c r="H35" s="7">
        <v>11</v>
      </c>
      <c r="I35" s="7">
        <v>19</v>
      </c>
      <c r="J35" s="7">
        <v>19</v>
      </c>
      <c r="K35" s="7">
        <v>6</v>
      </c>
      <c r="L35" s="7">
        <v>0</v>
      </c>
      <c r="M35" s="8">
        <f>IF(COUNTIF(H35:L35,"=0")&gt;=2,0,SUM(H35:L35))</f>
        <v>55</v>
      </c>
    </row>
    <row r="36" spans="1:13" outlineLevel="2" x14ac:dyDescent="0.15">
      <c r="A36" s="4" t="s">
        <v>1147</v>
      </c>
      <c r="B36" s="5" t="s">
        <v>673</v>
      </c>
      <c r="C36" s="5" t="s">
        <v>674</v>
      </c>
      <c r="D36" s="5" t="s">
        <v>7</v>
      </c>
      <c r="E36" s="6">
        <v>33260</v>
      </c>
      <c r="F36" s="5" t="s">
        <v>42</v>
      </c>
      <c r="G36" s="5" t="s">
        <v>805</v>
      </c>
      <c r="H36" s="7">
        <v>28</v>
      </c>
      <c r="I36" s="7">
        <v>17</v>
      </c>
      <c r="J36" s="7">
        <v>18</v>
      </c>
      <c r="K36" s="7">
        <v>8</v>
      </c>
      <c r="L36" s="7">
        <v>0</v>
      </c>
      <c r="M36" s="8">
        <f>IF(COUNTIF(H36:L36,"=0")&gt;=2,0,SUM(H36:L36))</f>
        <v>71</v>
      </c>
    </row>
    <row r="37" spans="1:13" outlineLevel="2" x14ac:dyDescent="0.15">
      <c r="A37" s="4" t="s">
        <v>1175</v>
      </c>
      <c r="B37" s="5" t="s">
        <v>728</v>
      </c>
      <c r="C37" s="5" t="s">
        <v>729</v>
      </c>
      <c r="D37" s="5" t="s">
        <v>7</v>
      </c>
      <c r="E37" s="6">
        <v>33496</v>
      </c>
      <c r="F37" s="5" t="s">
        <v>42</v>
      </c>
      <c r="G37" s="5" t="s">
        <v>806</v>
      </c>
      <c r="H37" s="7">
        <v>24</v>
      </c>
      <c r="I37" s="7">
        <v>16</v>
      </c>
      <c r="J37" s="7">
        <v>17</v>
      </c>
      <c r="K37" s="7">
        <v>8</v>
      </c>
      <c r="L37" s="7">
        <v>9</v>
      </c>
      <c r="M37" s="8">
        <f>IF(COUNTIF(H37:L37,"=0")&gt;=2,0,SUM(H37:L37))</f>
        <v>74</v>
      </c>
    </row>
    <row r="38" spans="1:13" outlineLevel="2" x14ac:dyDescent="0.15">
      <c r="A38" s="4" t="s">
        <v>1199</v>
      </c>
      <c r="B38" s="5" t="s">
        <v>776</v>
      </c>
      <c r="C38" s="5" t="s">
        <v>777</v>
      </c>
      <c r="D38" s="5" t="s">
        <v>7</v>
      </c>
      <c r="E38" s="6">
        <v>33284</v>
      </c>
      <c r="F38" s="5" t="s">
        <v>42</v>
      </c>
      <c r="G38" s="5" t="s">
        <v>806</v>
      </c>
      <c r="H38" s="7">
        <v>32</v>
      </c>
      <c r="I38" s="7">
        <v>19</v>
      </c>
      <c r="J38" s="7">
        <v>20</v>
      </c>
      <c r="K38" s="7">
        <v>8</v>
      </c>
      <c r="L38" s="7">
        <v>9</v>
      </c>
      <c r="M38" s="8">
        <f>IF(COUNTIF(H38:L38,"=0")&gt;=2,0,SUM(H38:L38))</f>
        <v>88</v>
      </c>
    </row>
    <row r="39" spans="1:13" ht="22.5" outlineLevel="1" x14ac:dyDescent="0.15">
      <c r="A39" s="4"/>
      <c r="B39" s="5"/>
      <c r="C39" s="5"/>
      <c r="D39" s="5"/>
      <c r="E39" s="6"/>
      <c r="F39" s="9" t="s">
        <v>1211</v>
      </c>
      <c r="G39" s="5"/>
      <c r="H39" s="7"/>
      <c r="I39" s="7"/>
      <c r="J39" s="7"/>
      <c r="K39" s="7"/>
      <c r="L39" s="7"/>
      <c r="M39" s="8">
        <f>SUBTOTAL(1,M21:M38)</f>
        <v>64.944444444444443</v>
      </c>
    </row>
    <row r="40" spans="1:13" outlineLevel="2" x14ac:dyDescent="0.15">
      <c r="A40" s="4" t="s">
        <v>817</v>
      </c>
      <c r="B40" s="5" t="s">
        <v>12</v>
      </c>
      <c r="C40" s="5" t="s">
        <v>13</v>
      </c>
      <c r="D40" s="5" t="s">
        <v>7</v>
      </c>
      <c r="E40" s="6">
        <v>33574</v>
      </c>
      <c r="F40" s="5" t="s">
        <v>14</v>
      </c>
      <c r="G40" s="5" t="s">
        <v>797</v>
      </c>
      <c r="H40" s="7">
        <v>35</v>
      </c>
      <c r="I40" s="7">
        <v>20</v>
      </c>
      <c r="J40" s="7">
        <v>17</v>
      </c>
      <c r="K40" s="7">
        <v>7</v>
      </c>
      <c r="L40" s="7">
        <v>9</v>
      </c>
      <c r="M40" s="8">
        <f>IF(COUNTIF(H40:L40,"=0")&gt;=2,0,SUM(H40:L40))</f>
        <v>88</v>
      </c>
    </row>
    <row r="41" spans="1:13" outlineLevel="2" x14ac:dyDescent="0.15">
      <c r="A41" s="4" t="s">
        <v>818</v>
      </c>
      <c r="B41" s="5" t="s">
        <v>15</v>
      </c>
      <c r="C41" s="5" t="s">
        <v>16</v>
      </c>
      <c r="D41" s="5" t="s">
        <v>17</v>
      </c>
      <c r="E41" s="6">
        <v>33514</v>
      </c>
      <c r="F41" s="5" t="s">
        <v>14</v>
      </c>
      <c r="G41" s="5" t="s">
        <v>797</v>
      </c>
      <c r="H41" s="7">
        <v>29</v>
      </c>
      <c r="I41" s="7">
        <v>19</v>
      </c>
      <c r="J41" s="7">
        <v>19</v>
      </c>
      <c r="K41" s="7">
        <v>10</v>
      </c>
      <c r="L41" s="7">
        <v>9</v>
      </c>
      <c r="M41" s="8">
        <f>IF(COUNTIF(H41:L41,"=0")&gt;=2,0,SUM(H41:L41))</f>
        <v>86</v>
      </c>
    </row>
    <row r="42" spans="1:13" outlineLevel="2" x14ac:dyDescent="0.15">
      <c r="A42" s="4" t="s">
        <v>819</v>
      </c>
      <c r="B42" s="5" t="s">
        <v>18</v>
      </c>
      <c r="C42" s="5" t="s">
        <v>19</v>
      </c>
      <c r="D42" s="5" t="s">
        <v>7</v>
      </c>
      <c r="E42" s="6">
        <v>33314</v>
      </c>
      <c r="F42" s="5" t="s">
        <v>14</v>
      </c>
      <c r="G42" s="5" t="s">
        <v>797</v>
      </c>
      <c r="H42" s="7">
        <v>24</v>
      </c>
      <c r="I42" s="7">
        <v>18</v>
      </c>
      <c r="J42" s="7">
        <v>14</v>
      </c>
      <c r="K42" s="7">
        <v>7</v>
      </c>
      <c r="L42" s="7">
        <v>9</v>
      </c>
      <c r="M42" s="8">
        <f>IF(COUNTIF(H42:L42,"=0")&gt;=2,0,SUM(H42:L42))</f>
        <v>72</v>
      </c>
    </row>
    <row r="43" spans="1:13" outlineLevel="2" x14ac:dyDescent="0.15">
      <c r="A43" s="4" t="s">
        <v>820</v>
      </c>
      <c r="B43" s="5" t="s">
        <v>20</v>
      </c>
      <c r="C43" s="5" t="s">
        <v>21</v>
      </c>
      <c r="D43" s="5" t="s">
        <v>7</v>
      </c>
      <c r="E43" s="6">
        <v>33430</v>
      </c>
      <c r="F43" s="5" t="s">
        <v>14</v>
      </c>
      <c r="G43" s="5" t="s">
        <v>797</v>
      </c>
      <c r="H43" s="7">
        <v>20</v>
      </c>
      <c r="I43" s="7">
        <v>20</v>
      </c>
      <c r="J43" s="7">
        <v>16</v>
      </c>
      <c r="K43" s="7">
        <v>10</v>
      </c>
      <c r="L43" s="7">
        <v>9</v>
      </c>
      <c r="M43" s="8">
        <f>IF(COUNTIF(H43:L43,"=0")&gt;=2,0,SUM(H43:L43))</f>
        <v>75</v>
      </c>
    </row>
    <row r="44" spans="1:13" outlineLevel="2" x14ac:dyDescent="0.15">
      <c r="A44" s="4" t="s">
        <v>821</v>
      </c>
      <c r="B44" s="5" t="s">
        <v>22</v>
      </c>
      <c r="C44" s="5" t="s">
        <v>23</v>
      </c>
      <c r="D44" s="5" t="s">
        <v>17</v>
      </c>
      <c r="E44" s="6">
        <v>33286</v>
      </c>
      <c r="F44" s="5" t="s">
        <v>14</v>
      </c>
      <c r="G44" s="5" t="s">
        <v>797</v>
      </c>
      <c r="H44" s="7">
        <v>22</v>
      </c>
      <c r="I44" s="7">
        <v>18</v>
      </c>
      <c r="J44" s="7">
        <v>16</v>
      </c>
      <c r="K44" s="7">
        <v>10</v>
      </c>
      <c r="L44" s="7">
        <v>9</v>
      </c>
      <c r="M44" s="8">
        <f>IF(COUNTIF(H44:L44,"=0")&gt;=2,0,SUM(H44:L44))</f>
        <v>75</v>
      </c>
    </row>
    <row r="45" spans="1:13" outlineLevel="2" x14ac:dyDescent="0.15">
      <c r="A45" s="4" t="s">
        <v>823</v>
      </c>
      <c r="B45" s="5" t="s">
        <v>26</v>
      </c>
      <c r="C45" s="5" t="s">
        <v>27</v>
      </c>
      <c r="D45" s="5" t="s">
        <v>17</v>
      </c>
      <c r="E45" s="6">
        <v>33287</v>
      </c>
      <c r="F45" s="5" t="s">
        <v>14</v>
      </c>
      <c r="G45" s="5" t="s">
        <v>797</v>
      </c>
      <c r="H45" s="7">
        <v>26</v>
      </c>
      <c r="I45" s="7">
        <v>18</v>
      </c>
      <c r="J45" s="7">
        <v>18</v>
      </c>
      <c r="K45" s="7">
        <v>10</v>
      </c>
      <c r="L45" s="7">
        <v>9</v>
      </c>
      <c r="M45" s="8">
        <f>IF(COUNTIF(H45:L45,"=0")&gt;=2,0,SUM(H45:L45))</f>
        <v>81</v>
      </c>
    </row>
    <row r="46" spans="1:13" outlineLevel="2" x14ac:dyDescent="0.15">
      <c r="A46" s="4" t="s">
        <v>824</v>
      </c>
      <c r="B46" s="5" t="s">
        <v>28</v>
      </c>
      <c r="C46" s="5" t="s">
        <v>29</v>
      </c>
      <c r="D46" s="5" t="s">
        <v>17</v>
      </c>
      <c r="E46" s="6">
        <v>33283</v>
      </c>
      <c r="F46" s="5" t="s">
        <v>14</v>
      </c>
      <c r="G46" s="5" t="s">
        <v>797</v>
      </c>
      <c r="H46" s="7">
        <v>26</v>
      </c>
      <c r="I46" s="7">
        <v>20</v>
      </c>
      <c r="J46" s="7">
        <v>16</v>
      </c>
      <c r="K46" s="7">
        <v>9</v>
      </c>
      <c r="L46" s="7">
        <v>9</v>
      </c>
      <c r="M46" s="8">
        <f>IF(COUNTIF(H46:L46,"=0")&gt;=2,0,SUM(H46:L46))</f>
        <v>80</v>
      </c>
    </row>
    <row r="47" spans="1:13" outlineLevel="2" x14ac:dyDescent="0.15">
      <c r="A47" s="4" t="s">
        <v>825</v>
      </c>
      <c r="B47" s="5" t="s">
        <v>30</v>
      </c>
      <c r="C47" s="5" t="s">
        <v>31</v>
      </c>
      <c r="D47" s="5" t="s">
        <v>7</v>
      </c>
      <c r="E47" s="6">
        <v>33431</v>
      </c>
      <c r="F47" s="5" t="s">
        <v>14</v>
      </c>
      <c r="G47" s="5" t="s">
        <v>797</v>
      </c>
      <c r="H47" s="7">
        <v>33</v>
      </c>
      <c r="I47" s="7">
        <v>20</v>
      </c>
      <c r="J47" s="7">
        <v>19</v>
      </c>
      <c r="K47" s="7">
        <v>10</v>
      </c>
      <c r="L47" s="7">
        <v>9</v>
      </c>
      <c r="M47" s="8">
        <f>IF(COUNTIF(H47:L47,"=0")&gt;=2,0,SUM(H47:L47))</f>
        <v>91</v>
      </c>
    </row>
    <row r="48" spans="1:13" outlineLevel="2" x14ac:dyDescent="0.15">
      <c r="A48" s="4" t="s">
        <v>826</v>
      </c>
      <c r="B48" s="5" t="s">
        <v>32</v>
      </c>
      <c r="C48" s="5" t="s">
        <v>33</v>
      </c>
      <c r="D48" s="5" t="s">
        <v>7</v>
      </c>
      <c r="E48" s="6">
        <v>33251</v>
      </c>
      <c r="F48" s="5" t="s">
        <v>14</v>
      </c>
      <c r="G48" s="5" t="s">
        <v>797</v>
      </c>
      <c r="H48" s="7">
        <v>24</v>
      </c>
      <c r="I48" s="7">
        <v>20</v>
      </c>
      <c r="J48" s="7">
        <v>20</v>
      </c>
      <c r="K48" s="7">
        <v>10</v>
      </c>
      <c r="L48" s="7">
        <v>9</v>
      </c>
      <c r="M48" s="8">
        <f>IF(COUNTIF(H48:L48,"=0")&gt;=2,0,SUM(H48:L48))</f>
        <v>83</v>
      </c>
    </row>
    <row r="49" spans="1:13" outlineLevel="2" x14ac:dyDescent="0.15">
      <c r="A49" s="4" t="s">
        <v>828</v>
      </c>
      <c r="B49" s="5" t="s">
        <v>462</v>
      </c>
      <c r="C49" s="5" t="s">
        <v>463</v>
      </c>
      <c r="D49" s="5" t="s">
        <v>7</v>
      </c>
      <c r="E49" s="6">
        <v>33349</v>
      </c>
      <c r="F49" s="5" t="s">
        <v>14</v>
      </c>
      <c r="G49" s="5" t="s">
        <v>797</v>
      </c>
      <c r="H49" s="7">
        <v>31</v>
      </c>
      <c r="I49" s="7">
        <v>9</v>
      </c>
      <c r="J49" s="7">
        <v>0</v>
      </c>
      <c r="K49" s="7">
        <v>4</v>
      </c>
      <c r="L49" s="7">
        <v>8</v>
      </c>
      <c r="M49" s="8">
        <f>IF(COUNTIF(H49:L49,"=0")&gt;=2,0,SUM(H49:L49))</f>
        <v>52</v>
      </c>
    </row>
    <row r="50" spans="1:13" outlineLevel="2" x14ac:dyDescent="0.15">
      <c r="A50" s="4" t="s">
        <v>829</v>
      </c>
      <c r="B50" s="5" t="s">
        <v>464</v>
      </c>
      <c r="C50" s="5" t="s">
        <v>465</v>
      </c>
      <c r="D50" s="5" t="s">
        <v>7</v>
      </c>
      <c r="E50" s="6">
        <v>33402</v>
      </c>
      <c r="F50" s="5" t="s">
        <v>14</v>
      </c>
      <c r="G50" s="5" t="s">
        <v>797</v>
      </c>
      <c r="H50" s="7">
        <v>32</v>
      </c>
      <c r="I50" s="7">
        <v>20</v>
      </c>
      <c r="J50" s="7">
        <v>18</v>
      </c>
      <c r="K50" s="7">
        <v>10</v>
      </c>
      <c r="L50" s="7">
        <v>10</v>
      </c>
      <c r="M50" s="8">
        <f>IF(COUNTIF(H50:L50,"=0")&gt;=2,0,SUM(H50:L50))</f>
        <v>90</v>
      </c>
    </row>
    <row r="51" spans="1:13" outlineLevel="2" x14ac:dyDescent="0.15">
      <c r="A51" s="4" t="s">
        <v>830</v>
      </c>
      <c r="B51" s="5" t="s">
        <v>466</v>
      </c>
      <c r="C51" s="5" t="s">
        <v>467</v>
      </c>
      <c r="D51" s="5" t="s">
        <v>7</v>
      </c>
      <c r="E51" s="6">
        <v>33557</v>
      </c>
      <c r="F51" s="5" t="s">
        <v>14</v>
      </c>
      <c r="G51" s="5" t="s">
        <v>797</v>
      </c>
      <c r="H51" s="7">
        <v>33</v>
      </c>
      <c r="I51" s="7">
        <v>18</v>
      </c>
      <c r="J51" s="7">
        <v>10</v>
      </c>
      <c r="K51" s="7">
        <v>10</v>
      </c>
      <c r="L51" s="7">
        <v>10</v>
      </c>
      <c r="M51" s="8">
        <f>IF(COUNTIF(H51:L51,"=0")&gt;=2,0,SUM(H51:L51))</f>
        <v>81</v>
      </c>
    </row>
    <row r="52" spans="1:13" outlineLevel="2" x14ac:dyDescent="0.15">
      <c r="A52" s="4" t="s">
        <v>831</v>
      </c>
      <c r="B52" s="5" t="s">
        <v>468</v>
      </c>
      <c r="C52" s="5" t="s">
        <v>469</v>
      </c>
      <c r="D52" s="5" t="s">
        <v>7</v>
      </c>
      <c r="E52" s="6">
        <v>33524</v>
      </c>
      <c r="F52" s="5" t="s">
        <v>14</v>
      </c>
      <c r="G52" s="5" t="s">
        <v>797</v>
      </c>
      <c r="H52" s="7">
        <v>31</v>
      </c>
      <c r="I52" s="7">
        <v>18</v>
      </c>
      <c r="J52" s="7">
        <v>19</v>
      </c>
      <c r="K52" s="7">
        <v>10</v>
      </c>
      <c r="L52" s="7">
        <v>7</v>
      </c>
      <c r="M52" s="8">
        <f>IF(COUNTIF(H52:L52,"=0")&gt;=2,0,SUM(H52:L52))</f>
        <v>85</v>
      </c>
    </row>
    <row r="53" spans="1:13" outlineLevel="2" x14ac:dyDescent="0.15">
      <c r="A53" s="4" t="s">
        <v>832</v>
      </c>
      <c r="B53" s="5" t="s">
        <v>470</v>
      </c>
      <c r="C53" s="5" t="s">
        <v>471</v>
      </c>
      <c r="D53" s="5" t="s">
        <v>17</v>
      </c>
      <c r="E53" s="6">
        <v>33286</v>
      </c>
      <c r="F53" s="5" t="s">
        <v>14</v>
      </c>
      <c r="G53" s="5" t="s">
        <v>797</v>
      </c>
      <c r="H53" s="7">
        <v>27</v>
      </c>
      <c r="I53" s="7">
        <v>18</v>
      </c>
      <c r="J53" s="7">
        <v>20</v>
      </c>
      <c r="K53" s="7">
        <v>10</v>
      </c>
      <c r="L53" s="7">
        <v>9</v>
      </c>
      <c r="M53" s="8">
        <f>IF(COUNTIF(H53:L53,"=0")&gt;=2,0,SUM(H53:L53))</f>
        <v>84</v>
      </c>
    </row>
    <row r="54" spans="1:13" outlineLevel="2" x14ac:dyDescent="0.15">
      <c r="A54" s="4" t="s">
        <v>835</v>
      </c>
      <c r="B54" s="5" t="s">
        <v>476</v>
      </c>
      <c r="C54" s="5" t="s">
        <v>477</v>
      </c>
      <c r="D54" s="5" t="s">
        <v>7</v>
      </c>
      <c r="E54" s="6">
        <v>33528</v>
      </c>
      <c r="F54" s="5" t="s">
        <v>14</v>
      </c>
      <c r="G54" s="5" t="s">
        <v>797</v>
      </c>
      <c r="H54" s="7">
        <v>30</v>
      </c>
      <c r="I54" s="7">
        <v>18</v>
      </c>
      <c r="J54" s="7">
        <v>20</v>
      </c>
      <c r="K54" s="7">
        <v>10</v>
      </c>
      <c r="L54" s="7">
        <v>9</v>
      </c>
      <c r="M54" s="8">
        <f>IF(COUNTIF(H54:L54,"=0")&gt;=2,0,SUM(H54:L54))</f>
        <v>87</v>
      </c>
    </row>
    <row r="55" spans="1:13" outlineLevel="2" x14ac:dyDescent="0.15">
      <c r="A55" s="4" t="s">
        <v>836</v>
      </c>
      <c r="B55" s="5" t="s">
        <v>478</v>
      </c>
      <c r="C55" s="5" t="s">
        <v>479</v>
      </c>
      <c r="D55" s="5" t="s">
        <v>17</v>
      </c>
      <c r="E55" s="6">
        <v>33563</v>
      </c>
      <c r="F55" s="5" t="s">
        <v>14</v>
      </c>
      <c r="G55" s="5" t="s">
        <v>797</v>
      </c>
      <c r="H55" s="7">
        <v>32</v>
      </c>
      <c r="I55" s="7">
        <v>19</v>
      </c>
      <c r="J55" s="7">
        <v>20</v>
      </c>
      <c r="K55" s="7">
        <v>10</v>
      </c>
      <c r="L55" s="7">
        <v>9</v>
      </c>
      <c r="M55" s="8">
        <f>IF(COUNTIF(H55:L55,"=0")&gt;=2,0,SUM(H55:L55))</f>
        <v>90</v>
      </c>
    </row>
    <row r="56" spans="1:13" outlineLevel="2" x14ac:dyDescent="0.15">
      <c r="A56" s="4" t="s">
        <v>837</v>
      </c>
      <c r="B56" s="5" t="s">
        <v>480</v>
      </c>
      <c r="C56" s="5" t="s">
        <v>481</v>
      </c>
      <c r="D56" s="5" t="s">
        <v>7</v>
      </c>
      <c r="E56" s="6">
        <v>33514</v>
      </c>
      <c r="F56" s="5" t="s">
        <v>14</v>
      </c>
      <c r="G56" s="5" t="s">
        <v>797</v>
      </c>
      <c r="H56" s="7">
        <v>22</v>
      </c>
      <c r="I56" s="7">
        <v>20</v>
      </c>
      <c r="J56" s="7">
        <v>19</v>
      </c>
      <c r="K56" s="7">
        <v>7</v>
      </c>
      <c r="L56" s="7">
        <v>9</v>
      </c>
      <c r="M56" s="8">
        <f>IF(COUNTIF(H56:L56,"=0")&gt;=2,0,SUM(H56:L56))</f>
        <v>77</v>
      </c>
    </row>
    <row r="57" spans="1:13" outlineLevel="2" x14ac:dyDescent="0.15">
      <c r="A57" s="4" t="s">
        <v>838</v>
      </c>
      <c r="B57" s="5" t="s">
        <v>482</v>
      </c>
      <c r="C57" s="5" t="s">
        <v>483</v>
      </c>
      <c r="D57" s="5" t="s">
        <v>7</v>
      </c>
      <c r="E57" s="6">
        <v>33543</v>
      </c>
      <c r="F57" s="5" t="s">
        <v>14</v>
      </c>
      <c r="G57" s="5" t="s">
        <v>797</v>
      </c>
      <c r="H57" s="7">
        <v>32</v>
      </c>
      <c r="I57" s="7">
        <v>17</v>
      </c>
      <c r="J57" s="7">
        <v>17</v>
      </c>
      <c r="K57" s="7">
        <v>10</v>
      </c>
      <c r="L57" s="7">
        <v>7</v>
      </c>
      <c r="M57" s="8">
        <f>IF(COUNTIF(H57:L57,"=0")&gt;=2,0,SUM(H57:L57))</f>
        <v>83</v>
      </c>
    </row>
    <row r="58" spans="1:13" outlineLevel="2" x14ac:dyDescent="0.15">
      <c r="A58" s="4" t="s">
        <v>839</v>
      </c>
      <c r="B58" s="5" t="s">
        <v>484</v>
      </c>
      <c r="C58" s="5" t="s">
        <v>485</v>
      </c>
      <c r="D58" s="5" t="s">
        <v>17</v>
      </c>
      <c r="E58" s="6">
        <v>33391</v>
      </c>
      <c r="F58" s="5" t="s">
        <v>14</v>
      </c>
      <c r="G58" s="5" t="s">
        <v>797</v>
      </c>
      <c r="H58" s="7">
        <v>34</v>
      </c>
      <c r="I58" s="7">
        <v>19</v>
      </c>
      <c r="J58" s="7">
        <v>18</v>
      </c>
      <c r="K58" s="7">
        <v>10</v>
      </c>
      <c r="L58" s="7">
        <v>8</v>
      </c>
      <c r="M58" s="8">
        <f>IF(COUNTIF(H58:L58,"=0")&gt;=2,0,SUM(H58:L58))</f>
        <v>89</v>
      </c>
    </row>
    <row r="59" spans="1:13" outlineLevel="2" x14ac:dyDescent="0.15">
      <c r="A59" s="4" t="s">
        <v>842</v>
      </c>
      <c r="B59" s="5" t="s">
        <v>490</v>
      </c>
      <c r="C59" s="5" t="s">
        <v>491</v>
      </c>
      <c r="D59" s="5" t="s">
        <v>7</v>
      </c>
      <c r="E59" s="6">
        <v>33366</v>
      </c>
      <c r="F59" s="5" t="s">
        <v>14</v>
      </c>
      <c r="G59" s="5" t="s">
        <v>797</v>
      </c>
      <c r="H59" s="7">
        <v>29</v>
      </c>
      <c r="I59" s="7">
        <v>19</v>
      </c>
      <c r="J59" s="7">
        <v>18</v>
      </c>
      <c r="K59" s="7">
        <v>10</v>
      </c>
      <c r="L59" s="7">
        <v>10</v>
      </c>
      <c r="M59" s="8">
        <f>IF(COUNTIF(H59:L59,"=0")&gt;=2,0,SUM(H59:L59))</f>
        <v>86</v>
      </c>
    </row>
    <row r="60" spans="1:13" outlineLevel="2" x14ac:dyDescent="0.15">
      <c r="A60" s="4" t="s">
        <v>844</v>
      </c>
      <c r="B60" s="5" t="s">
        <v>494</v>
      </c>
      <c r="C60" s="5" t="s">
        <v>495</v>
      </c>
      <c r="D60" s="5" t="s">
        <v>17</v>
      </c>
      <c r="E60" s="6">
        <v>33347</v>
      </c>
      <c r="F60" s="5" t="s">
        <v>14</v>
      </c>
      <c r="G60" s="5" t="s">
        <v>797</v>
      </c>
      <c r="H60" s="7">
        <v>25</v>
      </c>
      <c r="I60" s="7">
        <v>17</v>
      </c>
      <c r="J60" s="7">
        <v>7</v>
      </c>
      <c r="K60" s="7">
        <v>1</v>
      </c>
      <c r="L60" s="7">
        <v>9</v>
      </c>
      <c r="M60" s="8">
        <f>IF(COUNTIF(H60:L60,"=0")&gt;=2,0,SUM(H60:L60))</f>
        <v>59</v>
      </c>
    </row>
    <row r="61" spans="1:13" outlineLevel="2" x14ac:dyDescent="0.15">
      <c r="A61" s="4" t="s">
        <v>845</v>
      </c>
      <c r="B61" s="5" t="s">
        <v>496</v>
      </c>
      <c r="C61" s="5" t="s">
        <v>497</v>
      </c>
      <c r="D61" s="5" t="s">
        <v>7</v>
      </c>
      <c r="E61" s="6">
        <v>33618</v>
      </c>
      <c r="F61" s="5" t="s">
        <v>14</v>
      </c>
      <c r="G61" s="5" t="s">
        <v>797</v>
      </c>
      <c r="H61" s="7">
        <v>31</v>
      </c>
      <c r="I61" s="7">
        <v>15</v>
      </c>
      <c r="J61" s="7">
        <v>20</v>
      </c>
      <c r="K61" s="7">
        <v>4</v>
      </c>
      <c r="L61" s="7">
        <v>6</v>
      </c>
      <c r="M61" s="8">
        <f>IF(COUNTIF(H61:L61,"=0")&gt;=2,0,SUM(H61:L61))</f>
        <v>76</v>
      </c>
    </row>
    <row r="62" spans="1:13" outlineLevel="2" x14ac:dyDescent="0.15">
      <c r="A62" s="4" t="s">
        <v>846</v>
      </c>
      <c r="B62" s="5" t="s">
        <v>498</v>
      </c>
      <c r="C62" s="5" t="s">
        <v>499</v>
      </c>
      <c r="D62" s="5" t="s">
        <v>7</v>
      </c>
      <c r="E62" s="6">
        <v>33516</v>
      </c>
      <c r="F62" s="5" t="s">
        <v>14</v>
      </c>
      <c r="G62" s="5" t="s">
        <v>797</v>
      </c>
      <c r="H62" s="7">
        <v>29</v>
      </c>
      <c r="I62" s="7">
        <v>19</v>
      </c>
      <c r="J62" s="7">
        <v>16</v>
      </c>
      <c r="K62" s="7">
        <v>6</v>
      </c>
      <c r="L62" s="7">
        <v>9</v>
      </c>
      <c r="M62" s="8">
        <f>IF(COUNTIF(H62:L62,"=0")&gt;=2,0,SUM(H62:L62))</f>
        <v>79</v>
      </c>
    </row>
    <row r="63" spans="1:13" outlineLevel="2" x14ac:dyDescent="0.15">
      <c r="A63" s="4" t="s">
        <v>847</v>
      </c>
      <c r="B63" s="5" t="s">
        <v>500</v>
      </c>
      <c r="C63" s="5" t="s">
        <v>501</v>
      </c>
      <c r="D63" s="5" t="s">
        <v>7</v>
      </c>
      <c r="E63" s="6">
        <v>33383</v>
      </c>
      <c r="F63" s="5" t="s">
        <v>14</v>
      </c>
      <c r="G63" s="5" t="s">
        <v>797</v>
      </c>
      <c r="H63" s="7">
        <v>25</v>
      </c>
      <c r="I63" s="7">
        <v>18</v>
      </c>
      <c r="J63" s="7">
        <v>20</v>
      </c>
      <c r="K63" s="7">
        <v>9</v>
      </c>
      <c r="L63" s="7">
        <v>10</v>
      </c>
      <c r="M63" s="8">
        <f>IF(COUNTIF(H63:L63,"=0")&gt;=2,0,SUM(H63:L63))</f>
        <v>82</v>
      </c>
    </row>
    <row r="64" spans="1:13" outlineLevel="2" x14ac:dyDescent="0.15">
      <c r="A64" s="4" t="s">
        <v>848</v>
      </c>
      <c r="B64" s="5" t="s">
        <v>502</v>
      </c>
      <c r="C64" s="5" t="s">
        <v>503</v>
      </c>
      <c r="D64" s="5" t="s">
        <v>17</v>
      </c>
      <c r="E64" s="6">
        <v>33427</v>
      </c>
      <c r="F64" s="5" t="s">
        <v>14</v>
      </c>
      <c r="G64" s="5" t="s">
        <v>797</v>
      </c>
      <c r="H64" s="7">
        <v>33</v>
      </c>
      <c r="I64" s="7">
        <v>19</v>
      </c>
      <c r="J64" s="7">
        <v>15</v>
      </c>
      <c r="K64" s="7">
        <v>9</v>
      </c>
      <c r="L64" s="7">
        <v>9</v>
      </c>
      <c r="M64" s="8">
        <f>IF(COUNTIF(H64:L64,"=0")&gt;=2,0,SUM(H64:L64))</f>
        <v>85</v>
      </c>
    </row>
    <row r="65" spans="1:13" outlineLevel="2" x14ac:dyDescent="0.15">
      <c r="A65" s="4" t="s">
        <v>850</v>
      </c>
      <c r="B65" s="5" t="s">
        <v>506</v>
      </c>
      <c r="C65" s="5" t="s">
        <v>507</v>
      </c>
      <c r="D65" s="5" t="s">
        <v>7</v>
      </c>
      <c r="E65" s="6">
        <v>33274</v>
      </c>
      <c r="F65" s="5" t="s">
        <v>14</v>
      </c>
      <c r="G65" s="5" t="s">
        <v>797</v>
      </c>
      <c r="H65" s="7">
        <v>26</v>
      </c>
      <c r="I65" s="7">
        <v>17</v>
      </c>
      <c r="J65" s="7">
        <v>17</v>
      </c>
      <c r="K65" s="7">
        <v>7</v>
      </c>
      <c r="L65" s="7">
        <v>9</v>
      </c>
      <c r="M65" s="8">
        <f>IF(COUNTIF(H65:L65,"=0")&gt;=2,0,SUM(H65:L65))</f>
        <v>76</v>
      </c>
    </row>
    <row r="66" spans="1:13" outlineLevel="2" x14ac:dyDescent="0.15">
      <c r="A66" s="4" t="s">
        <v>851</v>
      </c>
      <c r="B66" s="5" t="s">
        <v>508</v>
      </c>
      <c r="C66" s="5" t="s">
        <v>509</v>
      </c>
      <c r="D66" s="5" t="s">
        <v>7</v>
      </c>
      <c r="E66" s="6">
        <v>33516</v>
      </c>
      <c r="F66" s="5" t="s">
        <v>14</v>
      </c>
      <c r="G66" s="5" t="s">
        <v>797</v>
      </c>
      <c r="H66" s="7">
        <v>26</v>
      </c>
      <c r="I66" s="7">
        <v>19</v>
      </c>
      <c r="J66" s="7">
        <v>19</v>
      </c>
      <c r="K66" s="7">
        <v>7</v>
      </c>
      <c r="L66" s="7">
        <v>9</v>
      </c>
      <c r="M66" s="8">
        <f>IF(COUNTIF(H66:L66,"=0")&gt;=2,0,SUM(H66:L66))</f>
        <v>80</v>
      </c>
    </row>
    <row r="67" spans="1:13" outlineLevel="2" x14ac:dyDescent="0.15">
      <c r="A67" s="4" t="s">
        <v>852</v>
      </c>
      <c r="B67" s="5" t="s">
        <v>510</v>
      </c>
      <c r="C67" s="5" t="s">
        <v>511</v>
      </c>
      <c r="D67" s="5" t="s">
        <v>7</v>
      </c>
      <c r="E67" s="6">
        <v>33243</v>
      </c>
      <c r="F67" s="5" t="s">
        <v>14</v>
      </c>
      <c r="G67" s="5" t="s">
        <v>797</v>
      </c>
      <c r="H67" s="7">
        <v>30</v>
      </c>
      <c r="I67" s="7">
        <v>17</v>
      </c>
      <c r="J67" s="7">
        <v>19</v>
      </c>
      <c r="K67" s="7">
        <v>4</v>
      </c>
      <c r="L67" s="7">
        <v>2</v>
      </c>
      <c r="M67" s="8">
        <f>IF(COUNTIF(H67:L67,"=0")&gt;=2,0,SUM(H67:L67))</f>
        <v>72</v>
      </c>
    </row>
    <row r="68" spans="1:13" outlineLevel="2" x14ac:dyDescent="0.15">
      <c r="A68" s="4" t="s">
        <v>853</v>
      </c>
      <c r="B68" s="5" t="s">
        <v>512</v>
      </c>
      <c r="C68" s="5" t="s">
        <v>513</v>
      </c>
      <c r="D68" s="5" t="s">
        <v>7</v>
      </c>
      <c r="E68" s="6">
        <v>33285</v>
      </c>
      <c r="F68" s="5" t="s">
        <v>14</v>
      </c>
      <c r="G68" s="5" t="s">
        <v>797</v>
      </c>
      <c r="H68" s="7">
        <v>22</v>
      </c>
      <c r="I68" s="7">
        <v>15</v>
      </c>
      <c r="J68" s="7">
        <v>18</v>
      </c>
      <c r="K68" s="7">
        <v>7</v>
      </c>
      <c r="L68" s="7">
        <v>8</v>
      </c>
      <c r="M68" s="8">
        <f>IF(COUNTIF(H68:L68,"=0")&gt;=2,0,SUM(H68:L68))</f>
        <v>70</v>
      </c>
    </row>
    <row r="69" spans="1:13" outlineLevel="2" x14ac:dyDescent="0.15">
      <c r="A69" s="4" t="s">
        <v>855</v>
      </c>
      <c r="B69" s="5" t="s">
        <v>516</v>
      </c>
      <c r="C69" s="5" t="s">
        <v>517</v>
      </c>
      <c r="D69" s="5" t="s">
        <v>7</v>
      </c>
      <c r="E69" s="6">
        <v>33433</v>
      </c>
      <c r="F69" s="5" t="s">
        <v>14</v>
      </c>
      <c r="G69" s="5" t="s">
        <v>797</v>
      </c>
      <c r="H69" s="7">
        <v>30</v>
      </c>
      <c r="I69" s="7">
        <v>19</v>
      </c>
      <c r="J69" s="7">
        <v>18</v>
      </c>
      <c r="K69" s="7">
        <v>9</v>
      </c>
      <c r="L69" s="7">
        <v>10</v>
      </c>
      <c r="M69" s="8">
        <f>IF(COUNTIF(H69:L69,"=0")&gt;=2,0,SUM(H69:L69))</f>
        <v>86</v>
      </c>
    </row>
    <row r="70" spans="1:13" outlineLevel="2" x14ac:dyDescent="0.15">
      <c r="A70" s="4" t="s">
        <v>856</v>
      </c>
      <c r="B70" s="5" t="s">
        <v>518</v>
      </c>
      <c r="C70" s="5" t="s">
        <v>519</v>
      </c>
      <c r="D70" s="5" t="s">
        <v>7</v>
      </c>
      <c r="E70" s="6">
        <v>33386</v>
      </c>
      <c r="F70" s="5" t="s">
        <v>14</v>
      </c>
      <c r="G70" s="5" t="s">
        <v>797</v>
      </c>
      <c r="H70" s="7">
        <v>31</v>
      </c>
      <c r="I70" s="7">
        <v>17</v>
      </c>
      <c r="J70" s="7">
        <v>18</v>
      </c>
      <c r="K70" s="7">
        <v>8</v>
      </c>
      <c r="L70" s="7">
        <v>9</v>
      </c>
      <c r="M70" s="8">
        <f>IF(COUNTIF(H70:L70,"=0")&gt;=2,0,SUM(H70:L70))</f>
        <v>83</v>
      </c>
    </row>
    <row r="71" spans="1:13" outlineLevel="2" x14ac:dyDescent="0.15">
      <c r="A71" s="4" t="s">
        <v>858</v>
      </c>
      <c r="B71" s="5" t="s">
        <v>522</v>
      </c>
      <c r="C71" s="5" t="s">
        <v>523</v>
      </c>
      <c r="D71" s="5" t="s">
        <v>7</v>
      </c>
      <c r="E71" s="6">
        <v>33380</v>
      </c>
      <c r="F71" s="5" t="s">
        <v>14</v>
      </c>
      <c r="G71" s="5" t="s">
        <v>797</v>
      </c>
      <c r="H71" s="7">
        <v>15</v>
      </c>
      <c r="I71" s="7">
        <v>18</v>
      </c>
      <c r="J71" s="7">
        <v>20</v>
      </c>
      <c r="K71" s="7">
        <v>7</v>
      </c>
      <c r="L71" s="7">
        <v>6</v>
      </c>
      <c r="M71" s="8">
        <f>IF(COUNTIF(H71:L71,"=0")&gt;=2,0,SUM(H71:L71))</f>
        <v>66</v>
      </c>
    </row>
    <row r="72" spans="1:13" outlineLevel="2" x14ac:dyDescent="0.15">
      <c r="A72" s="4" t="s">
        <v>859</v>
      </c>
      <c r="B72" s="5" t="s">
        <v>524</v>
      </c>
      <c r="C72" s="5" t="s">
        <v>525</v>
      </c>
      <c r="D72" s="5" t="s">
        <v>7</v>
      </c>
      <c r="E72" s="6">
        <v>33387</v>
      </c>
      <c r="F72" s="5" t="s">
        <v>14</v>
      </c>
      <c r="G72" s="5" t="s">
        <v>797</v>
      </c>
      <c r="H72" s="7">
        <v>33</v>
      </c>
      <c r="I72" s="7">
        <v>19</v>
      </c>
      <c r="J72" s="7">
        <v>19</v>
      </c>
      <c r="K72" s="7">
        <v>7</v>
      </c>
      <c r="L72" s="7">
        <v>9</v>
      </c>
      <c r="M72" s="8">
        <f>IF(COUNTIF(H72:L72,"=0")&gt;=2,0,SUM(H72:L72))</f>
        <v>87</v>
      </c>
    </row>
    <row r="73" spans="1:13" outlineLevel="2" x14ac:dyDescent="0.15">
      <c r="A73" s="4" t="s">
        <v>861</v>
      </c>
      <c r="B73" s="5" t="s">
        <v>528</v>
      </c>
      <c r="C73" s="5" t="s">
        <v>529</v>
      </c>
      <c r="D73" s="5" t="s">
        <v>7</v>
      </c>
      <c r="E73" s="6">
        <v>33433</v>
      </c>
      <c r="F73" s="5" t="s">
        <v>14</v>
      </c>
      <c r="G73" s="5" t="s">
        <v>797</v>
      </c>
      <c r="H73" s="7">
        <v>24</v>
      </c>
      <c r="I73" s="7">
        <v>18</v>
      </c>
      <c r="J73" s="7">
        <v>3</v>
      </c>
      <c r="K73" s="7">
        <v>9</v>
      </c>
      <c r="L73" s="7">
        <v>9</v>
      </c>
      <c r="M73" s="8">
        <f>IF(COUNTIF(H73:L73,"=0")&gt;=2,0,SUM(H73:L73))</f>
        <v>63</v>
      </c>
    </row>
    <row r="74" spans="1:13" outlineLevel="2" x14ac:dyDescent="0.15">
      <c r="A74" s="4" t="s">
        <v>863</v>
      </c>
      <c r="B74" s="5" t="s">
        <v>532</v>
      </c>
      <c r="C74" s="5" t="s">
        <v>533</v>
      </c>
      <c r="D74" s="5" t="s">
        <v>7</v>
      </c>
      <c r="E74" s="6">
        <v>33523</v>
      </c>
      <c r="F74" s="5" t="s">
        <v>14</v>
      </c>
      <c r="G74" s="5" t="s">
        <v>797</v>
      </c>
      <c r="H74" s="7">
        <v>29</v>
      </c>
      <c r="I74" s="7">
        <v>17</v>
      </c>
      <c r="J74" s="7">
        <v>17</v>
      </c>
      <c r="K74" s="7">
        <v>9</v>
      </c>
      <c r="L74" s="7">
        <v>10</v>
      </c>
      <c r="M74" s="8">
        <f>IF(COUNTIF(H74:L74,"=0")&gt;=2,0,SUM(H74:L74))</f>
        <v>82</v>
      </c>
    </row>
    <row r="75" spans="1:13" outlineLevel="2" x14ac:dyDescent="0.15">
      <c r="A75" s="4" t="s">
        <v>864</v>
      </c>
      <c r="B75" s="5" t="s">
        <v>534</v>
      </c>
      <c r="C75" s="5" t="s">
        <v>535</v>
      </c>
      <c r="D75" s="5" t="s">
        <v>7</v>
      </c>
      <c r="E75" s="6">
        <v>33269</v>
      </c>
      <c r="F75" s="5" t="s">
        <v>14</v>
      </c>
      <c r="G75" s="5" t="s">
        <v>797</v>
      </c>
      <c r="H75" s="7">
        <v>31</v>
      </c>
      <c r="I75" s="7">
        <v>17</v>
      </c>
      <c r="J75" s="7">
        <v>16</v>
      </c>
      <c r="K75" s="7">
        <v>3</v>
      </c>
      <c r="L75" s="7">
        <v>7</v>
      </c>
      <c r="M75" s="8">
        <f>IF(COUNTIF(H75:L75,"=0")&gt;=2,0,SUM(H75:L75))</f>
        <v>74</v>
      </c>
    </row>
    <row r="76" spans="1:13" outlineLevel="2" x14ac:dyDescent="0.15">
      <c r="A76" s="4" t="s">
        <v>865</v>
      </c>
      <c r="B76" s="5" t="s">
        <v>536</v>
      </c>
      <c r="C76" s="5" t="s">
        <v>537</v>
      </c>
      <c r="D76" s="5" t="s">
        <v>7</v>
      </c>
      <c r="E76" s="6">
        <v>33385</v>
      </c>
      <c r="F76" s="5" t="s">
        <v>14</v>
      </c>
      <c r="G76" s="5" t="s">
        <v>797</v>
      </c>
      <c r="H76" s="7">
        <v>27</v>
      </c>
      <c r="I76" s="7">
        <v>15</v>
      </c>
      <c r="J76" s="7">
        <v>17</v>
      </c>
      <c r="K76" s="7">
        <v>6</v>
      </c>
      <c r="L76" s="7">
        <v>4</v>
      </c>
      <c r="M76" s="8">
        <f>IF(COUNTIF(H76:L76,"=0")&gt;=2,0,SUM(H76:L76))</f>
        <v>69</v>
      </c>
    </row>
    <row r="77" spans="1:13" outlineLevel="2" x14ac:dyDescent="0.15">
      <c r="A77" s="4" t="s">
        <v>866</v>
      </c>
      <c r="B77" s="5" t="s">
        <v>538</v>
      </c>
      <c r="C77" s="5" t="s">
        <v>539</v>
      </c>
      <c r="D77" s="5" t="s">
        <v>17</v>
      </c>
      <c r="E77" s="6">
        <v>33265</v>
      </c>
      <c r="F77" s="5" t="s">
        <v>14</v>
      </c>
      <c r="G77" s="5" t="s">
        <v>797</v>
      </c>
      <c r="H77" s="7">
        <v>21</v>
      </c>
      <c r="I77" s="7">
        <v>0</v>
      </c>
      <c r="J77" s="7">
        <v>0</v>
      </c>
      <c r="K77" s="7">
        <v>1</v>
      </c>
      <c r="L77" s="7">
        <v>0</v>
      </c>
      <c r="M77" s="8">
        <f>IF(COUNTIF(H77:L77,"=0")&gt;=2,0,SUM(H77:L77))</f>
        <v>0</v>
      </c>
    </row>
    <row r="78" spans="1:13" outlineLevel="2" x14ac:dyDescent="0.15">
      <c r="A78" s="4" t="s">
        <v>867</v>
      </c>
      <c r="B78" s="5" t="s">
        <v>540</v>
      </c>
      <c r="C78" s="5" t="s">
        <v>541</v>
      </c>
      <c r="D78" s="5" t="s">
        <v>7</v>
      </c>
      <c r="E78" s="6">
        <v>33384</v>
      </c>
      <c r="F78" s="5" t="s">
        <v>14</v>
      </c>
      <c r="G78" s="5" t="s">
        <v>797</v>
      </c>
      <c r="H78" s="7">
        <v>29</v>
      </c>
      <c r="I78" s="7">
        <v>19</v>
      </c>
      <c r="J78" s="7">
        <v>20</v>
      </c>
      <c r="K78" s="7">
        <v>5</v>
      </c>
      <c r="L78" s="7">
        <v>9</v>
      </c>
      <c r="M78" s="8">
        <f>IF(COUNTIF(H78:L78,"=0")&gt;=2,0,SUM(H78:L78))</f>
        <v>82</v>
      </c>
    </row>
    <row r="79" spans="1:13" outlineLevel="2" x14ac:dyDescent="0.15">
      <c r="A79" s="4" t="s">
        <v>868</v>
      </c>
      <c r="B79" s="5" t="s">
        <v>542</v>
      </c>
      <c r="C79" s="5" t="s">
        <v>543</v>
      </c>
      <c r="D79" s="5" t="s">
        <v>7</v>
      </c>
      <c r="E79" s="6">
        <v>33517</v>
      </c>
      <c r="F79" s="5" t="s">
        <v>14</v>
      </c>
      <c r="G79" s="5" t="s">
        <v>797</v>
      </c>
      <c r="H79" s="7">
        <v>30</v>
      </c>
      <c r="I79" s="7">
        <v>19</v>
      </c>
      <c r="J79" s="7">
        <v>19</v>
      </c>
      <c r="K79" s="7">
        <v>9</v>
      </c>
      <c r="L79" s="7">
        <v>9</v>
      </c>
      <c r="M79" s="8">
        <f>IF(COUNTIF(H79:L79,"=0")&gt;=2,0,SUM(H79:L79))</f>
        <v>86</v>
      </c>
    </row>
    <row r="80" spans="1:13" outlineLevel="2" x14ac:dyDescent="0.15">
      <c r="A80" s="4" t="s">
        <v>869</v>
      </c>
      <c r="B80" s="5" t="s">
        <v>544</v>
      </c>
      <c r="C80" s="5" t="s">
        <v>545</v>
      </c>
      <c r="D80" s="5" t="s">
        <v>7</v>
      </c>
      <c r="E80" s="6">
        <v>33547</v>
      </c>
      <c r="F80" s="5" t="s">
        <v>14</v>
      </c>
      <c r="G80" s="5" t="s">
        <v>797</v>
      </c>
      <c r="H80" s="7">
        <v>17</v>
      </c>
      <c r="I80" s="7">
        <v>18</v>
      </c>
      <c r="J80" s="7">
        <v>18</v>
      </c>
      <c r="K80" s="7">
        <v>10</v>
      </c>
      <c r="L80" s="7">
        <v>9</v>
      </c>
      <c r="M80" s="8">
        <f>IF(COUNTIF(H80:L80,"=0")&gt;=2,0,SUM(H80:L80))</f>
        <v>72</v>
      </c>
    </row>
    <row r="81" spans="1:13" outlineLevel="2" x14ac:dyDescent="0.15">
      <c r="A81" s="4" t="s">
        <v>870</v>
      </c>
      <c r="B81" s="5" t="s">
        <v>795</v>
      </c>
      <c r="C81" s="5" t="s">
        <v>796</v>
      </c>
      <c r="D81" s="5" t="s">
        <v>17</v>
      </c>
      <c r="E81" s="6">
        <v>33561</v>
      </c>
      <c r="F81" s="5" t="s">
        <v>14</v>
      </c>
      <c r="G81" s="5" t="s">
        <v>797</v>
      </c>
      <c r="H81" s="7">
        <v>24</v>
      </c>
      <c r="I81" s="7">
        <v>20</v>
      </c>
      <c r="J81" s="7">
        <v>18</v>
      </c>
      <c r="K81" s="7">
        <v>8</v>
      </c>
      <c r="L81" s="7">
        <v>9</v>
      </c>
      <c r="M81" s="8">
        <f>IF(COUNTIF(H81:L81,"=0")&gt;=2,0,SUM(H81:L81))</f>
        <v>79</v>
      </c>
    </row>
    <row r="82" spans="1:13" outlineLevel="2" x14ac:dyDescent="0.15">
      <c r="A82" s="4" t="s">
        <v>871</v>
      </c>
      <c r="B82" s="5" t="s">
        <v>36</v>
      </c>
      <c r="C82" s="5" t="s">
        <v>37</v>
      </c>
      <c r="D82" s="5" t="s">
        <v>7</v>
      </c>
      <c r="E82" s="6">
        <v>33565</v>
      </c>
      <c r="F82" s="5" t="s">
        <v>14</v>
      </c>
      <c r="G82" s="5" t="s">
        <v>798</v>
      </c>
      <c r="H82" s="7">
        <v>25</v>
      </c>
      <c r="I82" s="7">
        <v>20</v>
      </c>
      <c r="J82" s="7">
        <v>18</v>
      </c>
      <c r="K82" s="7">
        <v>9</v>
      </c>
      <c r="L82" s="7">
        <v>9</v>
      </c>
      <c r="M82" s="8">
        <f>IF(COUNTIF(H82:L82,"=0")&gt;=2,0,SUM(H82:L82))</f>
        <v>81</v>
      </c>
    </row>
    <row r="83" spans="1:13" outlineLevel="2" x14ac:dyDescent="0.15">
      <c r="A83" s="4" t="s">
        <v>872</v>
      </c>
      <c r="B83" s="5" t="s">
        <v>38</v>
      </c>
      <c r="C83" s="5" t="s">
        <v>39</v>
      </c>
      <c r="D83" s="5" t="s">
        <v>17</v>
      </c>
      <c r="E83" s="6">
        <v>33356</v>
      </c>
      <c r="F83" s="5" t="s">
        <v>14</v>
      </c>
      <c r="G83" s="5" t="s">
        <v>798</v>
      </c>
      <c r="H83" s="7">
        <v>31</v>
      </c>
      <c r="I83" s="7">
        <v>16</v>
      </c>
      <c r="J83" s="7">
        <v>6</v>
      </c>
      <c r="K83" s="7">
        <v>0</v>
      </c>
      <c r="L83" s="7">
        <v>3</v>
      </c>
      <c r="M83" s="8">
        <f>IF(COUNTIF(H83:L83,"=0")&gt;=2,0,SUM(H83:L83))</f>
        <v>56</v>
      </c>
    </row>
    <row r="84" spans="1:13" outlineLevel="2" x14ac:dyDescent="0.15">
      <c r="A84" s="4" t="s">
        <v>874</v>
      </c>
      <c r="B84" s="5" t="s">
        <v>43</v>
      </c>
      <c r="C84" s="5" t="s">
        <v>44</v>
      </c>
      <c r="D84" s="5" t="s">
        <v>17</v>
      </c>
      <c r="E84" s="6">
        <v>33399</v>
      </c>
      <c r="F84" s="5" t="s">
        <v>14</v>
      </c>
      <c r="G84" s="5" t="s">
        <v>798</v>
      </c>
      <c r="H84" s="7">
        <v>23</v>
      </c>
      <c r="I84" s="7">
        <v>19</v>
      </c>
      <c r="J84" s="7">
        <v>17</v>
      </c>
      <c r="K84" s="7">
        <v>10</v>
      </c>
      <c r="L84" s="7">
        <v>8</v>
      </c>
      <c r="M84" s="8">
        <f>IF(COUNTIF(H84:L84,"=0")&gt;=2,0,SUM(H84:L84))</f>
        <v>77</v>
      </c>
    </row>
    <row r="85" spans="1:13" outlineLevel="2" x14ac:dyDescent="0.15">
      <c r="A85" s="4" t="s">
        <v>876</v>
      </c>
      <c r="B85" s="5" t="s">
        <v>47</v>
      </c>
      <c r="C85" s="5" t="s">
        <v>48</v>
      </c>
      <c r="D85" s="5" t="s">
        <v>17</v>
      </c>
      <c r="E85" s="6">
        <v>33514</v>
      </c>
      <c r="F85" s="5" t="s">
        <v>14</v>
      </c>
      <c r="G85" s="5" t="s">
        <v>798</v>
      </c>
      <c r="H85" s="7">
        <v>33</v>
      </c>
      <c r="I85" s="7">
        <v>16</v>
      </c>
      <c r="J85" s="7">
        <v>17</v>
      </c>
      <c r="K85" s="7">
        <v>9</v>
      </c>
      <c r="L85" s="7">
        <v>8</v>
      </c>
      <c r="M85" s="8">
        <f>IF(COUNTIF(H85:L85,"=0")&gt;=2,0,SUM(H85:L85))</f>
        <v>83</v>
      </c>
    </row>
    <row r="86" spans="1:13" outlineLevel="2" x14ac:dyDescent="0.15">
      <c r="A86" s="4" t="s">
        <v>877</v>
      </c>
      <c r="B86" s="5" t="s">
        <v>49</v>
      </c>
      <c r="C86" s="5" t="s">
        <v>50</v>
      </c>
      <c r="D86" s="5" t="s">
        <v>7</v>
      </c>
      <c r="E86" s="6">
        <v>33397</v>
      </c>
      <c r="F86" s="5" t="s">
        <v>14</v>
      </c>
      <c r="G86" s="5" t="s">
        <v>798</v>
      </c>
      <c r="H86" s="7">
        <v>32</v>
      </c>
      <c r="I86" s="7">
        <v>19</v>
      </c>
      <c r="J86" s="7">
        <v>18</v>
      </c>
      <c r="K86" s="7">
        <v>9</v>
      </c>
      <c r="L86" s="7">
        <v>8</v>
      </c>
      <c r="M86" s="8">
        <f>IF(COUNTIF(H86:L86,"=0")&gt;=2,0,SUM(H86:L86))</f>
        <v>86</v>
      </c>
    </row>
    <row r="87" spans="1:13" outlineLevel="2" x14ac:dyDescent="0.15">
      <c r="A87" s="4" t="s">
        <v>879</v>
      </c>
      <c r="B87" s="5" t="s">
        <v>53</v>
      </c>
      <c r="C87" s="5" t="s">
        <v>54</v>
      </c>
      <c r="D87" s="5" t="s">
        <v>7</v>
      </c>
      <c r="E87" s="6">
        <v>33309</v>
      </c>
      <c r="F87" s="5" t="s">
        <v>14</v>
      </c>
      <c r="G87" s="5" t="s">
        <v>798</v>
      </c>
      <c r="H87" s="7">
        <v>27</v>
      </c>
      <c r="I87" s="7">
        <v>14</v>
      </c>
      <c r="J87" s="7">
        <v>17</v>
      </c>
      <c r="K87" s="7">
        <v>8</v>
      </c>
      <c r="L87" s="7">
        <v>8</v>
      </c>
      <c r="M87" s="8">
        <f>IF(COUNTIF(H87:L87,"=0")&gt;=2,0,SUM(H87:L87))</f>
        <v>74</v>
      </c>
    </row>
    <row r="88" spans="1:13" outlineLevel="2" x14ac:dyDescent="0.15">
      <c r="A88" s="4" t="s">
        <v>880</v>
      </c>
      <c r="B88" s="5" t="s">
        <v>55</v>
      </c>
      <c r="C88" s="5" t="s">
        <v>56</v>
      </c>
      <c r="D88" s="5" t="s">
        <v>7</v>
      </c>
      <c r="E88" s="6">
        <v>33261</v>
      </c>
      <c r="F88" s="5" t="s">
        <v>14</v>
      </c>
      <c r="G88" s="5" t="s">
        <v>798</v>
      </c>
      <c r="H88" s="7">
        <v>23</v>
      </c>
      <c r="I88" s="7">
        <v>16</v>
      </c>
      <c r="J88" s="7">
        <v>17</v>
      </c>
      <c r="K88" s="7">
        <v>8</v>
      </c>
      <c r="L88" s="7">
        <v>9</v>
      </c>
      <c r="M88" s="8">
        <f>IF(COUNTIF(H88:L88,"=0")&gt;=2,0,SUM(H88:L88))</f>
        <v>73</v>
      </c>
    </row>
    <row r="89" spans="1:13" outlineLevel="2" x14ac:dyDescent="0.15">
      <c r="A89" s="4" t="s">
        <v>883</v>
      </c>
      <c r="B89" s="5" t="s">
        <v>62</v>
      </c>
      <c r="C89" s="5" t="s">
        <v>63</v>
      </c>
      <c r="D89" s="5" t="s">
        <v>7</v>
      </c>
      <c r="E89" s="6">
        <v>33569</v>
      </c>
      <c r="F89" s="5" t="s">
        <v>14</v>
      </c>
      <c r="G89" s="5" t="s">
        <v>798</v>
      </c>
      <c r="H89" s="7">
        <v>20</v>
      </c>
      <c r="I89" s="7">
        <v>20</v>
      </c>
      <c r="J89" s="7">
        <v>19</v>
      </c>
      <c r="K89" s="7">
        <v>9</v>
      </c>
      <c r="L89" s="7">
        <v>9</v>
      </c>
      <c r="M89" s="8">
        <f>IF(COUNTIF(H89:L89,"=0")&gt;=2,0,SUM(H89:L89))</f>
        <v>77</v>
      </c>
    </row>
    <row r="90" spans="1:13" outlineLevel="2" x14ac:dyDescent="0.15">
      <c r="A90" s="4" t="s">
        <v>885</v>
      </c>
      <c r="B90" s="5" t="s">
        <v>66</v>
      </c>
      <c r="C90" s="5" t="s">
        <v>67</v>
      </c>
      <c r="D90" s="5" t="s">
        <v>17</v>
      </c>
      <c r="E90" s="6">
        <v>33408</v>
      </c>
      <c r="F90" s="5" t="s">
        <v>14</v>
      </c>
      <c r="G90" s="5" t="s">
        <v>798</v>
      </c>
      <c r="H90" s="7">
        <v>21</v>
      </c>
      <c r="I90" s="7">
        <v>16</v>
      </c>
      <c r="J90" s="7">
        <v>3</v>
      </c>
      <c r="K90" s="7">
        <v>10</v>
      </c>
      <c r="L90" s="7">
        <v>8</v>
      </c>
      <c r="M90" s="8">
        <f>IF(COUNTIF(H90:L90,"=0")&gt;=2,0,SUM(H90:L90))</f>
        <v>58</v>
      </c>
    </row>
    <row r="91" spans="1:13" outlineLevel="2" x14ac:dyDescent="0.15">
      <c r="A91" s="4" t="s">
        <v>886</v>
      </c>
      <c r="B91" s="5" t="s">
        <v>68</v>
      </c>
      <c r="C91" s="5" t="s">
        <v>69</v>
      </c>
      <c r="D91" s="5" t="s">
        <v>17</v>
      </c>
      <c r="E91" s="6">
        <v>33403</v>
      </c>
      <c r="F91" s="5" t="s">
        <v>14</v>
      </c>
      <c r="G91" s="5" t="s">
        <v>798</v>
      </c>
      <c r="H91" s="7">
        <v>19</v>
      </c>
      <c r="I91" s="7">
        <v>16</v>
      </c>
      <c r="J91" s="7">
        <v>5</v>
      </c>
      <c r="K91" s="7">
        <v>5</v>
      </c>
      <c r="L91" s="7">
        <v>7</v>
      </c>
      <c r="M91" s="8">
        <f>IF(COUNTIF(H91:L91,"=0")&gt;=2,0,SUM(H91:L91))</f>
        <v>52</v>
      </c>
    </row>
    <row r="92" spans="1:13" outlineLevel="2" x14ac:dyDescent="0.15">
      <c r="A92" s="4" t="s">
        <v>888</v>
      </c>
      <c r="B92" s="5" t="s">
        <v>72</v>
      </c>
      <c r="C92" s="5" t="s">
        <v>73</v>
      </c>
      <c r="D92" s="5" t="s">
        <v>7</v>
      </c>
      <c r="E92" s="6">
        <v>33289</v>
      </c>
      <c r="F92" s="5" t="s">
        <v>14</v>
      </c>
      <c r="G92" s="5" t="s">
        <v>798</v>
      </c>
      <c r="H92" s="7">
        <v>16</v>
      </c>
      <c r="I92" s="7">
        <v>19</v>
      </c>
      <c r="J92" s="7">
        <v>14</v>
      </c>
      <c r="K92" s="7">
        <v>9</v>
      </c>
      <c r="L92" s="7">
        <v>1</v>
      </c>
      <c r="M92" s="8">
        <f>IF(COUNTIF(H92:L92,"=0")&gt;=2,0,SUM(H92:L92))</f>
        <v>59</v>
      </c>
    </row>
    <row r="93" spans="1:13" outlineLevel="2" x14ac:dyDescent="0.15">
      <c r="A93" s="4" t="s">
        <v>889</v>
      </c>
      <c r="B93" s="5" t="s">
        <v>74</v>
      </c>
      <c r="C93" s="5" t="s">
        <v>75</v>
      </c>
      <c r="D93" s="5" t="s">
        <v>7</v>
      </c>
      <c r="E93" s="6">
        <v>33382</v>
      </c>
      <c r="F93" s="5" t="s">
        <v>14</v>
      </c>
      <c r="G93" s="5" t="s">
        <v>798</v>
      </c>
      <c r="H93" s="7">
        <v>25</v>
      </c>
      <c r="I93" s="7">
        <v>18</v>
      </c>
      <c r="J93" s="7">
        <v>18</v>
      </c>
      <c r="K93" s="7">
        <v>10</v>
      </c>
      <c r="L93" s="7">
        <v>8</v>
      </c>
      <c r="M93" s="8">
        <f>IF(COUNTIF(H93:L93,"=0")&gt;=2,0,SUM(H93:L93))</f>
        <v>79</v>
      </c>
    </row>
    <row r="94" spans="1:13" outlineLevel="2" x14ac:dyDescent="0.15">
      <c r="A94" s="4" t="s">
        <v>890</v>
      </c>
      <c r="B94" s="5" t="s">
        <v>76</v>
      </c>
      <c r="C94" s="5" t="s">
        <v>77</v>
      </c>
      <c r="D94" s="5" t="s">
        <v>7</v>
      </c>
      <c r="E94" s="6">
        <v>33276</v>
      </c>
      <c r="F94" s="5" t="s">
        <v>14</v>
      </c>
      <c r="G94" s="5" t="s">
        <v>798</v>
      </c>
      <c r="H94" s="7">
        <v>26</v>
      </c>
      <c r="I94" s="7">
        <v>18</v>
      </c>
      <c r="J94" s="7">
        <v>8</v>
      </c>
      <c r="K94" s="7">
        <v>9</v>
      </c>
      <c r="L94" s="7">
        <v>0</v>
      </c>
      <c r="M94" s="8">
        <f>IF(COUNTIF(H94:L94,"=0")&gt;=2,0,SUM(H94:L94))</f>
        <v>61</v>
      </c>
    </row>
    <row r="95" spans="1:13" outlineLevel="2" x14ac:dyDescent="0.15">
      <c r="A95" s="4" t="s">
        <v>891</v>
      </c>
      <c r="B95" s="5" t="s">
        <v>78</v>
      </c>
      <c r="C95" s="5" t="s">
        <v>79</v>
      </c>
      <c r="D95" s="5" t="s">
        <v>7</v>
      </c>
      <c r="E95" s="6">
        <v>33476</v>
      </c>
      <c r="F95" s="5" t="s">
        <v>14</v>
      </c>
      <c r="G95" s="5" t="s">
        <v>798</v>
      </c>
      <c r="H95" s="7">
        <v>19</v>
      </c>
      <c r="I95" s="7">
        <v>14</v>
      </c>
      <c r="J95" s="7">
        <v>19</v>
      </c>
      <c r="K95" s="7">
        <v>7</v>
      </c>
      <c r="L95" s="7">
        <v>0</v>
      </c>
      <c r="M95" s="8">
        <f>IF(COUNTIF(H95:L95,"=0")&gt;=2,0,SUM(H95:L95))</f>
        <v>59</v>
      </c>
    </row>
    <row r="96" spans="1:13" outlineLevel="2" x14ac:dyDescent="0.15">
      <c r="A96" s="4" t="s">
        <v>893</v>
      </c>
      <c r="B96" s="5" t="s">
        <v>82</v>
      </c>
      <c r="C96" s="5" t="s">
        <v>83</v>
      </c>
      <c r="D96" s="5" t="s">
        <v>7</v>
      </c>
      <c r="E96" s="6">
        <v>33350</v>
      </c>
      <c r="F96" s="5" t="s">
        <v>14</v>
      </c>
      <c r="G96" s="5" t="s">
        <v>798</v>
      </c>
      <c r="H96" s="7">
        <v>16</v>
      </c>
      <c r="I96" s="7">
        <v>19</v>
      </c>
      <c r="J96" s="7">
        <v>17</v>
      </c>
      <c r="K96" s="7">
        <v>3</v>
      </c>
      <c r="L96" s="7">
        <v>0</v>
      </c>
      <c r="M96" s="8">
        <f>IF(COUNTIF(H96:L96,"=0")&gt;=2,0,SUM(H96:L96))</f>
        <v>55</v>
      </c>
    </row>
    <row r="97" spans="1:13" outlineLevel="2" x14ac:dyDescent="0.15">
      <c r="A97" s="4" t="s">
        <v>895</v>
      </c>
      <c r="B97" s="5" t="s">
        <v>86</v>
      </c>
      <c r="C97" s="5" t="s">
        <v>87</v>
      </c>
      <c r="D97" s="5" t="s">
        <v>17</v>
      </c>
      <c r="E97" s="6">
        <v>33513</v>
      </c>
      <c r="F97" s="5" t="s">
        <v>14</v>
      </c>
      <c r="G97" s="5" t="s">
        <v>798</v>
      </c>
      <c r="H97" s="7">
        <v>13</v>
      </c>
      <c r="I97" s="7">
        <v>19</v>
      </c>
      <c r="J97" s="7">
        <v>17</v>
      </c>
      <c r="K97" s="7">
        <v>9</v>
      </c>
      <c r="L97" s="7">
        <v>1</v>
      </c>
      <c r="M97" s="8">
        <f>IF(COUNTIF(H97:L97,"=0")&gt;=2,0,SUM(H97:L97))</f>
        <v>59</v>
      </c>
    </row>
    <row r="98" spans="1:13" outlineLevel="2" x14ac:dyDescent="0.15">
      <c r="A98" s="4" t="s">
        <v>896</v>
      </c>
      <c r="B98" s="5" t="s">
        <v>88</v>
      </c>
      <c r="C98" s="5" t="s">
        <v>89</v>
      </c>
      <c r="D98" s="5" t="s">
        <v>17</v>
      </c>
      <c r="E98" s="6">
        <v>33405</v>
      </c>
      <c r="F98" s="5" t="s">
        <v>14</v>
      </c>
      <c r="G98" s="5" t="s">
        <v>798</v>
      </c>
      <c r="H98" s="7">
        <v>21</v>
      </c>
      <c r="I98" s="7">
        <v>15</v>
      </c>
      <c r="J98" s="7">
        <v>15</v>
      </c>
      <c r="K98" s="7">
        <v>10</v>
      </c>
      <c r="L98" s="7">
        <v>8</v>
      </c>
      <c r="M98" s="8">
        <f>IF(COUNTIF(H98:L98,"=0")&gt;=2,0,SUM(H98:L98))</f>
        <v>69</v>
      </c>
    </row>
    <row r="99" spans="1:13" outlineLevel="2" x14ac:dyDescent="0.15">
      <c r="A99" s="4" t="s">
        <v>897</v>
      </c>
      <c r="B99" s="5" t="s">
        <v>90</v>
      </c>
      <c r="C99" s="5" t="s">
        <v>91</v>
      </c>
      <c r="D99" s="5" t="s">
        <v>17</v>
      </c>
      <c r="E99" s="6">
        <v>33423</v>
      </c>
      <c r="F99" s="5" t="s">
        <v>14</v>
      </c>
      <c r="G99" s="5" t="s">
        <v>798</v>
      </c>
      <c r="H99" s="7">
        <v>17</v>
      </c>
      <c r="I99" s="7">
        <v>19</v>
      </c>
      <c r="J99" s="7">
        <v>11</v>
      </c>
      <c r="K99" s="7">
        <v>8</v>
      </c>
      <c r="L99" s="7">
        <v>0</v>
      </c>
      <c r="M99" s="8">
        <f>IF(COUNTIF(H99:L99,"=0")&gt;=2,0,SUM(H99:L99))</f>
        <v>55</v>
      </c>
    </row>
    <row r="100" spans="1:13" outlineLevel="2" x14ac:dyDescent="0.15">
      <c r="A100" s="4" t="s">
        <v>898</v>
      </c>
      <c r="B100" s="5" t="s">
        <v>92</v>
      </c>
      <c r="C100" s="5" t="s">
        <v>93</v>
      </c>
      <c r="D100" s="5" t="s">
        <v>7</v>
      </c>
      <c r="E100" s="6">
        <v>33305</v>
      </c>
      <c r="F100" s="5" t="s">
        <v>14</v>
      </c>
      <c r="G100" s="5" t="s">
        <v>798</v>
      </c>
      <c r="H100" s="7">
        <v>19</v>
      </c>
      <c r="I100" s="7">
        <v>18</v>
      </c>
      <c r="J100" s="7">
        <v>3</v>
      </c>
      <c r="K100" s="7">
        <v>8</v>
      </c>
      <c r="L100" s="7">
        <v>0</v>
      </c>
      <c r="M100" s="8">
        <f>IF(COUNTIF(H100:L100,"=0")&gt;=2,0,SUM(H100:L100))</f>
        <v>48</v>
      </c>
    </row>
    <row r="101" spans="1:13" outlineLevel="2" x14ac:dyDescent="0.15">
      <c r="A101" s="4" t="s">
        <v>899</v>
      </c>
      <c r="B101" s="5" t="s">
        <v>94</v>
      </c>
      <c r="C101" s="5" t="s">
        <v>95</v>
      </c>
      <c r="D101" s="5" t="s">
        <v>7</v>
      </c>
      <c r="E101" s="6">
        <v>33492</v>
      </c>
      <c r="F101" s="5" t="s">
        <v>14</v>
      </c>
      <c r="G101" s="5" t="s">
        <v>798</v>
      </c>
      <c r="H101" s="7">
        <v>16</v>
      </c>
      <c r="I101" s="7">
        <v>17</v>
      </c>
      <c r="J101" s="7">
        <v>9</v>
      </c>
      <c r="K101" s="7">
        <v>8</v>
      </c>
      <c r="L101" s="7">
        <v>7</v>
      </c>
      <c r="M101" s="8">
        <f>IF(COUNTIF(H101:L101,"=0")&gt;=2,0,SUM(H101:L101))</f>
        <v>57</v>
      </c>
    </row>
    <row r="102" spans="1:13" outlineLevel="2" x14ac:dyDescent="0.15">
      <c r="A102" s="4" t="s">
        <v>900</v>
      </c>
      <c r="B102" s="5" t="s">
        <v>96</v>
      </c>
      <c r="C102" s="5" t="s">
        <v>97</v>
      </c>
      <c r="D102" s="5" t="s">
        <v>17</v>
      </c>
      <c r="E102" s="6">
        <v>33553</v>
      </c>
      <c r="F102" s="5" t="s">
        <v>14</v>
      </c>
      <c r="G102" s="5" t="s">
        <v>798</v>
      </c>
      <c r="H102" s="7">
        <v>17</v>
      </c>
      <c r="I102" s="7">
        <v>19</v>
      </c>
      <c r="J102" s="7">
        <v>18</v>
      </c>
      <c r="K102" s="7">
        <v>10</v>
      </c>
      <c r="L102" s="7">
        <v>9</v>
      </c>
      <c r="M102" s="8">
        <f>IF(COUNTIF(H102:L102,"=0")&gt;=2,0,SUM(H102:L102))</f>
        <v>73</v>
      </c>
    </row>
    <row r="103" spans="1:13" outlineLevel="2" x14ac:dyDescent="0.15">
      <c r="A103" s="4" t="s">
        <v>901</v>
      </c>
      <c r="B103" s="5" t="s">
        <v>98</v>
      </c>
      <c r="C103" s="5" t="s">
        <v>99</v>
      </c>
      <c r="D103" s="5" t="s">
        <v>17</v>
      </c>
      <c r="E103" s="6">
        <v>33398</v>
      </c>
      <c r="F103" s="5" t="s">
        <v>14</v>
      </c>
      <c r="G103" s="5" t="s">
        <v>798</v>
      </c>
      <c r="H103" s="7">
        <v>14</v>
      </c>
      <c r="I103" s="7">
        <v>20</v>
      </c>
      <c r="J103" s="7">
        <v>1</v>
      </c>
      <c r="K103" s="7">
        <v>0</v>
      </c>
      <c r="L103" s="7">
        <v>2</v>
      </c>
      <c r="M103" s="8">
        <f>IF(COUNTIF(H103:L103,"=0")&gt;=2,0,SUM(H103:L103))</f>
        <v>37</v>
      </c>
    </row>
    <row r="104" spans="1:13" outlineLevel="2" x14ac:dyDescent="0.15">
      <c r="A104" s="4" t="s">
        <v>903</v>
      </c>
      <c r="B104" s="5" t="s">
        <v>102</v>
      </c>
      <c r="C104" s="5" t="s">
        <v>103</v>
      </c>
      <c r="D104" s="5" t="s">
        <v>7</v>
      </c>
      <c r="E104" s="6">
        <v>33293</v>
      </c>
      <c r="F104" s="5" t="s">
        <v>14</v>
      </c>
      <c r="G104" s="5" t="s">
        <v>798</v>
      </c>
      <c r="H104" s="7">
        <v>22</v>
      </c>
      <c r="I104" s="7">
        <v>18</v>
      </c>
      <c r="J104" s="7">
        <v>15</v>
      </c>
      <c r="K104" s="7">
        <v>9</v>
      </c>
      <c r="L104" s="7">
        <v>8</v>
      </c>
      <c r="M104" s="8">
        <f>IF(COUNTIF(H104:L104,"=0")&gt;=2,0,SUM(H104:L104))</f>
        <v>72</v>
      </c>
    </row>
    <row r="105" spans="1:13" outlineLevel="2" x14ac:dyDescent="0.15">
      <c r="A105" s="4" t="s">
        <v>904</v>
      </c>
      <c r="B105" s="5" t="s">
        <v>104</v>
      </c>
      <c r="C105" s="5" t="s">
        <v>105</v>
      </c>
      <c r="D105" s="5" t="s">
        <v>7</v>
      </c>
      <c r="E105" s="6">
        <v>33385</v>
      </c>
      <c r="F105" s="5" t="s">
        <v>14</v>
      </c>
      <c r="G105" s="5" t="s">
        <v>798</v>
      </c>
      <c r="H105" s="7">
        <v>14</v>
      </c>
      <c r="I105" s="7">
        <v>17</v>
      </c>
      <c r="J105" s="7">
        <v>4</v>
      </c>
      <c r="K105" s="7">
        <v>7</v>
      </c>
      <c r="L105" s="7">
        <v>1</v>
      </c>
      <c r="M105" s="8">
        <f>IF(COUNTIF(H105:L105,"=0")&gt;=2,0,SUM(H105:L105))</f>
        <v>43</v>
      </c>
    </row>
    <row r="106" spans="1:13" outlineLevel="2" x14ac:dyDescent="0.15">
      <c r="A106" s="4" t="s">
        <v>906</v>
      </c>
      <c r="B106" s="5" t="s">
        <v>108</v>
      </c>
      <c r="C106" s="5" t="s">
        <v>109</v>
      </c>
      <c r="D106" s="5" t="s">
        <v>7</v>
      </c>
      <c r="E106" s="6">
        <v>33275</v>
      </c>
      <c r="F106" s="5" t="s">
        <v>14</v>
      </c>
      <c r="G106" s="5" t="s">
        <v>799</v>
      </c>
      <c r="H106" s="7">
        <v>20</v>
      </c>
      <c r="I106" s="7">
        <v>13</v>
      </c>
      <c r="J106" s="7">
        <v>18</v>
      </c>
      <c r="K106" s="7">
        <v>4</v>
      </c>
      <c r="L106" s="7">
        <v>7</v>
      </c>
      <c r="M106" s="8">
        <f>IF(COUNTIF(H106:L106,"=0")&gt;=2,0,SUM(H106:L106))</f>
        <v>62</v>
      </c>
    </row>
    <row r="107" spans="1:13" outlineLevel="2" x14ac:dyDescent="0.15">
      <c r="A107" s="4" t="s">
        <v>907</v>
      </c>
      <c r="B107" s="5" t="s">
        <v>110</v>
      </c>
      <c r="C107" s="5" t="s">
        <v>111</v>
      </c>
      <c r="D107" s="5" t="s">
        <v>7</v>
      </c>
      <c r="E107" s="6">
        <v>33284</v>
      </c>
      <c r="F107" s="5" t="s">
        <v>14</v>
      </c>
      <c r="G107" s="5" t="s">
        <v>799</v>
      </c>
      <c r="H107" s="7">
        <v>14</v>
      </c>
      <c r="I107" s="7">
        <v>16</v>
      </c>
      <c r="J107" s="7">
        <v>20</v>
      </c>
      <c r="K107" s="7">
        <v>10</v>
      </c>
      <c r="L107" s="7">
        <v>2</v>
      </c>
      <c r="M107" s="8">
        <f>IF(COUNTIF(H107:L107,"=0")&gt;=2,0,SUM(H107:L107))</f>
        <v>62</v>
      </c>
    </row>
    <row r="108" spans="1:13" outlineLevel="2" x14ac:dyDescent="0.15">
      <c r="A108" s="4" t="s">
        <v>908</v>
      </c>
      <c r="B108" s="5" t="s">
        <v>112</v>
      </c>
      <c r="C108" s="5" t="s">
        <v>113</v>
      </c>
      <c r="D108" s="5" t="s">
        <v>17</v>
      </c>
      <c r="E108" s="6">
        <v>33615</v>
      </c>
      <c r="F108" s="5" t="s">
        <v>14</v>
      </c>
      <c r="G108" s="5" t="s">
        <v>799</v>
      </c>
      <c r="H108" s="7">
        <v>23</v>
      </c>
      <c r="I108" s="7">
        <v>17</v>
      </c>
      <c r="J108" s="7">
        <v>18</v>
      </c>
      <c r="K108" s="7">
        <v>7</v>
      </c>
      <c r="L108" s="7">
        <v>4</v>
      </c>
      <c r="M108" s="8">
        <f>IF(COUNTIF(H108:L108,"=0")&gt;=2,0,SUM(H108:L108))</f>
        <v>69</v>
      </c>
    </row>
    <row r="109" spans="1:13" outlineLevel="2" x14ac:dyDescent="0.15">
      <c r="A109" s="4" t="s">
        <v>910</v>
      </c>
      <c r="B109" s="5" t="s">
        <v>116</v>
      </c>
      <c r="C109" s="5" t="s">
        <v>117</v>
      </c>
      <c r="D109" s="5" t="s">
        <v>7</v>
      </c>
      <c r="E109" s="6">
        <v>33428</v>
      </c>
      <c r="F109" s="5" t="s">
        <v>14</v>
      </c>
      <c r="G109" s="5" t="s">
        <v>799</v>
      </c>
      <c r="H109" s="7">
        <v>12</v>
      </c>
      <c r="I109" s="7">
        <v>17</v>
      </c>
      <c r="J109" s="7">
        <v>18</v>
      </c>
      <c r="K109" s="7">
        <v>5</v>
      </c>
      <c r="L109" s="7">
        <v>6</v>
      </c>
      <c r="M109" s="8">
        <f>IF(COUNTIF(H109:L109,"=0")&gt;=2,0,SUM(H109:L109))</f>
        <v>58</v>
      </c>
    </row>
    <row r="110" spans="1:13" outlineLevel="2" x14ac:dyDescent="0.15">
      <c r="A110" s="4" t="s">
        <v>911</v>
      </c>
      <c r="B110" s="5" t="s">
        <v>118</v>
      </c>
      <c r="C110" s="5" t="s">
        <v>119</v>
      </c>
      <c r="D110" s="5" t="s">
        <v>7</v>
      </c>
      <c r="E110" s="6">
        <v>33363</v>
      </c>
      <c r="F110" s="5" t="s">
        <v>14</v>
      </c>
      <c r="G110" s="5" t="s">
        <v>799</v>
      </c>
      <c r="H110" s="7">
        <v>19</v>
      </c>
      <c r="I110" s="7">
        <v>18</v>
      </c>
      <c r="J110" s="7">
        <v>16</v>
      </c>
      <c r="K110" s="7">
        <v>8</v>
      </c>
      <c r="L110" s="7">
        <v>6</v>
      </c>
      <c r="M110" s="8">
        <f>IF(COUNTIF(H110:L110,"=0")&gt;=2,0,SUM(H110:L110))</f>
        <v>67</v>
      </c>
    </row>
    <row r="111" spans="1:13" outlineLevel="2" x14ac:dyDescent="0.15">
      <c r="A111" s="4" t="s">
        <v>912</v>
      </c>
      <c r="B111" s="5" t="s">
        <v>120</v>
      </c>
      <c r="C111" s="5" t="s">
        <v>121</v>
      </c>
      <c r="D111" s="5" t="s">
        <v>17</v>
      </c>
      <c r="E111" s="6">
        <v>33614</v>
      </c>
      <c r="F111" s="5" t="s">
        <v>14</v>
      </c>
      <c r="G111" s="5" t="s">
        <v>799</v>
      </c>
      <c r="H111" s="7">
        <v>25</v>
      </c>
      <c r="I111" s="7">
        <v>14</v>
      </c>
      <c r="J111" s="7">
        <v>4</v>
      </c>
      <c r="K111" s="7">
        <v>4</v>
      </c>
      <c r="L111" s="7">
        <v>8</v>
      </c>
      <c r="M111" s="8">
        <f>IF(COUNTIF(H111:L111,"=0")&gt;=2,0,SUM(H111:L111))</f>
        <v>55</v>
      </c>
    </row>
    <row r="112" spans="1:13" outlineLevel="2" x14ac:dyDescent="0.15">
      <c r="A112" s="4" t="s">
        <v>913</v>
      </c>
      <c r="B112" s="5" t="s">
        <v>122</v>
      </c>
      <c r="C112" s="5" t="s">
        <v>123</v>
      </c>
      <c r="D112" s="5" t="s">
        <v>17</v>
      </c>
      <c r="E112" s="6">
        <v>33283</v>
      </c>
      <c r="F112" s="5" t="s">
        <v>14</v>
      </c>
      <c r="G112" s="5" t="s">
        <v>799</v>
      </c>
      <c r="H112" s="7">
        <v>24</v>
      </c>
      <c r="I112" s="7">
        <v>16</v>
      </c>
      <c r="J112" s="7">
        <v>16</v>
      </c>
      <c r="K112" s="7">
        <v>8</v>
      </c>
      <c r="L112" s="7">
        <v>8</v>
      </c>
      <c r="M112" s="8">
        <f>IF(COUNTIF(H112:L112,"=0")&gt;=2,0,SUM(H112:L112))</f>
        <v>72</v>
      </c>
    </row>
    <row r="113" spans="1:13" outlineLevel="2" x14ac:dyDescent="0.15">
      <c r="A113" s="4" t="s">
        <v>914</v>
      </c>
      <c r="B113" s="5" t="s">
        <v>124</v>
      </c>
      <c r="C113" s="5" t="s">
        <v>125</v>
      </c>
      <c r="D113" s="5" t="s">
        <v>17</v>
      </c>
      <c r="E113" s="6">
        <v>33383</v>
      </c>
      <c r="F113" s="5" t="s">
        <v>14</v>
      </c>
      <c r="G113" s="5" t="s">
        <v>799</v>
      </c>
      <c r="H113" s="7">
        <v>17</v>
      </c>
      <c r="I113" s="7">
        <v>19</v>
      </c>
      <c r="J113" s="7">
        <v>19</v>
      </c>
      <c r="K113" s="7">
        <v>8</v>
      </c>
      <c r="L113" s="7">
        <v>8</v>
      </c>
      <c r="M113" s="8">
        <f>IF(COUNTIF(H113:L113,"=0")&gt;=2,0,SUM(H113:L113))</f>
        <v>71</v>
      </c>
    </row>
    <row r="114" spans="1:13" outlineLevel="2" x14ac:dyDescent="0.15">
      <c r="A114" s="4" t="s">
        <v>915</v>
      </c>
      <c r="B114" s="5" t="s">
        <v>126</v>
      </c>
      <c r="C114" s="5" t="s">
        <v>127</v>
      </c>
      <c r="D114" s="5" t="s">
        <v>7</v>
      </c>
      <c r="E114" s="6">
        <v>33313</v>
      </c>
      <c r="F114" s="5" t="s">
        <v>14</v>
      </c>
      <c r="G114" s="5" t="s">
        <v>799</v>
      </c>
      <c r="H114" s="7">
        <v>17</v>
      </c>
      <c r="I114" s="7">
        <v>19</v>
      </c>
      <c r="J114" s="7">
        <v>19</v>
      </c>
      <c r="K114" s="7">
        <v>8</v>
      </c>
      <c r="L114" s="7">
        <v>6</v>
      </c>
      <c r="M114" s="8">
        <f>IF(COUNTIF(H114:L114,"=0")&gt;=2,0,SUM(H114:L114))</f>
        <v>69</v>
      </c>
    </row>
    <row r="115" spans="1:13" outlineLevel="2" x14ac:dyDescent="0.15">
      <c r="A115" s="4" t="s">
        <v>916</v>
      </c>
      <c r="B115" s="5" t="s">
        <v>128</v>
      </c>
      <c r="C115" s="5" t="s">
        <v>129</v>
      </c>
      <c r="D115" s="5" t="s">
        <v>7</v>
      </c>
      <c r="E115" s="6">
        <v>33429</v>
      </c>
      <c r="F115" s="5" t="s">
        <v>14</v>
      </c>
      <c r="G115" s="5" t="s">
        <v>799</v>
      </c>
      <c r="H115" s="7">
        <v>24</v>
      </c>
      <c r="I115" s="7">
        <v>20</v>
      </c>
      <c r="J115" s="7">
        <v>20</v>
      </c>
      <c r="K115" s="7">
        <v>6</v>
      </c>
      <c r="L115" s="7">
        <v>2</v>
      </c>
      <c r="M115" s="8">
        <f>IF(COUNTIF(H115:L115,"=0")&gt;=2,0,SUM(H115:L115))</f>
        <v>72</v>
      </c>
    </row>
    <row r="116" spans="1:13" outlineLevel="2" x14ac:dyDescent="0.15">
      <c r="A116" s="4" t="s">
        <v>917</v>
      </c>
      <c r="B116" s="5" t="s">
        <v>130</v>
      </c>
      <c r="C116" s="5" t="s">
        <v>131</v>
      </c>
      <c r="D116" s="5" t="s">
        <v>7</v>
      </c>
      <c r="E116" s="6">
        <v>33620</v>
      </c>
      <c r="F116" s="5" t="s">
        <v>14</v>
      </c>
      <c r="G116" s="5" t="s">
        <v>799</v>
      </c>
      <c r="H116" s="7">
        <v>13</v>
      </c>
      <c r="I116" s="7">
        <v>15</v>
      </c>
      <c r="J116" s="7">
        <v>5</v>
      </c>
      <c r="K116" s="7">
        <v>6</v>
      </c>
      <c r="L116" s="7">
        <v>0</v>
      </c>
      <c r="M116" s="8">
        <f>IF(COUNTIF(H116:L116,"=0")&gt;=2,0,SUM(H116:L116))</f>
        <v>39</v>
      </c>
    </row>
    <row r="117" spans="1:13" outlineLevel="2" x14ac:dyDescent="0.15">
      <c r="A117" s="4" t="s">
        <v>919</v>
      </c>
      <c r="B117" s="5" t="s">
        <v>134</v>
      </c>
      <c r="C117" s="5" t="s">
        <v>135</v>
      </c>
      <c r="D117" s="5" t="s">
        <v>17</v>
      </c>
      <c r="E117" s="6">
        <v>33393</v>
      </c>
      <c r="F117" s="5" t="s">
        <v>14</v>
      </c>
      <c r="G117" s="5" t="s">
        <v>799</v>
      </c>
      <c r="H117" s="7">
        <v>21</v>
      </c>
      <c r="I117" s="7">
        <v>17</v>
      </c>
      <c r="J117" s="7">
        <v>17</v>
      </c>
      <c r="K117" s="7">
        <v>6</v>
      </c>
      <c r="L117" s="7">
        <v>9</v>
      </c>
      <c r="M117" s="8">
        <f>IF(COUNTIF(H117:L117,"=0")&gt;=2,0,SUM(H117:L117))</f>
        <v>70</v>
      </c>
    </row>
    <row r="118" spans="1:13" outlineLevel="2" x14ac:dyDescent="0.15">
      <c r="A118" s="4" t="s">
        <v>920</v>
      </c>
      <c r="B118" s="5" t="s">
        <v>136</v>
      </c>
      <c r="C118" s="5" t="s">
        <v>137</v>
      </c>
      <c r="D118" s="5" t="s">
        <v>7</v>
      </c>
      <c r="E118" s="6">
        <v>33617</v>
      </c>
      <c r="F118" s="5" t="s">
        <v>14</v>
      </c>
      <c r="G118" s="5" t="s">
        <v>799</v>
      </c>
      <c r="H118" s="7">
        <v>18</v>
      </c>
      <c r="I118" s="7">
        <v>16</v>
      </c>
      <c r="J118" s="7">
        <v>20</v>
      </c>
      <c r="K118" s="7">
        <v>8</v>
      </c>
      <c r="L118" s="7">
        <v>9</v>
      </c>
      <c r="M118" s="8">
        <f>IF(COUNTIF(H118:L118,"=0")&gt;=2,0,SUM(H118:L118))</f>
        <v>71</v>
      </c>
    </row>
    <row r="119" spans="1:13" outlineLevel="2" x14ac:dyDescent="0.15">
      <c r="A119" s="4" t="s">
        <v>922</v>
      </c>
      <c r="B119" s="5" t="s">
        <v>140</v>
      </c>
      <c r="C119" s="5" t="s">
        <v>141</v>
      </c>
      <c r="D119" s="5" t="s">
        <v>7</v>
      </c>
      <c r="E119" s="6">
        <v>33431</v>
      </c>
      <c r="F119" s="5" t="s">
        <v>14</v>
      </c>
      <c r="G119" s="5" t="s">
        <v>799</v>
      </c>
      <c r="H119" s="7">
        <v>18</v>
      </c>
      <c r="I119" s="7">
        <v>13</v>
      </c>
      <c r="J119" s="7">
        <v>11</v>
      </c>
      <c r="K119" s="7">
        <v>0</v>
      </c>
      <c r="L119" s="7">
        <v>0</v>
      </c>
      <c r="M119" s="8">
        <f>IF(COUNTIF(H119:L119,"=0")&gt;=2,0,SUM(H119:L119))</f>
        <v>0</v>
      </c>
    </row>
    <row r="120" spans="1:13" outlineLevel="2" x14ac:dyDescent="0.15">
      <c r="A120" s="4" t="s">
        <v>923</v>
      </c>
      <c r="B120" s="5" t="s">
        <v>142</v>
      </c>
      <c r="C120" s="5" t="s">
        <v>143</v>
      </c>
      <c r="D120" s="5" t="s">
        <v>17</v>
      </c>
      <c r="E120" s="6">
        <v>33559</v>
      </c>
      <c r="F120" s="5" t="s">
        <v>14</v>
      </c>
      <c r="G120" s="5" t="s">
        <v>799</v>
      </c>
      <c r="H120" s="7">
        <v>23</v>
      </c>
      <c r="I120" s="7">
        <v>15</v>
      </c>
      <c r="J120" s="7">
        <v>4</v>
      </c>
      <c r="K120" s="7">
        <v>4</v>
      </c>
      <c r="L120" s="7">
        <v>0</v>
      </c>
      <c r="M120" s="8">
        <f>IF(COUNTIF(H120:L120,"=0")&gt;=2,0,SUM(H120:L120))</f>
        <v>46</v>
      </c>
    </row>
    <row r="121" spans="1:13" outlineLevel="2" x14ac:dyDescent="0.15">
      <c r="A121" s="4" t="s">
        <v>924</v>
      </c>
      <c r="B121" s="5" t="s">
        <v>144</v>
      </c>
      <c r="C121" s="5" t="s">
        <v>145</v>
      </c>
      <c r="D121" s="5" t="s">
        <v>17</v>
      </c>
      <c r="E121" s="6">
        <v>33521</v>
      </c>
      <c r="F121" s="5" t="s">
        <v>14</v>
      </c>
      <c r="G121" s="5" t="s">
        <v>799</v>
      </c>
      <c r="H121" s="7">
        <v>18</v>
      </c>
      <c r="I121" s="7">
        <v>17</v>
      </c>
      <c r="J121" s="7">
        <v>11</v>
      </c>
      <c r="K121" s="7">
        <v>10</v>
      </c>
      <c r="L121" s="7">
        <v>0</v>
      </c>
      <c r="M121" s="8">
        <f>IF(COUNTIF(H121:L121,"=0")&gt;=2,0,SUM(H121:L121))</f>
        <v>56</v>
      </c>
    </row>
    <row r="122" spans="1:13" outlineLevel="2" x14ac:dyDescent="0.15">
      <c r="A122" s="4" t="s">
        <v>925</v>
      </c>
      <c r="B122" s="5" t="s">
        <v>146</v>
      </c>
      <c r="C122" s="5" t="s">
        <v>147</v>
      </c>
      <c r="D122" s="5" t="s">
        <v>17</v>
      </c>
      <c r="E122" s="6">
        <v>33524</v>
      </c>
      <c r="F122" s="5" t="s">
        <v>14</v>
      </c>
      <c r="G122" s="5" t="s">
        <v>799</v>
      </c>
      <c r="H122" s="7">
        <v>17</v>
      </c>
      <c r="I122" s="7">
        <v>15</v>
      </c>
      <c r="J122" s="7">
        <v>9</v>
      </c>
      <c r="K122" s="7">
        <v>6</v>
      </c>
      <c r="L122" s="7">
        <v>0</v>
      </c>
      <c r="M122" s="8">
        <f>IF(COUNTIF(H122:L122,"=0")&gt;=2,0,SUM(H122:L122))</f>
        <v>47</v>
      </c>
    </row>
    <row r="123" spans="1:13" outlineLevel="2" x14ac:dyDescent="0.15">
      <c r="A123" s="4" t="s">
        <v>927</v>
      </c>
      <c r="B123" s="5" t="s">
        <v>150</v>
      </c>
      <c r="C123" s="5" t="s">
        <v>151</v>
      </c>
      <c r="D123" s="5" t="s">
        <v>7</v>
      </c>
      <c r="E123" s="6">
        <v>33546</v>
      </c>
      <c r="F123" s="5" t="s">
        <v>14</v>
      </c>
      <c r="G123" s="5" t="s">
        <v>799</v>
      </c>
      <c r="H123" s="7">
        <v>21</v>
      </c>
      <c r="I123" s="7">
        <v>4</v>
      </c>
      <c r="J123" s="7">
        <v>7</v>
      </c>
      <c r="K123" s="7">
        <v>6</v>
      </c>
      <c r="L123" s="7">
        <v>0</v>
      </c>
      <c r="M123" s="8">
        <f>IF(COUNTIF(H123:L123,"=0")&gt;=2,0,SUM(H123:L123))</f>
        <v>38</v>
      </c>
    </row>
    <row r="124" spans="1:13" outlineLevel="2" x14ac:dyDescent="0.15">
      <c r="A124" s="4" t="s">
        <v>928</v>
      </c>
      <c r="B124" s="5" t="s">
        <v>152</v>
      </c>
      <c r="C124" s="5" t="s">
        <v>153</v>
      </c>
      <c r="D124" s="5" t="s">
        <v>17</v>
      </c>
      <c r="E124" s="6">
        <v>33283</v>
      </c>
      <c r="F124" s="5" t="s">
        <v>14</v>
      </c>
      <c r="G124" s="5" t="s">
        <v>799</v>
      </c>
      <c r="H124" s="7">
        <v>12</v>
      </c>
      <c r="I124" s="7">
        <v>17</v>
      </c>
      <c r="J124" s="7">
        <v>13</v>
      </c>
      <c r="K124" s="7">
        <v>4</v>
      </c>
      <c r="L124" s="7">
        <v>0</v>
      </c>
      <c r="M124" s="8">
        <f>IF(COUNTIF(H124:L124,"=0")&gt;=2,0,SUM(H124:L124))</f>
        <v>46</v>
      </c>
    </row>
    <row r="125" spans="1:13" outlineLevel="2" x14ac:dyDescent="0.15">
      <c r="A125" s="4" t="s">
        <v>929</v>
      </c>
      <c r="B125" s="5" t="s">
        <v>154</v>
      </c>
      <c r="C125" s="5" t="s">
        <v>155</v>
      </c>
      <c r="D125" s="5" t="s">
        <v>7</v>
      </c>
      <c r="E125" s="6">
        <v>33422</v>
      </c>
      <c r="F125" s="5" t="s">
        <v>14</v>
      </c>
      <c r="G125" s="5" t="s">
        <v>799</v>
      </c>
      <c r="H125" s="7">
        <v>13</v>
      </c>
      <c r="I125" s="7">
        <v>16</v>
      </c>
      <c r="J125" s="7">
        <v>5</v>
      </c>
      <c r="K125" s="7">
        <v>0</v>
      </c>
      <c r="L125" s="7">
        <v>0</v>
      </c>
      <c r="M125" s="8">
        <f>IF(COUNTIF(H125:L125,"=0")&gt;=2,0,SUM(H125:L125))</f>
        <v>0</v>
      </c>
    </row>
    <row r="126" spans="1:13" outlineLevel="2" x14ac:dyDescent="0.15">
      <c r="A126" s="4" t="s">
        <v>930</v>
      </c>
      <c r="B126" s="5" t="s">
        <v>156</v>
      </c>
      <c r="C126" s="5" t="s">
        <v>157</v>
      </c>
      <c r="D126" s="5" t="s">
        <v>7</v>
      </c>
      <c r="E126" s="6">
        <v>33576</v>
      </c>
      <c r="F126" s="5" t="s">
        <v>14</v>
      </c>
      <c r="G126" s="5" t="s">
        <v>799</v>
      </c>
      <c r="H126" s="7">
        <v>12</v>
      </c>
      <c r="I126" s="7">
        <v>11</v>
      </c>
      <c r="J126" s="7">
        <v>5</v>
      </c>
      <c r="K126" s="7">
        <v>0</v>
      </c>
      <c r="L126" s="7">
        <v>0</v>
      </c>
      <c r="M126" s="8">
        <f>IF(COUNTIF(H126:L126,"=0")&gt;=2,0,SUM(H126:L126))</f>
        <v>0</v>
      </c>
    </row>
    <row r="127" spans="1:13" outlineLevel="2" x14ac:dyDescent="0.15">
      <c r="A127" s="4" t="s">
        <v>931</v>
      </c>
      <c r="B127" s="5" t="s">
        <v>158</v>
      </c>
      <c r="C127" s="5" t="s">
        <v>159</v>
      </c>
      <c r="D127" s="5" t="s">
        <v>17</v>
      </c>
      <c r="E127" s="6">
        <v>33382</v>
      </c>
      <c r="F127" s="5" t="s">
        <v>14</v>
      </c>
      <c r="G127" s="5" t="s">
        <v>799</v>
      </c>
      <c r="H127" s="7">
        <v>13</v>
      </c>
      <c r="I127" s="7">
        <v>16</v>
      </c>
      <c r="J127" s="7">
        <v>10</v>
      </c>
      <c r="K127" s="7">
        <v>4</v>
      </c>
      <c r="L127" s="7">
        <v>0</v>
      </c>
      <c r="M127" s="8">
        <f>IF(COUNTIF(H127:L127,"=0")&gt;=2,0,SUM(H127:L127))</f>
        <v>43</v>
      </c>
    </row>
    <row r="128" spans="1:13" outlineLevel="2" x14ac:dyDescent="0.15">
      <c r="A128" s="4" t="s">
        <v>932</v>
      </c>
      <c r="B128" s="5" t="s">
        <v>160</v>
      </c>
      <c r="C128" s="5" t="s">
        <v>161</v>
      </c>
      <c r="D128" s="5" t="s">
        <v>17</v>
      </c>
      <c r="E128" s="6">
        <v>33364</v>
      </c>
      <c r="F128" s="5" t="s">
        <v>14</v>
      </c>
      <c r="G128" s="5" t="s">
        <v>800</v>
      </c>
      <c r="H128" s="7">
        <v>26</v>
      </c>
      <c r="I128" s="7">
        <v>20</v>
      </c>
      <c r="J128" s="7">
        <v>17</v>
      </c>
      <c r="K128" s="7">
        <v>10</v>
      </c>
      <c r="L128" s="7">
        <v>8</v>
      </c>
      <c r="M128" s="8">
        <f>IF(COUNTIF(H128:L128,"=0")&gt;=2,0,SUM(H128:L128))</f>
        <v>81</v>
      </c>
    </row>
    <row r="129" spans="1:13" outlineLevel="2" x14ac:dyDescent="0.15">
      <c r="A129" s="4" t="s">
        <v>934</v>
      </c>
      <c r="B129" s="5" t="s">
        <v>164</v>
      </c>
      <c r="C129" s="5" t="s">
        <v>165</v>
      </c>
      <c r="D129" s="5" t="s">
        <v>17</v>
      </c>
      <c r="E129" s="6">
        <v>33477</v>
      </c>
      <c r="F129" s="5" t="s">
        <v>14</v>
      </c>
      <c r="G129" s="5" t="s">
        <v>800</v>
      </c>
      <c r="H129" s="7">
        <v>18</v>
      </c>
      <c r="I129" s="7">
        <v>16</v>
      </c>
      <c r="J129" s="7">
        <v>16</v>
      </c>
      <c r="K129" s="7">
        <v>7</v>
      </c>
      <c r="L129" s="7">
        <v>6</v>
      </c>
      <c r="M129" s="8">
        <f>IF(COUNTIF(H129:L129,"=0")&gt;=2,0,SUM(H129:L129))</f>
        <v>63</v>
      </c>
    </row>
    <row r="130" spans="1:13" outlineLevel="2" x14ac:dyDescent="0.15">
      <c r="A130" s="4" t="s">
        <v>935</v>
      </c>
      <c r="B130" s="5" t="s">
        <v>166</v>
      </c>
      <c r="C130" s="5" t="s">
        <v>167</v>
      </c>
      <c r="D130" s="5" t="s">
        <v>17</v>
      </c>
      <c r="E130" s="6">
        <v>33368</v>
      </c>
      <c r="F130" s="5" t="s">
        <v>14</v>
      </c>
      <c r="G130" s="5" t="s">
        <v>800</v>
      </c>
      <c r="H130" s="7">
        <v>14</v>
      </c>
      <c r="I130" s="7">
        <v>15</v>
      </c>
      <c r="J130" s="7">
        <v>5</v>
      </c>
      <c r="K130" s="7">
        <v>4</v>
      </c>
      <c r="L130" s="7">
        <v>0</v>
      </c>
      <c r="M130" s="8">
        <f>IF(COUNTIF(H130:L130,"=0")&gt;=2,0,SUM(H130:L130))</f>
        <v>38</v>
      </c>
    </row>
    <row r="131" spans="1:13" outlineLevel="2" x14ac:dyDescent="0.15">
      <c r="A131" s="4" t="s">
        <v>936</v>
      </c>
      <c r="B131" s="5" t="s">
        <v>168</v>
      </c>
      <c r="C131" s="5" t="s">
        <v>169</v>
      </c>
      <c r="D131" s="5" t="s">
        <v>17</v>
      </c>
      <c r="E131" s="6">
        <v>33523</v>
      </c>
      <c r="F131" s="5" t="s">
        <v>14</v>
      </c>
      <c r="G131" s="5" t="s">
        <v>800</v>
      </c>
      <c r="H131" s="7">
        <v>16</v>
      </c>
      <c r="I131" s="7">
        <v>18</v>
      </c>
      <c r="J131" s="7">
        <v>18</v>
      </c>
      <c r="K131" s="7">
        <v>10</v>
      </c>
      <c r="L131" s="7">
        <v>8</v>
      </c>
      <c r="M131" s="8">
        <f>IF(COUNTIF(H131:L131,"=0")&gt;=2,0,SUM(H131:L131))</f>
        <v>70</v>
      </c>
    </row>
    <row r="132" spans="1:13" outlineLevel="2" x14ac:dyDescent="0.15">
      <c r="A132" s="4" t="s">
        <v>937</v>
      </c>
      <c r="B132" s="5" t="s">
        <v>170</v>
      </c>
      <c r="C132" s="5" t="s">
        <v>171</v>
      </c>
      <c r="D132" s="5" t="s">
        <v>17</v>
      </c>
      <c r="E132" s="6">
        <v>33285</v>
      </c>
      <c r="F132" s="5" t="s">
        <v>14</v>
      </c>
      <c r="G132" s="5" t="s">
        <v>800</v>
      </c>
      <c r="H132" s="7">
        <v>33</v>
      </c>
      <c r="I132" s="7">
        <v>17</v>
      </c>
      <c r="J132" s="7">
        <v>19</v>
      </c>
      <c r="K132" s="7">
        <v>10</v>
      </c>
      <c r="L132" s="7">
        <v>9</v>
      </c>
      <c r="M132" s="8">
        <f>IF(COUNTIF(H132:L132,"=0")&gt;=2,0,SUM(H132:L132))</f>
        <v>88</v>
      </c>
    </row>
    <row r="133" spans="1:13" outlineLevel="2" x14ac:dyDescent="0.15">
      <c r="A133" s="4" t="s">
        <v>939</v>
      </c>
      <c r="B133" s="5" t="s">
        <v>174</v>
      </c>
      <c r="C133" s="5" t="s">
        <v>175</v>
      </c>
      <c r="D133" s="5" t="s">
        <v>17</v>
      </c>
      <c r="E133" s="6">
        <v>33279</v>
      </c>
      <c r="F133" s="5" t="s">
        <v>14</v>
      </c>
      <c r="G133" s="5" t="s">
        <v>800</v>
      </c>
      <c r="H133" s="7">
        <v>26</v>
      </c>
      <c r="I133" s="7">
        <v>15</v>
      </c>
      <c r="J133" s="7">
        <v>18</v>
      </c>
      <c r="K133" s="7">
        <v>9</v>
      </c>
      <c r="L133" s="7">
        <v>9</v>
      </c>
      <c r="M133" s="8">
        <f>IF(COUNTIF(H133:L133,"=0")&gt;=2,0,SUM(H133:L133))</f>
        <v>77</v>
      </c>
    </row>
    <row r="134" spans="1:13" outlineLevel="2" x14ac:dyDescent="0.15">
      <c r="A134" s="4" t="s">
        <v>940</v>
      </c>
      <c r="B134" s="5" t="s">
        <v>176</v>
      </c>
      <c r="C134" s="5" t="s">
        <v>177</v>
      </c>
      <c r="D134" s="5" t="s">
        <v>17</v>
      </c>
      <c r="E134" s="6">
        <v>33406</v>
      </c>
      <c r="F134" s="5" t="s">
        <v>14</v>
      </c>
      <c r="G134" s="5" t="s">
        <v>800</v>
      </c>
      <c r="H134" s="7">
        <v>24</v>
      </c>
      <c r="I134" s="7">
        <v>20</v>
      </c>
      <c r="J134" s="7">
        <v>18</v>
      </c>
      <c r="K134" s="7">
        <v>8</v>
      </c>
      <c r="L134" s="7">
        <v>9</v>
      </c>
      <c r="M134" s="8">
        <f>IF(COUNTIF(H134:L134,"=0")&gt;=2,0,SUM(H134:L134))</f>
        <v>79</v>
      </c>
    </row>
    <row r="135" spans="1:13" outlineLevel="2" x14ac:dyDescent="0.15">
      <c r="A135" s="4" t="s">
        <v>941</v>
      </c>
      <c r="B135" s="5" t="s">
        <v>178</v>
      </c>
      <c r="C135" s="5" t="s">
        <v>179</v>
      </c>
      <c r="D135" s="5" t="s">
        <v>17</v>
      </c>
      <c r="E135" s="6">
        <v>33577</v>
      </c>
      <c r="F135" s="5" t="s">
        <v>14</v>
      </c>
      <c r="G135" s="5" t="s">
        <v>800</v>
      </c>
      <c r="H135" s="7">
        <v>23</v>
      </c>
      <c r="I135" s="7">
        <v>19</v>
      </c>
      <c r="J135" s="7">
        <v>17</v>
      </c>
      <c r="K135" s="7">
        <v>9</v>
      </c>
      <c r="L135" s="7">
        <v>9</v>
      </c>
      <c r="M135" s="8">
        <f>IF(COUNTIF(H135:L135,"=0")&gt;=2,0,SUM(H135:L135))</f>
        <v>77</v>
      </c>
    </row>
    <row r="136" spans="1:13" outlineLevel="2" x14ac:dyDescent="0.15">
      <c r="A136" s="4" t="s">
        <v>943</v>
      </c>
      <c r="B136" s="5" t="s">
        <v>182</v>
      </c>
      <c r="C136" s="5" t="s">
        <v>183</v>
      </c>
      <c r="D136" s="5" t="s">
        <v>7</v>
      </c>
      <c r="E136" s="6">
        <v>33418</v>
      </c>
      <c r="F136" s="5" t="s">
        <v>14</v>
      </c>
      <c r="G136" s="5" t="s">
        <v>800</v>
      </c>
      <c r="H136" s="7">
        <v>34</v>
      </c>
      <c r="I136" s="7">
        <v>16</v>
      </c>
      <c r="J136" s="7">
        <v>10</v>
      </c>
      <c r="K136" s="7">
        <v>9</v>
      </c>
      <c r="L136" s="7">
        <v>0</v>
      </c>
      <c r="M136" s="8">
        <f>IF(COUNTIF(H136:L136,"=0")&gt;=2,0,SUM(H136:L136))</f>
        <v>69</v>
      </c>
    </row>
    <row r="137" spans="1:13" outlineLevel="2" x14ac:dyDescent="0.15">
      <c r="A137" s="4" t="s">
        <v>944</v>
      </c>
      <c r="B137" s="5" t="s">
        <v>184</v>
      </c>
      <c r="C137" s="5" t="s">
        <v>185</v>
      </c>
      <c r="D137" s="5" t="s">
        <v>7</v>
      </c>
      <c r="E137" s="6">
        <v>33276</v>
      </c>
      <c r="F137" s="5" t="s">
        <v>14</v>
      </c>
      <c r="G137" s="5" t="s">
        <v>800</v>
      </c>
      <c r="H137" s="7">
        <v>20</v>
      </c>
      <c r="I137" s="7">
        <v>18</v>
      </c>
      <c r="J137" s="7">
        <v>0</v>
      </c>
      <c r="K137" s="7">
        <v>0</v>
      </c>
      <c r="L137" s="7">
        <v>0</v>
      </c>
      <c r="M137" s="8">
        <f>IF(COUNTIF(H137:L137,"=0")&gt;=2,0,SUM(H137:L137))</f>
        <v>0</v>
      </c>
    </row>
    <row r="138" spans="1:13" outlineLevel="2" x14ac:dyDescent="0.15">
      <c r="A138" s="4" t="s">
        <v>945</v>
      </c>
      <c r="B138" s="5" t="s">
        <v>186</v>
      </c>
      <c r="C138" s="5" t="s">
        <v>187</v>
      </c>
      <c r="D138" s="5" t="s">
        <v>17</v>
      </c>
      <c r="E138" s="6">
        <v>33278</v>
      </c>
      <c r="F138" s="5" t="s">
        <v>14</v>
      </c>
      <c r="G138" s="5" t="s">
        <v>800</v>
      </c>
      <c r="H138" s="7">
        <v>33</v>
      </c>
      <c r="I138" s="7">
        <v>18</v>
      </c>
      <c r="J138" s="7">
        <v>19</v>
      </c>
      <c r="K138" s="7">
        <v>9</v>
      </c>
      <c r="L138" s="7">
        <v>9</v>
      </c>
      <c r="M138" s="8">
        <f>IF(COUNTIF(H138:L138,"=0")&gt;=2,0,SUM(H138:L138))</f>
        <v>88</v>
      </c>
    </row>
    <row r="139" spans="1:13" outlineLevel="2" x14ac:dyDescent="0.15">
      <c r="A139" s="4" t="s">
        <v>946</v>
      </c>
      <c r="B139" s="5" t="s">
        <v>188</v>
      </c>
      <c r="C139" s="5" t="s">
        <v>189</v>
      </c>
      <c r="D139" s="5" t="s">
        <v>7</v>
      </c>
      <c r="E139" s="6">
        <v>33568</v>
      </c>
      <c r="F139" s="5" t="s">
        <v>14</v>
      </c>
      <c r="G139" s="5" t="s">
        <v>800</v>
      </c>
      <c r="H139" s="7">
        <v>34</v>
      </c>
      <c r="I139" s="7">
        <v>19</v>
      </c>
      <c r="J139" s="7">
        <v>20</v>
      </c>
      <c r="K139" s="7">
        <v>10</v>
      </c>
      <c r="L139" s="7">
        <v>9</v>
      </c>
      <c r="M139" s="8">
        <f>IF(COUNTIF(H139:L139,"=0")&gt;=2,0,SUM(H139:L139))</f>
        <v>92</v>
      </c>
    </row>
    <row r="140" spans="1:13" outlineLevel="2" x14ac:dyDescent="0.15">
      <c r="A140" s="4" t="s">
        <v>948</v>
      </c>
      <c r="B140" s="5" t="s">
        <v>192</v>
      </c>
      <c r="C140" s="5" t="s">
        <v>193</v>
      </c>
      <c r="D140" s="5" t="s">
        <v>7</v>
      </c>
      <c r="E140" s="6">
        <v>33264</v>
      </c>
      <c r="F140" s="5" t="s">
        <v>14</v>
      </c>
      <c r="G140" s="5" t="s">
        <v>800</v>
      </c>
      <c r="H140" s="7">
        <v>34</v>
      </c>
      <c r="I140" s="7">
        <v>18</v>
      </c>
      <c r="J140" s="7">
        <v>16</v>
      </c>
      <c r="K140" s="7">
        <v>6</v>
      </c>
      <c r="L140" s="7">
        <v>8</v>
      </c>
      <c r="M140" s="8">
        <f>IF(COUNTIF(H140:L140,"=0")&gt;=2,0,SUM(H140:L140))</f>
        <v>82</v>
      </c>
    </row>
    <row r="141" spans="1:13" outlineLevel="2" x14ac:dyDescent="0.15">
      <c r="A141" s="4" t="s">
        <v>950</v>
      </c>
      <c r="B141" s="5" t="s">
        <v>196</v>
      </c>
      <c r="C141" s="5" t="s">
        <v>197</v>
      </c>
      <c r="D141" s="5" t="s">
        <v>7</v>
      </c>
      <c r="E141" s="6">
        <v>33378</v>
      </c>
      <c r="F141" s="5" t="s">
        <v>14</v>
      </c>
      <c r="G141" s="5" t="s">
        <v>800</v>
      </c>
      <c r="H141" s="7">
        <v>25</v>
      </c>
      <c r="I141" s="7">
        <v>20</v>
      </c>
      <c r="J141" s="7">
        <v>18</v>
      </c>
      <c r="K141" s="7">
        <v>10</v>
      </c>
      <c r="L141" s="7">
        <v>10</v>
      </c>
      <c r="M141" s="8">
        <f>IF(COUNTIF(H141:L141,"=0")&gt;=2,0,SUM(H141:L141))</f>
        <v>83</v>
      </c>
    </row>
    <row r="142" spans="1:13" outlineLevel="2" x14ac:dyDescent="0.15">
      <c r="A142" s="4" t="s">
        <v>951</v>
      </c>
      <c r="B142" s="5" t="s">
        <v>198</v>
      </c>
      <c r="C142" s="5" t="s">
        <v>199</v>
      </c>
      <c r="D142" s="5" t="s">
        <v>17</v>
      </c>
      <c r="E142" s="6">
        <v>33253</v>
      </c>
      <c r="F142" s="5" t="s">
        <v>14</v>
      </c>
      <c r="G142" s="5" t="s">
        <v>800</v>
      </c>
      <c r="H142" s="7">
        <v>26</v>
      </c>
      <c r="I142" s="7">
        <v>17</v>
      </c>
      <c r="J142" s="7">
        <v>17</v>
      </c>
      <c r="K142" s="7">
        <v>9</v>
      </c>
      <c r="L142" s="7">
        <v>9</v>
      </c>
      <c r="M142" s="8">
        <f>IF(COUNTIF(H142:L142,"=0")&gt;=2,0,SUM(H142:L142))</f>
        <v>78</v>
      </c>
    </row>
    <row r="143" spans="1:13" outlineLevel="2" x14ac:dyDescent="0.15">
      <c r="A143" s="4" t="s">
        <v>953</v>
      </c>
      <c r="B143" s="5" t="s">
        <v>202</v>
      </c>
      <c r="C143" s="5" t="s">
        <v>203</v>
      </c>
      <c r="D143" s="5" t="s">
        <v>17</v>
      </c>
      <c r="E143" s="6">
        <v>33526</v>
      </c>
      <c r="F143" s="5" t="s">
        <v>14</v>
      </c>
      <c r="G143" s="5" t="s">
        <v>800</v>
      </c>
      <c r="H143" s="7">
        <v>35</v>
      </c>
      <c r="I143" s="7">
        <v>20</v>
      </c>
      <c r="J143" s="7">
        <v>19</v>
      </c>
      <c r="K143" s="7">
        <v>10</v>
      </c>
      <c r="L143" s="7">
        <v>10</v>
      </c>
      <c r="M143" s="8">
        <f>IF(COUNTIF(H143:L143,"=0")&gt;=2,0,SUM(H143:L143))</f>
        <v>94</v>
      </c>
    </row>
    <row r="144" spans="1:13" outlineLevel="2" x14ac:dyDescent="0.15">
      <c r="A144" s="4" t="s">
        <v>954</v>
      </c>
      <c r="B144" s="5" t="s">
        <v>204</v>
      </c>
      <c r="C144" s="5" t="s">
        <v>205</v>
      </c>
      <c r="D144" s="5" t="s">
        <v>7</v>
      </c>
      <c r="E144" s="6">
        <v>33359</v>
      </c>
      <c r="F144" s="5" t="s">
        <v>14</v>
      </c>
      <c r="G144" s="5" t="s">
        <v>800</v>
      </c>
      <c r="H144" s="7">
        <v>25</v>
      </c>
      <c r="I144" s="7">
        <v>19</v>
      </c>
      <c r="J144" s="7">
        <v>19</v>
      </c>
      <c r="K144" s="7">
        <v>10</v>
      </c>
      <c r="L144" s="7">
        <v>2</v>
      </c>
      <c r="M144" s="8">
        <f>IF(COUNTIF(H144:L144,"=0")&gt;=2,0,SUM(H144:L144))</f>
        <v>75</v>
      </c>
    </row>
    <row r="145" spans="1:13" outlineLevel="2" x14ac:dyDescent="0.15">
      <c r="A145" s="4" t="s">
        <v>955</v>
      </c>
      <c r="B145" s="5" t="s">
        <v>206</v>
      </c>
      <c r="C145" s="5" t="s">
        <v>207</v>
      </c>
      <c r="D145" s="5" t="s">
        <v>17</v>
      </c>
      <c r="E145" s="6">
        <v>33558</v>
      </c>
      <c r="F145" s="5" t="s">
        <v>14</v>
      </c>
      <c r="G145" s="5" t="s">
        <v>800</v>
      </c>
      <c r="H145" s="7">
        <v>34</v>
      </c>
      <c r="I145" s="7">
        <v>18</v>
      </c>
      <c r="J145" s="7">
        <v>19</v>
      </c>
      <c r="K145" s="7">
        <v>9</v>
      </c>
      <c r="L145" s="7">
        <v>9</v>
      </c>
      <c r="M145" s="8">
        <f>IF(COUNTIF(H145:L145,"=0")&gt;=2,0,SUM(H145:L145))</f>
        <v>89</v>
      </c>
    </row>
    <row r="146" spans="1:13" outlineLevel="2" x14ac:dyDescent="0.15">
      <c r="A146" s="4" t="s">
        <v>956</v>
      </c>
      <c r="B146" s="5" t="s">
        <v>208</v>
      </c>
      <c r="C146" s="5" t="s">
        <v>209</v>
      </c>
      <c r="D146" s="5" t="s">
        <v>7</v>
      </c>
      <c r="E146" s="6">
        <v>33517</v>
      </c>
      <c r="F146" s="5" t="s">
        <v>14</v>
      </c>
      <c r="G146" s="5" t="s">
        <v>800</v>
      </c>
      <c r="H146" s="7">
        <v>26</v>
      </c>
      <c r="I146" s="7">
        <v>18</v>
      </c>
      <c r="J146" s="7">
        <v>16</v>
      </c>
      <c r="K146" s="7">
        <v>10</v>
      </c>
      <c r="L146" s="7">
        <v>1</v>
      </c>
      <c r="M146" s="8">
        <f>IF(COUNTIF(H146:L146,"=0")&gt;=2,0,SUM(H146:L146))</f>
        <v>71</v>
      </c>
    </row>
    <row r="147" spans="1:13" outlineLevel="2" x14ac:dyDescent="0.15">
      <c r="A147" s="4" t="s">
        <v>957</v>
      </c>
      <c r="B147" s="5" t="s">
        <v>210</v>
      </c>
      <c r="C147" s="5" t="s">
        <v>211</v>
      </c>
      <c r="D147" s="5" t="s">
        <v>7</v>
      </c>
      <c r="E147" s="6">
        <v>33240</v>
      </c>
      <c r="F147" s="5" t="s">
        <v>14</v>
      </c>
      <c r="G147" s="5" t="s">
        <v>800</v>
      </c>
      <c r="H147" s="7">
        <v>35</v>
      </c>
      <c r="I147" s="7">
        <v>15</v>
      </c>
      <c r="J147" s="7">
        <v>13</v>
      </c>
      <c r="K147" s="7">
        <v>3</v>
      </c>
      <c r="L147" s="7">
        <v>1</v>
      </c>
      <c r="M147" s="8">
        <f>IF(COUNTIF(H147:L147,"=0")&gt;=2,0,SUM(H147:L147))</f>
        <v>67</v>
      </c>
    </row>
    <row r="148" spans="1:13" outlineLevel="2" x14ac:dyDescent="0.15">
      <c r="A148" s="4" t="s">
        <v>958</v>
      </c>
      <c r="B148" s="5" t="s">
        <v>212</v>
      </c>
      <c r="C148" s="5" t="s">
        <v>213</v>
      </c>
      <c r="D148" s="5" t="s">
        <v>17</v>
      </c>
      <c r="E148" s="6">
        <v>33548</v>
      </c>
      <c r="F148" s="5" t="s">
        <v>14</v>
      </c>
      <c r="G148" s="5" t="s">
        <v>801</v>
      </c>
      <c r="H148" s="7">
        <v>16</v>
      </c>
      <c r="I148" s="7">
        <v>16</v>
      </c>
      <c r="J148" s="7">
        <v>4</v>
      </c>
      <c r="K148" s="7">
        <v>9</v>
      </c>
      <c r="L148" s="7">
        <v>0</v>
      </c>
      <c r="M148" s="8">
        <f>IF(COUNTIF(H148:L148,"=0")&gt;=2,0,SUM(H148:L148))</f>
        <v>45</v>
      </c>
    </row>
    <row r="149" spans="1:13" outlineLevel="2" x14ac:dyDescent="0.15">
      <c r="A149" s="4" t="s">
        <v>959</v>
      </c>
      <c r="B149" s="5" t="s">
        <v>214</v>
      </c>
      <c r="C149" s="5" t="s">
        <v>215</v>
      </c>
      <c r="D149" s="5" t="s">
        <v>17</v>
      </c>
      <c r="E149" s="6">
        <v>33419</v>
      </c>
      <c r="F149" s="5" t="s">
        <v>14</v>
      </c>
      <c r="G149" s="5" t="s">
        <v>801</v>
      </c>
      <c r="H149" s="7">
        <v>27</v>
      </c>
      <c r="I149" s="7">
        <v>16</v>
      </c>
      <c r="J149" s="7">
        <v>16</v>
      </c>
      <c r="K149" s="7">
        <v>6</v>
      </c>
      <c r="L149" s="7">
        <v>8</v>
      </c>
      <c r="M149" s="8">
        <f>IF(COUNTIF(H149:L149,"=0")&gt;=2,0,SUM(H149:L149))</f>
        <v>73</v>
      </c>
    </row>
    <row r="150" spans="1:13" outlineLevel="2" x14ac:dyDescent="0.15">
      <c r="A150" s="4" t="s">
        <v>960</v>
      </c>
      <c r="B150" s="5" t="s">
        <v>216</v>
      </c>
      <c r="C150" s="5" t="s">
        <v>217</v>
      </c>
      <c r="D150" s="5" t="s">
        <v>17</v>
      </c>
      <c r="E150" s="6">
        <v>33516</v>
      </c>
      <c r="F150" s="5" t="s">
        <v>14</v>
      </c>
      <c r="G150" s="5" t="s">
        <v>801</v>
      </c>
      <c r="H150" s="7">
        <v>26</v>
      </c>
      <c r="I150" s="7">
        <v>17</v>
      </c>
      <c r="J150" s="7">
        <v>16</v>
      </c>
      <c r="K150" s="7">
        <v>6</v>
      </c>
      <c r="L150" s="7">
        <v>8</v>
      </c>
      <c r="M150" s="8">
        <f>IF(COUNTIF(H150:L150,"=0")&gt;=2,0,SUM(H150:L150))</f>
        <v>73</v>
      </c>
    </row>
    <row r="151" spans="1:13" outlineLevel="2" x14ac:dyDescent="0.15">
      <c r="A151" s="4" t="s">
        <v>961</v>
      </c>
      <c r="B151" s="5" t="s">
        <v>218</v>
      </c>
      <c r="C151" s="5" t="s">
        <v>219</v>
      </c>
      <c r="D151" s="5" t="s">
        <v>17</v>
      </c>
      <c r="E151" s="6">
        <v>33519</v>
      </c>
      <c r="F151" s="5" t="s">
        <v>14</v>
      </c>
      <c r="G151" s="5" t="s">
        <v>801</v>
      </c>
      <c r="H151" s="7">
        <v>34</v>
      </c>
      <c r="I151" s="7">
        <v>16</v>
      </c>
      <c r="J151" s="7">
        <v>16</v>
      </c>
      <c r="K151" s="7">
        <v>6</v>
      </c>
      <c r="L151" s="7">
        <v>8</v>
      </c>
      <c r="M151" s="8">
        <f>IF(COUNTIF(H151:L151,"=0")&gt;=2,0,SUM(H151:L151))</f>
        <v>80</v>
      </c>
    </row>
    <row r="152" spans="1:13" outlineLevel="2" x14ac:dyDescent="0.15">
      <c r="A152" s="4" t="s">
        <v>963</v>
      </c>
      <c r="B152" s="5" t="s">
        <v>222</v>
      </c>
      <c r="C152" s="5" t="s">
        <v>223</v>
      </c>
      <c r="D152" s="5" t="s">
        <v>7</v>
      </c>
      <c r="E152" s="6">
        <v>33562</v>
      </c>
      <c r="F152" s="5" t="s">
        <v>14</v>
      </c>
      <c r="G152" s="5" t="s">
        <v>801</v>
      </c>
      <c r="H152" s="7">
        <v>33</v>
      </c>
      <c r="I152" s="7">
        <v>20</v>
      </c>
      <c r="J152" s="7">
        <v>13</v>
      </c>
      <c r="K152" s="7">
        <v>9</v>
      </c>
      <c r="L152" s="7">
        <v>0</v>
      </c>
      <c r="M152" s="8">
        <f>IF(COUNTIF(H152:L152,"=0")&gt;=2,0,SUM(H152:L152))</f>
        <v>75</v>
      </c>
    </row>
    <row r="153" spans="1:13" outlineLevel="2" x14ac:dyDescent="0.15">
      <c r="A153" s="4" t="s">
        <v>964</v>
      </c>
      <c r="B153" s="5" t="s">
        <v>224</v>
      </c>
      <c r="C153" s="5" t="s">
        <v>225</v>
      </c>
      <c r="D153" s="5" t="s">
        <v>17</v>
      </c>
      <c r="E153" s="6">
        <v>33414</v>
      </c>
      <c r="F153" s="5" t="s">
        <v>14</v>
      </c>
      <c r="G153" s="5" t="s">
        <v>801</v>
      </c>
      <c r="H153" s="7">
        <v>27</v>
      </c>
      <c r="I153" s="7">
        <v>19</v>
      </c>
      <c r="J153" s="7">
        <v>14</v>
      </c>
      <c r="K153" s="7">
        <v>2</v>
      </c>
      <c r="L153" s="7">
        <v>0</v>
      </c>
      <c r="M153" s="8">
        <f>IF(COUNTIF(H153:L153,"=0")&gt;=2,0,SUM(H153:L153))</f>
        <v>62</v>
      </c>
    </row>
    <row r="154" spans="1:13" outlineLevel="2" x14ac:dyDescent="0.15">
      <c r="A154" s="4" t="s">
        <v>965</v>
      </c>
      <c r="B154" s="5" t="s">
        <v>226</v>
      </c>
      <c r="C154" s="5" t="s">
        <v>227</v>
      </c>
      <c r="D154" s="5" t="s">
        <v>17</v>
      </c>
      <c r="E154" s="6">
        <v>33619</v>
      </c>
      <c r="F154" s="5" t="s">
        <v>14</v>
      </c>
      <c r="G154" s="5" t="s">
        <v>801</v>
      </c>
      <c r="H154" s="7">
        <v>32</v>
      </c>
      <c r="I154" s="7">
        <v>18</v>
      </c>
      <c r="J154" s="7">
        <v>19</v>
      </c>
      <c r="K154" s="7">
        <v>10</v>
      </c>
      <c r="L154" s="7">
        <v>8</v>
      </c>
      <c r="M154" s="8">
        <f>IF(COUNTIF(H154:L154,"=0")&gt;=2,0,SUM(H154:L154))</f>
        <v>87</v>
      </c>
    </row>
    <row r="155" spans="1:13" outlineLevel="2" x14ac:dyDescent="0.15">
      <c r="A155" s="4" t="s">
        <v>966</v>
      </c>
      <c r="B155" s="5" t="s">
        <v>228</v>
      </c>
      <c r="C155" s="5" t="s">
        <v>229</v>
      </c>
      <c r="D155" s="5" t="s">
        <v>7</v>
      </c>
      <c r="E155" s="6">
        <v>33515</v>
      </c>
      <c r="F155" s="5" t="s">
        <v>14</v>
      </c>
      <c r="G155" s="5" t="s">
        <v>801</v>
      </c>
      <c r="H155" s="7">
        <v>34</v>
      </c>
      <c r="I155" s="7">
        <v>19</v>
      </c>
      <c r="J155" s="7">
        <v>19</v>
      </c>
      <c r="K155" s="7">
        <v>10</v>
      </c>
      <c r="L155" s="7">
        <v>8</v>
      </c>
      <c r="M155" s="8">
        <f>IF(COUNTIF(H155:L155,"=0")&gt;=2,0,SUM(H155:L155))</f>
        <v>90</v>
      </c>
    </row>
    <row r="156" spans="1:13" outlineLevel="2" x14ac:dyDescent="0.15">
      <c r="A156" s="4" t="s">
        <v>967</v>
      </c>
      <c r="B156" s="5" t="s">
        <v>230</v>
      </c>
      <c r="C156" s="5" t="s">
        <v>231</v>
      </c>
      <c r="D156" s="5" t="s">
        <v>17</v>
      </c>
      <c r="E156" s="6">
        <v>33578</v>
      </c>
      <c r="F156" s="5" t="s">
        <v>14</v>
      </c>
      <c r="G156" s="5" t="s">
        <v>801</v>
      </c>
      <c r="H156" s="7">
        <v>24</v>
      </c>
      <c r="I156" s="7">
        <v>19</v>
      </c>
      <c r="J156" s="7">
        <v>9</v>
      </c>
      <c r="K156" s="7">
        <v>9</v>
      </c>
      <c r="L156" s="7">
        <v>3</v>
      </c>
      <c r="M156" s="8">
        <f>IF(COUNTIF(H156:L156,"=0")&gt;=2,0,SUM(H156:L156))</f>
        <v>64</v>
      </c>
    </row>
    <row r="157" spans="1:13" outlineLevel="2" x14ac:dyDescent="0.15">
      <c r="A157" s="4" t="s">
        <v>968</v>
      </c>
      <c r="B157" s="5" t="s">
        <v>232</v>
      </c>
      <c r="C157" s="5" t="s">
        <v>233</v>
      </c>
      <c r="D157" s="5" t="s">
        <v>17</v>
      </c>
      <c r="E157" s="6">
        <v>33398</v>
      </c>
      <c r="F157" s="5" t="s">
        <v>14</v>
      </c>
      <c r="G157" s="5" t="s">
        <v>801</v>
      </c>
      <c r="H157" s="7">
        <v>27</v>
      </c>
      <c r="I157" s="7">
        <v>19</v>
      </c>
      <c r="J157" s="7">
        <v>18</v>
      </c>
      <c r="K157" s="7">
        <v>6</v>
      </c>
      <c r="L157" s="7">
        <v>9</v>
      </c>
      <c r="M157" s="8">
        <f>IF(COUNTIF(H157:L157,"=0")&gt;=2,0,SUM(H157:L157))</f>
        <v>79</v>
      </c>
    </row>
    <row r="158" spans="1:13" outlineLevel="2" x14ac:dyDescent="0.15">
      <c r="A158" s="4" t="s">
        <v>970</v>
      </c>
      <c r="B158" s="5" t="s">
        <v>236</v>
      </c>
      <c r="C158" s="5" t="s">
        <v>237</v>
      </c>
      <c r="D158" s="5" t="s">
        <v>7</v>
      </c>
      <c r="E158" s="6">
        <v>33400</v>
      </c>
      <c r="F158" s="5" t="s">
        <v>14</v>
      </c>
      <c r="G158" s="5" t="s">
        <v>801</v>
      </c>
      <c r="H158" s="7">
        <v>36</v>
      </c>
      <c r="I158" s="7">
        <v>20</v>
      </c>
      <c r="J158" s="7">
        <v>17</v>
      </c>
      <c r="K158" s="7">
        <v>10</v>
      </c>
      <c r="L158" s="7">
        <v>8</v>
      </c>
      <c r="M158" s="8">
        <f>IF(COUNTIF(H158:L158,"=0")&gt;=2,0,SUM(H158:L158))</f>
        <v>91</v>
      </c>
    </row>
    <row r="159" spans="1:13" outlineLevel="2" x14ac:dyDescent="0.15">
      <c r="A159" s="4" t="s">
        <v>971</v>
      </c>
      <c r="B159" s="5" t="s">
        <v>238</v>
      </c>
      <c r="C159" s="5" t="s">
        <v>239</v>
      </c>
      <c r="D159" s="5" t="s">
        <v>17</v>
      </c>
      <c r="E159" s="6">
        <v>33402</v>
      </c>
      <c r="F159" s="5" t="s">
        <v>14</v>
      </c>
      <c r="G159" s="5" t="s">
        <v>801</v>
      </c>
      <c r="H159" s="7">
        <v>32</v>
      </c>
      <c r="I159" s="7">
        <v>19</v>
      </c>
      <c r="J159" s="7">
        <v>14</v>
      </c>
      <c r="K159" s="7">
        <v>5</v>
      </c>
      <c r="L159" s="7">
        <v>8</v>
      </c>
      <c r="M159" s="8">
        <f>IF(COUNTIF(H159:L159,"=0")&gt;=2,0,SUM(H159:L159))</f>
        <v>78</v>
      </c>
    </row>
    <row r="160" spans="1:13" outlineLevel="2" x14ac:dyDescent="0.15">
      <c r="A160" s="4" t="s">
        <v>972</v>
      </c>
      <c r="B160" s="5" t="s">
        <v>240</v>
      </c>
      <c r="C160" s="5" t="s">
        <v>241</v>
      </c>
      <c r="D160" s="5" t="s">
        <v>17</v>
      </c>
      <c r="E160" s="6">
        <v>33401</v>
      </c>
      <c r="F160" s="5" t="s">
        <v>14</v>
      </c>
      <c r="G160" s="5" t="s">
        <v>801</v>
      </c>
      <c r="H160" s="7">
        <v>24</v>
      </c>
      <c r="I160" s="7">
        <v>20</v>
      </c>
      <c r="J160" s="7">
        <v>18</v>
      </c>
      <c r="K160" s="7">
        <v>6</v>
      </c>
      <c r="L160" s="7">
        <v>9</v>
      </c>
      <c r="M160" s="8">
        <f>IF(COUNTIF(H160:L160,"=0")&gt;=2,0,SUM(H160:L160))</f>
        <v>77</v>
      </c>
    </row>
    <row r="161" spans="1:13" outlineLevel="2" x14ac:dyDescent="0.15">
      <c r="A161" s="4" t="s">
        <v>973</v>
      </c>
      <c r="B161" s="5" t="s">
        <v>242</v>
      </c>
      <c r="C161" s="5" t="s">
        <v>243</v>
      </c>
      <c r="D161" s="5" t="s">
        <v>7</v>
      </c>
      <c r="E161" s="6">
        <v>33434</v>
      </c>
      <c r="F161" s="5" t="s">
        <v>14</v>
      </c>
      <c r="G161" s="5" t="s">
        <v>801</v>
      </c>
      <c r="H161" s="7">
        <v>34</v>
      </c>
      <c r="I161" s="7">
        <v>20</v>
      </c>
      <c r="J161" s="7">
        <v>17</v>
      </c>
      <c r="K161" s="7">
        <v>10</v>
      </c>
      <c r="L161" s="7">
        <v>8</v>
      </c>
      <c r="M161" s="8">
        <f>IF(COUNTIF(H161:L161,"=0")&gt;=2,0,SUM(H161:L161))</f>
        <v>89</v>
      </c>
    </row>
    <row r="162" spans="1:13" outlineLevel="2" x14ac:dyDescent="0.15">
      <c r="A162" s="4" t="s">
        <v>974</v>
      </c>
      <c r="B162" s="5" t="s">
        <v>244</v>
      </c>
      <c r="C162" s="5" t="s">
        <v>245</v>
      </c>
      <c r="D162" s="5" t="s">
        <v>7</v>
      </c>
      <c r="E162" s="6">
        <v>33288</v>
      </c>
      <c r="F162" s="5" t="s">
        <v>14</v>
      </c>
      <c r="G162" s="5" t="s">
        <v>801</v>
      </c>
      <c r="H162" s="7">
        <v>34</v>
      </c>
      <c r="I162" s="7">
        <v>19</v>
      </c>
      <c r="J162" s="7">
        <v>16</v>
      </c>
      <c r="K162" s="7">
        <v>10</v>
      </c>
      <c r="L162" s="7">
        <v>8</v>
      </c>
      <c r="M162" s="8">
        <f>IF(COUNTIF(H162:L162,"=0")&gt;=2,0,SUM(H162:L162))</f>
        <v>87</v>
      </c>
    </row>
    <row r="163" spans="1:13" outlineLevel="2" x14ac:dyDescent="0.15">
      <c r="A163" s="4" t="s">
        <v>977</v>
      </c>
      <c r="B163" s="5" t="s">
        <v>250</v>
      </c>
      <c r="C163" s="5" t="s">
        <v>251</v>
      </c>
      <c r="D163" s="5" t="s">
        <v>7</v>
      </c>
      <c r="E163" s="6">
        <v>33516</v>
      </c>
      <c r="F163" s="5" t="s">
        <v>14</v>
      </c>
      <c r="G163" s="5" t="s">
        <v>801</v>
      </c>
      <c r="H163" s="7">
        <v>32</v>
      </c>
      <c r="I163" s="7">
        <v>18</v>
      </c>
      <c r="J163" s="7">
        <v>15</v>
      </c>
      <c r="K163" s="7">
        <v>10</v>
      </c>
      <c r="L163" s="7">
        <v>8</v>
      </c>
      <c r="M163" s="8">
        <f>IF(COUNTIF(H163:L163,"=0")&gt;=2,0,SUM(H163:L163))</f>
        <v>83</v>
      </c>
    </row>
    <row r="164" spans="1:13" outlineLevel="2" x14ac:dyDescent="0.15">
      <c r="A164" s="4" t="s">
        <v>978</v>
      </c>
      <c r="B164" s="5" t="s">
        <v>252</v>
      </c>
      <c r="C164" s="5" t="s">
        <v>253</v>
      </c>
      <c r="D164" s="5" t="s">
        <v>7</v>
      </c>
      <c r="E164" s="6">
        <v>33550</v>
      </c>
      <c r="F164" s="5" t="s">
        <v>14</v>
      </c>
      <c r="G164" s="5" t="s">
        <v>801</v>
      </c>
      <c r="H164" s="7">
        <v>32</v>
      </c>
      <c r="I164" s="7">
        <v>20</v>
      </c>
      <c r="J164" s="7">
        <v>20</v>
      </c>
      <c r="K164" s="7">
        <v>10</v>
      </c>
      <c r="L164" s="7">
        <v>10</v>
      </c>
      <c r="M164" s="8">
        <f>IF(COUNTIF(H164:L164,"=0")&gt;=2,0,SUM(H164:L164))</f>
        <v>92</v>
      </c>
    </row>
    <row r="165" spans="1:13" outlineLevel="2" x14ac:dyDescent="0.15">
      <c r="A165" s="4" t="s">
        <v>979</v>
      </c>
      <c r="B165" s="5" t="s">
        <v>254</v>
      </c>
      <c r="C165" s="5" t="s">
        <v>255</v>
      </c>
      <c r="D165" s="5" t="s">
        <v>7</v>
      </c>
      <c r="E165" s="6">
        <v>33395</v>
      </c>
      <c r="F165" s="5" t="s">
        <v>14</v>
      </c>
      <c r="G165" s="5" t="s">
        <v>801</v>
      </c>
      <c r="H165" s="7">
        <v>27</v>
      </c>
      <c r="I165" s="7">
        <v>19</v>
      </c>
      <c r="J165" s="7">
        <v>19</v>
      </c>
      <c r="K165" s="7">
        <v>10</v>
      </c>
      <c r="L165" s="7">
        <v>10</v>
      </c>
      <c r="M165" s="8">
        <f>IF(COUNTIF(H165:L165,"=0")&gt;=2,0,SUM(H165:L165))</f>
        <v>85</v>
      </c>
    </row>
    <row r="166" spans="1:13" outlineLevel="2" x14ac:dyDescent="0.15">
      <c r="A166" s="4" t="s">
        <v>980</v>
      </c>
      <c r="B166" s="5" t="s">
        <v>256</v>
      </c>
      <c r="C166" s="5" t="s">
        <v>257</v>
      </c>
      <c r="D166" s="5" t="s">
        <v>7</v>
      </c>
      <c r="E166" s="6">
        <v>33517</v>
      </c>
      <c r="F166" s="5" t="s">
        <v>14</v>
      </c>
      <c r="G166" s="5" t="s">
        <v>801</v>
      </c>
      <c r="H166" s="7">
        <v>30</v>
      </c>
      <c r="I166" s="7">
        <v>20</v>
      </c>
      <c r="J166" s="7">
        <v>19</v>
      </c>
      <c r="K166" s="7">
        <v>10</v>
      </c>
      <c r="L166" s="7">
        <v>8</v>
      </c>
      <c r="M166" s="8">
        <f>IF(COUNTIF(H166:L166,"=0")&gt;=2,0,SUM(H166:L166))</f>
        <v>87</v>
      </c>
    </row>
    <row r="167" spans="1:13" outlineLevel="2" x14ac:dyDescent="0.15">
      <c r="A167" s="4" t="s">
        <v>981</v>
      </c>
      <c r="B167" s="5" t="s">
        <v>258</v>
      </c>
      <c r="C167" s="5" t="s">
        <v>259</v>
      </c>
      <c r="D167" s="5" t="s">
        <v>17</v>
      </c>
      <c r="E167" s="6">
        <v>33421</v>
      </c>
      <c r="F167" s="5" t="s">
        <v>14</v>
      </c>
      <c r="G167" s="5" t="s">
        <v>801</v>
      </c>
      <c r="H167" s="7">
        <v>33</v>
      </c>
      <c r="I167" s="7">
        <v>20</v>
      </c>
      <c r="J167" s="7">
        <v>16</v>
      </c>
      <c r="K167" s="7">
        <v>10</v>
      </c>
      <c r="L167" s="7">
        <v>9</v>
      </c>
      <c r="M167" s="8">
        <f>IF(COUNTIF(H167:L167,"=0")&gt;=2,0,SUM(H167:L167))</f>
        <v>88</v>
      </c>
    </row>
    <row r="168" spans="1:13" outlineLevel="2" x14ac:dyDescent="0.15">
      <c r="A168" s="4" t="s">
        <v>982</v>
      </c>
      <c r="B168" s="5" t="s">
        <v>260</v>
      </c>
      <c r="C168" s="5" t="s">
        <v>261</v>
      </c>
      <c r="D168" s="5" t="s">
        <v>7</v>
      </c>
      <c r="E168" s="6">
        <v>33385</v>
      </c>
      <c r="F168" s="5" t="s">
        <v>14</v>
      </c>
      <c r="G168" s="5" t="s">
        <v>801</v>
      </c>
      <c r="H168" s="7">
        <v>34</v>
      </c>
      <c r="I168" s="7">
        <v>20</v>
      </c>
      <c r="J168" s="7">
        <v>20</v>
      </c>
      <c r="K168" s="7">
        <v>10</v>
      </c>
      <c r="L168" s="7">
        <v>9</v>
      </c>
      <c r="M168" s="8">
        <f>IF(COUNTIF(H168:L168,"=0")&gt;=2,0,SUM(H168:L168))</f>
        <v>93</v>
      </c>
    </row>
    <row r="169" spans="1:13" outlineLevel="2" x14ac:dyDescent="0.15">
      <c r="A169" s="4" t="s">
        <v>983</v>
      </c>
      <c r="B169" s="5" t="s">
        <v>262</v>
      </c>
      <c r="C169" s="5" t="s">
        <v>263</v>
      </c>
      <c r="D169" s="5" t="s">
        <v>17</v>
      </c>
      <c r="E169" s="6">
        <v>33439</v>
      </c>
      <c r="F169" s="5" t="s">
        <v>14</v>
      </c>
      <c r="G169" s="5" t="s">
        <v>801</v>
      </c>
      <c r="H169" s="7">
        <v>28</v>
      </c>
      <c r="I169" s="7">
        <v>19</v>
      </c>
      <c r="J169" s="7">
        <v>15</v>
      </c>
      <c r="K169" s="7">
        <v>10</v>
      </c>
      <c r="L169" s="7">
        <v>10</v>
      </c>
      <c r="M169" s="8">
        <f>IF(COUNTIF(H169:L169,"=0")&gt;=2,0,SUM(H169:L169))</f>
        <v>82</v>
      </c>
    </row>
    <row r="170" spans="1:13" outlineLevel="2" x14ac:dyDescent="0.15">
      <c r="A170" s="4" t="s">
        <v>985</v>
      </c>
      <c r="B170" s="5" t="s">
        <v>266</v>
      </c>
      <c r="C170" s="5" t="s">
        <v>267</v>
      </c>
      <c r="D170" s="5" t="s">
        <v>7</v>
      </c>
      <c r="E170" s="6">
        <v>33565</v>
      </c>
      <c r="F170" s="5" t="s">
        <v>14</v>
      </c>
      <c r="G170" s="5" t="s">
        <v>801</v>
      </c>
      <c r="H170" s="7">
        <v>35</v>
      </c>
      <c r="I170" s="7">
        <v>19</v>
      </c>
      <c r="J170" s="7">
        <v>17</v>
      </c>
      <c r="K170" s="7">
        <v>10</v>
      </c>
      <c r="L170" s="7">
        <v>9</v>
      </c>
      <c r="M170" s="8">
        <f>IF(COUNTIF(H170:L170,"=0")&gt;=2,0,SUM(H170:L170))</f>
        <v>90</v>
      </c>
    </row>
    <row r="171" spans="1:13" outlineLevel="2" x14ac:dyDescent="0.15">
      <c r="A171" s="4" t="s">
        <v>986</v>
      </c>
      <c r="B171" s="5" t="s">
        <v>268</v>
      </c>
      <c r="C171" s="5" t="s">
        <v>269</v>
      </c>
      <c r="D171" s="5" t="s">
        <v>7</v>
      </c>
      <c r="E171" s="6">
        <v>33543</v>
      </c>
      <c r="F171" s="5" t="s">
        <v>14</v>
      </c>
      <c r="G171" s="5" t="s">
        <v>801</v>
      </c>
      <c r="H171" s="7">
        <v>27</v>
      </c>
      <c r="I171" s="7">
        <v>19</v>
      </c>
      <c r="J171" s="7">
        <v>17</v>
      </c>
      <c r="K171" s="7">
        <v>10</v>
      </c>
      <c r="L171" s="7">
        <v>9</v>
      </c>
      <c r="M171" s="8">
        <f>IF(COUNTIF(H171:L171,"=0")&gt;=2,0,SUM(H171:L171))</f>
        <v>82</v>
      </c>
    </row>
    <row r="172" spans="1:13" outlineLevel="2" x14ac:dyDescent="0.15">
      <c r="A172" s="4" t="s">
        <v>988</v>
      </c>
      <c r="B172" s="5" t="s">
        <v>272</v>
      </c>
      <c r="C172" s="5" t="s">
        <v>273</v>
      </c>
      <c r="D172" s="5" t="s">
        <v>7</v>
      </c>
      <c r="E172" s="6">
        <v>33552</v>
      </c>
      <c r="F172" s="5" t="s">
        <v>14</v>
      </c>
      <c r="G172" s="5" t="s">
        <v>801</v>
      </c>
      <c r="H172" s="7">
        <v>30</v>
      </c>
      <c r="I172" s="7">
        <v>20</v>
      </c>
      <c r="J172" s="7">
        <v>19</v>
      </c>
      <c r="K172" s="7">
        <v>10</v>
      </c>
      <c r="L172" s="7">
        <v>8</v>
      </c>
      <c r="M172" s="8">
        <f>IF(COUNTIF(H172:L172,"=0")&gt;=2,0,SUM(H172:L172))</f>
        <v>87</v>
      </c>
    </row>
    <row r="173" spans="1:13" outlineLevel="2" x14ac:dyDescent="0.15">
      <c r="A173" s="4" t="s">
        <v>989</v>
      </c>
      <c r="B173" s="5" t="s">
        <v>274</v>
      </c>
      <c r="C173" s="5" t="s">
        <v>275</v>
      </c>
      <c r="D173" s="5" t="s">
        <v>17</v>
      </c>
      <c r="E173" s="6">
        <v>33513</v>
      </c>
      <c r="F173" s="5" t="s">
        <v>14</v>
      </c>
      <c r="G173" s="5" t="s">
        <v>801</v>
      </c>
      <c r="H173" s="7">
        <v>32</v>
      </c>
      <c r="I173" s="7">
        <v>20</v>
      </c>
      <c r="J173" s="7">
        <v>19</v>
      </c>
      <c r="K173" s="7">
        <v>10</v>
      </c>
      <c r="L173" s="7">
        <v>9</v>
      </c>
      <c r="M173" s="8">
        <f>IF(COUNTIF(H173:L173,"=0")&gt;=2,0,SUM(H173:L173))</f>
        <v>90</v>
      </c>
    </row>
    <row r="174" spans="1:13" outlineLevel="2" x14ac:dyDescent="0.15">
      <c r="A174" s="4" t="s">
        <v>991</v>
      </c>
      <c r="B174" s="5" t="s">
        <v>278</v>
      </c>
      <c r="C174" s="5" t="s">
        <v>279</v>
      </c>
      <c r="D174" s="5" t="s">
        <v>17</v>
      </c>
      <c r="E174" s="6">
        <v>33517</v>
      </c>
      <c r="F174" s="5" t="s">
        <v>14</v>
      </c>
      <c r="G174" s="5" t="s">
        <v>801</v>
      </c>
      <c r="H174" s="7">
        <v>33</v>
      </c>
      <c r="I174" s="7">
        <v>18</v>
      </c>
      <c r="J174" s="7">
        <v>20</v>
      </c>
      <c r="K174" s="7">
        <v>8</v>
      </c>
      <c r="L174" s="7">
        <v>9</v>
      </c>
      <c r="M174" s="8">
        <f>IF(COUNTIF(H174:L174,"=0")&gt;=2,0,SUM(H174:L174))</f>
        <v>88</v>
      </c>
    </row>
    <row r="175" spans="1:13" outlineLevel="2" x14ac:dyDescent="0.15">
      <c r="A175" s="4" t="s">
        <v>992</v>
      </c>
      <c r="B175" s="5" t="s">
        <v>280</v>
      </c>
      <c r="C175" s="5" t="s">
        <v>281</v>
      </c>
      <c r="D175" s="5" t="s">
        <v>17</v>
      </c>
      <c r="E175" s="6">
        <v>33437</v>
      </c>
      <c r="F175" s="5" t="s">
        <v>14</v>
      </c>
      <c r="G175" s="5" t="s">
        <v>801</v>
      </c>
      <c r="H175" s="7">
        <v>31</v>
      </c>
      <c r="I175" s="7">
        <v>20</v>
      </c>
      <c r="J175" s="7">
        <v>16</v>
      </c>
      <c r="K175" s="7">
        <v>10</v>
      </c>
      <c r="L175" s="7">
        <v>10</v>
      </c>
      <c r="M175" s="8">
        <f>IF(COUNTIF(H175:L175,"=0")&gt;=2,0,SUM(H175:L175))</f>
        <v>87</v>
      </c>
    </row>
    <row r="176" spans="1:13" outlineLevel="2" x14ac:dyDescent="0.15">
      <c r="A176" s="4" t="s">
        <v>993</v>
      </c>
      <c r="B176" s="5" t="s">
        <v>282</v>
      </c>
      <c r="C176" s="5" t="s">
        <v>283</v>
      </c>
      <c r="D176" s="5" t="s">
        <v>17</v>
      </c>
      <c r="E176" s="6">
        <v>33282</v>
      </c>
      <c r="F176" s="5" t="s">
        <v>14</v>
      </c>
      <c r="G176" s="5" t="s">
        <v>801</v>
      </c>
      <c r="H176" s="7">
        <v>37</v>
      </c>
      <c r="I176" s="7">
        <v>19</v>
      </c>
      <c r="J176" s="7">
        <v>19</v>
      </c>
      <c r="K176" s="7">
        <v>10</v>
      </c>
      <c r="L176" s="7">
        <v>9</v>
      </c>
      <c r="M176" s="8">
        <f>IF(COUNTIF(H176:L176,"=0")&gt;=2,0,SUM(H176:L176))</f>
        <v>94</v>
      </c>
    </row>
    <row r="177" spans="1:13" outlineLevel="2" x14ac:dyDescent="0.15">
      <c r="A177" s="4" t="s">
        <v>994</v>
      </c>
      <c r="B177" s="5" t="s">
        <v>284</v>
      </c>
      <c r="C177" s="5" t="s">
        <v>285</v>
      </c>
      <c r="D177" s="5" t="s">
        <v>7</v>
      </c>
      <c r="E177" s="6">
        <v>33557</v>
      </c>
      <c r="F177" s="5" t="s">
        <v>14</v>
      </c>
      <c r="G177" s="5" t="s">
        <v>801</v>
      </c>
      <c r="H177" s="7">
        <v>34</v>
      </c>
      <c r="I177" s="7">
        <v>19</v>
      </c>
      <c r="J177" s="7">
        <v>20</v>
      </c>
      <c r="K177" s="7">
        <v>10</v>
      </c>
      <c r="L177" s="7">
        <v>9</v>
      </c>
      <c r="M177" s="8">
        <f>IF(COUNTIF(H177:L177,"=0")&gt;=2,0,SUM(H177:L177))</f>
        <v>92</v>
      </c>
    </row>
    <row r="178" spans="1:13" outlineLevel="2" x14ac:dyDescent="0.15">
      <c r="A178" s="4" t="s">
        <v>995</v>
      </c>
      <c r="B178" s="5" t="s">
        <v>286</v>
      </c>
      <c r="C178" s="5" t="s">
        <v>287</v>
      </c>
      <c r="D178" s="5" t="s">
        <v>7</v>
      </c>
      <c r="E178" s="6">
        <v>33513</v>
      </c>
      <c r="F178" s="5" t="s">
        <v>14</v>
      </c>
      <c r="G178" s="5" t="s">
        <v>801</v>
      </c>
      <c r="H178" s="7">
        <v>36</v>
      </c>
      <c r="I178" s="7">
        <v>18</v>
      </c>
      <c r="J178" s="7">
        <v>19</v>
      </c>
      <c r="K178" s="7">
        <v>10</v>
      </c>
      <c r="L178" s="7">
        <v>9</v>
      </c>
      <c r="M178" s="8">
        <f>IF(COUNTIF(H178:L178,"=0")&gt;=2,0,SUM(H178:L178))</f>
        <v>92</v>
      </c>
    </row>
    <row r="179" spans="1:13" outlineLevel="2" x14ac:dyDescent="0.15">
      <c r="A179" s="4" t="s">
        <v>996</v>
      </c>
      <c r="B179" s="5" t="s">
        <v>288</v>
      </c>
      <c r="C179" s="5" t="s">
        <v>289</v>
      </c>
      <c r="D179" s="5" t="s">
        <v>7</v>
      </c>
      <c r="E179" s="6">
        <v>33515</v>
      </c>
      <c r="F179" s="5" t="s">
        <v>14</v>
      </c>
      <c r="G179" s="5" t="s">
        <v>801</v>
      </c>
      <c r="H179" s="7">
        <v>31</v>
      </c>
      <c r="I179" s="7">
        <v>19</v>
      </c>
      <c r="J179" s="7">
        <v>18</v>
      </c>
      <c r="K179" s="7">
        <v>9</v>
      </c>
      <c r="L179" s="7">
        <v>9</v>
      </c>
      <c r="M179" s="8">
        <f>IF(COUNTIF(H179:L179,"=0")&gt;=2,0,SUM(H179:L179))</f>
        <v>86</v>
      </c>
    </row>
    <row r="180" spans="1:13" outlineLevel="2" x14ac:dyDescent="0.15">
      <c r="A180" s="4" t="s">
        <v>997</v>
      </c>
      <c r="B180" s="5" t="s">
        <v>290</v>
      </c>
      <c r="C180" s="5" t="s">
        <v>291</v>
      </c>
      <c r="D180" s="5" t="s">
        <v>7</v>
      </c>
      <c r="E180" s="6">
        <v>33287</v>
      </c>
      <c r="F180" s="5" t="s">
        <v>14</v>
      </c>
      <c r="G180" s="5" t="s">
        <v>801</v>
      </c>
      <c r="H180" s="7">
        <v>36</v>
      </c>
      <c r="I180" s="7">
        <v>19</v>
      </c>
      <c r="J180" s="7">
        <v>18</v>
      </c>
      <c r="K180" s="7">
        <v>10</v>
      </c>
      <c r="L180" s="7">
        <v>10</v>
      </c>
      <c r="M180" s="8">
        <f>IF(COUNTIF(H180:L180,"=0")&gt;=2,0,SUM(H180:L180))</f>
        <v>93</v>
      </c>
    </row>
    <row r="181" spans="1:13" outlineLevel="2" x14ac:dyDescent="0.15">
      <c r="A181" s="4" t="s">
        <v>998</v>
      </c>
      <c r="B181" s="5" t="s">
        <v>292</v>
      </c>
      <c r="C181" s="5" t="s">
        <v>293</v>
      </c>
      <c r="D181" s="5" t="s">
        <v>7</v>
      </c>
      <c r="E181" s="6">
        <v>33554</v>
      </c>
      <c r="F181" s="5" t="s">
        <v>14</v>
      </c>
      <c r="G181" s="5" t="s">
        <v>801</v>
      </c>
      <c r="H181" s="7">
        <v>28</v>
      </c>
      <c r="I181" s="7">
        <v>19</v>
      </c>
      <c r="J181" s="7">
        <v>20</v>
      </c>
      <c r="K181" s="7">
        <v>10</v>
      </c>
      <c r="L181" s="7">
        <v>9</v>
      </c>
      <c r="M181" s="8">
        <f>IF(COUNTIF(H181:L181,"=0")&gt;=2,0,SUM(H181:L181))</f>
        <v>86</v>
      </c>
    </row>
    <row r="182" spans="1:13" outlineLevel="2" x14ac:dyDescent="0.15">
      <c r="A182" s="4" t="s">
        <v>999</v>
      </c>
      <c r="B182" s="5" t="s">
        <v>294</v>
      </c>
      <c r="C182" s="5" t="s">
        <v>295</v>
      </c>
      <c r="D182" s="5" t="s">
        <v>17</v>
      </c>
      <c r="E182" s="6">
        <v>33357</v>
      </c>
      <c r="F182" s="5" t="s">
        <v>14</v>
      </c>
      <c r="G182" s="5" t="s">
        <v>801</v>
      </c>
      <c r="H182" s="7">
        <v>30</v>
      </c>
      <c r="I182" s="7">
        <v>20</v>
      </c>
      <c r="J182" s="7">
        <v>20</v>
      </c>
      <c r="K182" s="7">
        <v>10</v>
      </c>
      <c r="L182" s="7">
        <v>9</v>
      </c>
      <c r="M182" s="8">
        <f>IF(COUNTIF(H182:L182,"=0")&gt;=2,0,SUM(H182:L182))</f>
        <v>89</v>
      </c>
    </row>
    <row r="183" spans="1:13" outlineLevel="2" x14ac:dyDescent="0.15">
      <c r="A183" s="4" t="s">
        <v>1000</v>
      </c>
      <c r="B183" s="5" t="s">
        <v>296</v>
      </c>
      <c r="C183" s="5" t="s">
        <v>297</v>
      </c>
      <c r="D183" s="5" t="s">
        <v>7</v>
      </c>
      <c r="E183" s="6">
        <v>33516</v>
      </c>
      <c r="F183" s="5" t="s">
        <v>14</v>
      </c>
      <c r="G183" s="5" t="s">
        <v>801</v>
      </c>
      <c r="H183" s="7">
        <v>33</v>
      </c>
      <c r="I183" s="7">
        <v>19</v>
      </c>
      <c r="J183" s="7">
        <v>19</v>
      </c>
      <c r="K183" s="7">
        <v>10</v>
      </c>
      <c r="L183" s="7">
        <v>8</v>
      </c>
      <c r="M183" s="8">
        <f>IF(COUNTIF(H183:L183,"=0")&gt;=2,0,SUM(H183:L183))</f>
        <v>89</v>
      </c>
    </row>
    <row r="184" spans="1:13" outlineLevel="2" x14ac:dyDescent="0.15">
      <c r="A184" s="4" t="s">
        <v>1001</v>
      </c>
      <c r="B184" s="5" t="s">
        <v>298</v>
      </c>
      <c r="C184" s="5" t="s">
        <v>299</v>
      </c>
      <c r="D184" s="5" t="s">
        <v>7</v>
      </c>
      <c r="E184" s="6">
        <v>33412</v>
      </c>
      <c r="F184" s="5" t="s">
        <v>14</v>
      </c>
      <c r="G184" s="5" t="s">
        <v>801</v>
      </c>
      <c r="H184" s="7">
        <v>30</v>
      </c>
      <c r="I184" s="7">
        <v>19</v>
      </c>
      <c r="J184" s="7">
        <v>18</v>
      </c>
      <c r="K184" s="7">
        <v>10</v>
      </c>
      <c r="L184" s="7">
        <v>7</v>
      </c>
      <c r="M184" s="8">
        <f>IF(COUNTIF(H184:L184,"=0")&gt;=2,0,SUM(H184:L184))</f>
        <v>84</v>
      </c>
    </row>
    <row r="185" spans="1:13" outlineLevel="2" x14ac:dyDescent="0.15">
      <c r="A185" s="4" t="s">
        <v>1003</v>
      </c>
      <c r="B185" s="5" t="s">
        <v>302</v>
      </c>
      <c r="C185" s="5" t="s">
        <v>303</v>
      </c>
      <c r="D185" s="5" t="s">
        <v>7</v>
      </c>
      <c r="E185" s="6">
        <v>33316</v>
      </c>
      <c r="F185" s="5" t="s">
        <v>14</v>
      </c>
      <c r="G185" s="5" t="s">
        <v>801</v>
      </c>
      <c r="H185" s="7">
        <v>30</v>
      </c>
      <c r="I185" s="7">
        <v>20</v>
      </c>
      <c r="J185" s="7">
        <v>20</v>
      </c>
      <c r="K185" s="7">
        <v>10</v>
      </c>
      <c r="L185" s="7">
        <v>9</v>
      </c>
      <c r="M185" s="8">
        <f>IF(COUNTIF(H185:L185,"=0")&gt;=2,0,SUM(H185:L185))</f>
        <v>89</v>
      </c>
    </row>
    <row r="186" spans="1:13" outlineLevel="2" x14ac:dyDescent="0.15">
      <c r="A186" s="4" t="s">
        <v>1004</v>
      </c>
      <c r="B186" s="5" t="s">
        <v>304</v>
      </c>
      <c r="C186" s="5" t="s">
        <v>305</v>
      </c>
      <c r="D186" s="5" t="s">
        <v>7</v>
      </c>
      <c r="E186" s="6">
        <v>33495</v>
      </c>
      <c r="F186" s="5" t="s">
        <v>14</v>
      </c>
      <c r="G186" s="5" t="s">
        <v>801</v>
      </c>
      <c r="H186" s="7">
        <v>33</v>
      </c>
      <c r="I186" s="7">
        <v>19</v>
      </c>
      <c r="J186" s="7">
        <v>20</v>
      </c>
      <c r="K186" s="7">
        <v>10</v>
      </c>
      <c r="L186" s="7">
        <v>10</v>
      </c>
      <c r="M186" s="8">
        <f>IF(COUNTIF(H186:L186,"=0")&gt;=2,0,SUM(H186:L186))</f>
        <v>92</v>
      </c>
    </row>
    <row r="187" spans="1:13" outlineLevel="2" x14ac:dyDescent="0.15">
      <c r="A187" s="4" t="s">
        <v>1006</v>
      </c>
      <c r="B187" s="5" t="s">
        <v>308</v>
      </c>
      <c r="C187" s="5" t="s">
        <v>309</v>
      </c>
      <c r="D187" s="5" t="s">
        <v>17</v>
      </c>
      <c r="E187" s="6">
        <v>33441</v>
      </c>
      <c r="F187" s="5" t="s">
        <v>14</v>
      </c>
      <c r="G187" s="5" t="s">
        <v>801</v>
      </c>
      <c r="H187" s="7">
        <v>32</v>
      </c>
      <c r="I187" s="7">
        <v>18</v>
      </c>
      <c r="J187" s="7">
        <v>20</v>
      </c>
      <c r="K187" s="7">
        <v>9</v>
      </c>
      <c r="L187" s="7">
        <v>9</v>
      </c>
      <c r="M187" s="8">
        <f>IF(COUNTIF(H187:L187,"=0")&gt;=2,0,SUM(H187:L187))</f>
        <v>88</v>
      </c>
    </row>
    <row r="188" spans="1:13" outlineLevel="2" x14ac:dyDescent="0.15">
      <c r="A188" s="4" t="s">
        <v>1007</v>
      </c>
      <c r="B188" s="5" t="s">
        <v>310</v>
      </c>
      <c r="C188" s="5" t="s">
        <v>311</v>
      </c>
      <c r="D188" s="5" t="s">
        <v>17</v>
      </c>
      <c r="E188" s="6">
        <v>33384</v>
      </c>
      <c r="F188" s="5" t="s">
        <v>14</v>
      </c>
      <c r="G188" s="5" t="s">
        <v>801</v>
      </c>
      <c r="H188" s="7">
        <v>34</v>
      </c>
      <c r="I188" s="7">
        <v>20</v>
      </c>
      <c r="J188" s="7">
        <v>19</v>
      </c>
      <c r="K188" s="7">
        <v>9</v>
      </c>
      <c r="L188" s="7">
        <v>10</v>
      </c>
      <c r="M188" s="8">
        <f>IF(COUNTIF(H188:L188,"=0")&gt;=2,0,SUM(H188:L188))</f>
        <v>92</v>
      </c>
    </row>
    <row r="189" spans="1:13" outlineLevel="2" x14ac:dyDescent="0.15">
      <c r="A189" s="4" t="s">
        <v>1008</v>
      </c>
      <c r="B189" s="5" t="s">
        <v>312</v>
      </c>
      <c r="C189" s="5" t="s">
        <v>313</v>
      </c>
      <c r="D189" s="5" t="s">
        <v>17</v>
      </c>
      <c r="E189" s="6">
        <v>33273</v>
      </c>
      <c r="F189" s="5" t="s">
        <v>14</v>
      </c>
      <c r="G189" s="5" t="s">
        <v>801</v>
      </c>
      <c r="H189" s="7">
        <v>37</v>
      </c>
      <c r="I189" s="7">
        <v>19</v>
      </c>
      <c r="J189" s="7">
        <v>20</v>
      </c>
      <c r="K189" s="7">
        <v>10</v>
      </c>
      <c r="L189" s="7">
        <v>10</v>
      </c>
      <c r="M189" s="8">
        <f>IF(COUNTIF(H189:L189,"=0")&gt;=2,0,SUM(H189:L189))</f>
        <v>96</v>
      </c>
    </row>
    <row r="190" spans="1:13" outlineLevel="2" x14ac:dyDescent="0.15">
      <c r="A190" s="4" t="s">
        <v>1010</v>
      </c>
      <c r="B190" s="5" t="s">
        <v>316</v>
      </c>
      <c r="C190" s="5" t="s">
        <v>317</v>
      </c>
      <c r="D190" s="5" t="s">
        <v>17</v>
      </c>
      <c r="E190" s="6">
        <v>33442</v>
      </c>
      <c r="F190" s="5" t="s">
        <v>14</v>
      </c>
      <c r="G190" s="5" t="s">
        <v>801</v>
      </c>
      <c r="H190" s="7">
        <v>37</v>
      </c>
      <c r="I190" s="7">
        <v>18</v>
      </c>
      <c r="J190" s="7">
        <v>15</v>
      </c>
      <c r="K190" s="7">
        <v>10</v>
      </c>
      <c r="L190" s="7">
        <v>10</v>
      </c>
      <c r="M190" s="8">
        <f>IF(COUNTIF(H190:L190,"=0")&gt;=2,0,SUM(H190:L190))</f>
        <v>90</v>
      </c>
    </row>
    <row r="191" spans="1:13" outlineLevel="2" x14ac:dyDescent="0.15">
      <c r="A191" s="4" t="s">
        <v>1011</v>
      </c>
      <c r="B191" s="5" t="s">
        <v>318</v>
      </c>
      <c r="C191" s="5" t="s">
        <v>319</v>
      </c>
      <c r="D191" s="5" t="s">
        <v>17</v>
      </c>
      <c r="E191" s="6">
        <v>33515</v>
      </c>
      <c r="F191" s="5" t="s">
        <v>14</v>
      </c>
      <c r="G191" s="5" t="s">
        <v>801</v>
      </c>
      <c r="H191" s="7">
        <v>32</v>
      </c>
      <c r="I191" s="7">
        <v>19</v>
      </c>
      <c r="J191" s="7">
        <v>20</v>
      </c>
      <c r="K191" s="7">
        <v>10</v>
      </c>
      <c r="L191" s="7">
        <v>9</v>
      </c>
      <c r="M191" s="8">
        <f>IF(COUNTIF(H191:L191,"=0")&gt;=2,0,SUM(H191:L191))</f>
        <v>90</v>
      </c>
    </row>
    <row r="192" spans="1:13" outlineLevel="2" x14ac:dyDescent="0.15">
      <c r="A192" s="4" t="s">
        <v>1012</v>
      </c>
      <c r="B192" s="5" t="s">
        <v>320</v>
      </c>
      <c r="C192" s="5" t="s">
        <v>321</v>
      </c>
      <c r="D192" s="5" t="s">
        <v>7</v>
      </c>
      <c r="E192" s="6">
        <v>33570</v>
      </c>
      <c r="F192" s="5" t="s">
        <v>14</v>
      </c>
      <c r="G192" s="5" t="s">
        <v>802</v>
      </c>
      <c r="H192" s="7">
        <v>26</v>
      </c>
      <c r="I192" s="7">
        <v>19</v>
      </c>
      <c r="J192" s="7">
        <v>20</v>
      </c>
      <c r="K192" s="7">
        <v>10</v>
      </c>
      <c r="L192" s="7">
        <v>10</v>
      </c>
      <c r="M192" s="8">
        <f>IF(COUNTIF(H192:L192,"=0")&gt;=2,0,SUM(H192:L192))</f>
        <v>85</v>
      </c>
    </row>
    <row r="193" spans="1:13" outlineLevel="2" x14ac:dyDescent="0.15">
      <c r="A193" s="4" t="s">
        <v>1013</v>
      </c>
      <c r="B193" s="5" t="s">
        <v>322</v>
      </c>
      <c r="C193" s="5" t="s">
        <v>323</v>
      </c>
      <c r="D193" s="5" t="s">
        <v>17</v>
      </c>
      <c r="E193" s="6">
        <v>33308</v>
      </c>
      <c r="F193" s="5" t="s">
        <v>14</v>
      </c>
      <c r="G193" s="5" t="s">
        <v>802</v>
      </c>
      <c r="H193" s="7">
        <v>31</v>
      </c>
      <c r="I193" s="7">
        <v>13</v>
      </c>
      <c r="J193" s="7">
        <v>16</v>
      </c>
      <c r="K193" s="7">
        <v>10</v>
      </c>
      <c r="L193" s="7">
        <v>9</v>
      </c>
      <c r="M193" s="8">
        <f>IF(COUNTIF(H193:L193,"=0")&gt;=2,0,SUM(H193:L193))</f>
        <v>79</v>
      </c>
    </row>
    <row r="194" spans="1:13" outlineLevel="2" x14ac:dyDescent="0.15">
      <c r="A194" s="4" t="s">
        <v>1015</v>
      </c>
      <c r="B194" s="5" t="s">
        <v>326</v>
      </c>
      <c r="C194" s="5" t="s">
        <v>327</v>
      </c>
      <c r="D194" s="5" t="s">
        <v>17</v>
      </c>
      <c r="E194" s="6">
        <v>33575</v>
      </c>
      <c r="F194" s="5" t="s">
        <v>14</v>
      </c>
      <c r="G194" s="5" t="s">
        <v>802</v>
      </c>
      <c r="H194" s="7">
        <v>28</v>
      </c>
      <c r="I194" s="7">
        <v>20</v>
      </c>
      <c r="J194" s="7">
        <v>19</v>
      </c>
      <c r="K194" s="7">
        <v>10</v>
      </c>
      <c r="L194" s="7">
        <v>2</v>
      </c>
      <c r="M194" s="8">
        <f>IF(COUNTIF(H194:L194,"=0")&gt;=2,0,SUM(H194:L194))</f>
        <v>79</v>
      </c>
    </row>
    <row r="195" spans="1:13" outlineLevel="2" x14ac:dyDescent="0.15">
      <c r="A195" s="4" t="s">
        <v>1016</v>
      </c>
      <c r="B195" s="5" t="s">
        <v>328</v>
      </c>
      <c r="C195" s="5" t="s">
        <v>329</v>
      </c>
      <c r="D195" s="5" t="s">
        <v>17</v>
      </c>
      <c r="E195" s="6">
        <v>33420</v>
      </c>
      <c r="F195" s="5" t="s">
        <v>14</v>
      </c>
      <c r="G195" s="5" t="s">
        <v>802</v>
      </c>
      <c r="H195" s="7">
        <v>27</v>
      </c>
      <c r="I195" s="7">
        <v>17</v>
      </c>
      <c r="J195" s="7">
        <v>17</v>
      </c>
      <c r="K195" s="7">
        <v>9</v>
      </c>
      <c r="L195" s="7">
        <v>2</v>
      </c>
      <c r="M195" s="8">
        <f>IF(COUNTIF(H195:L195,"=0")&gt;=2,0,SUM(H195:L195))</f>
        <v>72</v>
      </c>
    </row>
    <row r="196" spans="1:13" outlineLevel="2" x14ac:dyDescent="0.15">
      <c r="A196" s="4" t="s">
        <v>1017</v>
      </c>
      <c r="B196" s="5" t="s">
        <v>330</v>
      </c>
      <c r="C196" s="5" t="s">
        <v>331</v>
      </c>
      <c r="D196" s="5" t="s">
        <v>7</v>
      </c>
      <c r="E196" s="6">
        <v>33514</v>
      </c>
      <c r="F196" s="5" t="s">
        <v>14</v>
      </c>
      <c r="G196" s="5" t="s">
        <v>802</v>
      </c>
      <c r="H196" s="7">
        <v>35</v>
      </c>
      <c r="I196" s="7">
        <v>20</v>
      </c>
      <c r="J196" s="7">
        <v>19</v>
      </c>
      <c r="K196" s="7">
        <v>10</v>
      </c>
      <c r="L196" s="7">
        <v>3</v>
      </c>
      <c r="M196" s="8">
        <f>IF(COUNTIF(H196:L196,"=0")&gt;=2,0,SUM(H196:L196))</f>
        <v>87</v>
      </c>
    </row>
    <row r="197" spans="1:13" outlineLevel="2" x14ac:dyDescent="0.15">
      <c r="A197" s="4" t="s">
        <v>1018</v>
      </c>
      <c r="B197" s="5" t="s">
        <v>332</v>
      </c>
      <c r="C197" s="5" t="s">
        <v>333</v>
      </c>
      <c r="D197" s="5" t="s">
        <v>7</v>
      </c>
      <c r="E197" s="6">
        <v>33290</v>
      </c>
      <c r="F197" s="5" t="s">
        <v>14</v>
      </c>
      <c r="G197" s="5" t="s">
        <v>802</v>
      </c>
      <c r="H197" s="7">
        <v>26</v>
      </c>
      <c r="I197" s="7">
        <v>17</v>
      </c>
      <c r="J197" s="7">
        <v>14</v>
      </c>
      <c r="K197" s="7">
        <v>2</v>
      </c>
      <c r="L197" s="7">
        <v>0</v>
      </c>
      <c r="M197" s="8">
        <f>IF(COUNTIF(H197:L197,"=0")&gt;=2,0,SUM(H197:L197))</f>
        <v>59</v>
      </c>
    </row>
    <row r="198" spans="1:13" outlineLevel="2" x14ac:dyDescent="0.15">
      <c r="A198" s="4" t="s">
        <v>1019</v>
      </c>
      <c r="B198" s="5" t="s">
        <v>334</v>
      </c>
      <c r="C198" s="5" t="s">
        <v>335</v>
      </c>
      <c r="D198" s="5" t="s">
        <v>17</v>
      </c>
      <c r="E198" s="6">
        <v>33383</v>
      </c>
      <c r="F198" s="5" t="s">
        <v>14</v>
      </c>
      <c r="G198" s="5" t="s">
        <v>802</v>
      </c>
      <c r="H198" s="7">
        <v>34</v>
      </c>
      <c r="I198" s="7">
        <v>18</v>
      </c>
      <c r="J198" s="7">
        <v>18</v>
      </c>
      <c r="K198" s="7">
        <v>10</v>
      </c>
      <c r="L198" s="7">
        <v>8</v>
      </c>
      <c r="M198" s="8">
        <f>IF(COUNTIF(H198:L198,"=0")&gt;=2,0,SUM(H198:L198))</f>
        <v>88</v>
      </c>
    </row>
    <row r="199" spans="1:13" outlineLevel="2" x14ac:dyDescent="0.15">
      <c r="A199" s="4" t="s">
        <v>1020</v>
      </c>
      <c r="B199" s="5" t="s">
        <v>336</v>
      </c>
      <c r="C199" s="5" t="s">
        <v>337</v>
      </c>
      <c r="D199" s="5" t="s">
        <v>7</v>
      </c>
      <c r="E199" s="6">
        <v>33510</v>
      </c>
      <c r="F199" s="5" t="s">
        <v>14</v>
      </c>
      <c r="G199" s="5" t="s">
        <v>802</v>
      </c>
      <c r="H199" s="7">
        <v>37</v>
      </c>
      <c r="I199" s="7">
        <v>16</v>
      </c>
      <c r="J199" s="7">
        <v>18</v>
      </c>
      <c r="K199" s="7">
        <v>10</v>
      </c>
      <c r="L199" s="7">
        <v>10</v>
      </c>
      <c r="M199" s="8">
        <f>IF(COUNTIF(H199:L199,"=0")&gt;=2,0,SUM(H199:L199))</f>
        <v>91</v>
      </c>
    </row>
    <row r="200" spans="1:13" outlineLevel="2" x14ac:dyDescent="0.15">
      <c r="A200" s="4" t="s">
        <v>1021</v>
      </c>
      <c r="B200" s="5" t="s">
        <v>338</v>
      </c>
      <c r="C200" s="5" t="s">
        <v>339</v>
      </c>
      <c r="D200" s="5" t="s">
        <v>7</v>
      </c>
      <c r="E200" s="6">
        <v>33480</v>
      </c>
      <c r="F200" s="5" t="s">
        <v>14</v>
      </c>
      <c r="G200" s="5" t="s">
        <v>802</v>
      </c>
      <c r="H200" s="7">
        <v>25</v>
      </c>
      <c r="I200" s="7">
        <v>17</v>
      </c>
      <c r="J200" s="7">
        <v>19</v>
      </c>
      <c r="K200" s="7">
        <v>10</v>
      </c>
      <c r="L200" s="7">
        <v>8</v>
      </c>
      <c r="M200" s="8">
        <f>IF(COUNTIF(H200:L200,"=0")&gt;=2,0,SUM(H200:L200))</f>
        <v>79</v>
      </c>
    </row>
    <row r="201" spans="1:13" outlineLevel="2" x14ac:dyDescent="0.15">
      <c r="A201" s="4" t="s">
        <v>1022</v>
      </c>
      <c r="B201" s="5" t="s">
        <v>340</v>
      </c>
      <c r="C201" s="5" t="s">
        <v>341</v>
      </c>
      <c r="D201" s="5" t="s">
        <v>7</v>
      </c>
      <c r="E201" s="6">
        <v>33540</v>
      </c>
      <c r="F201" s="5" t="s">
        <v>14</v>
      </c>
      <c r="G201" s="5" t="s">
        <v>802</v>
      </c>
      <c r="H201" s="7">
        <v>27</v>
      </c>
      <c r="I201" s="7">
        <v>20</v>
      </c>
      <c r="J201" s="7">
        <v>19</v>
      </c>
      <c r="K201" s="7">
        <v>10</v>
      </c>
      <c r="L201" s="7">
        <v>9</v>
      </c>
      <c r="M201" s="8">
        <f>IF(COUNTIF(H201:L201,"=0")&gt;=2,0,SUM(H201:L201))</f>
        <v>85</v>
      </c>
    </row>
    <row r="202" spans="1:13" outlineLevel="2" x14ac:dyDescent="0.15">
      <c r="A202" s="4" t="s">
        <v>1023</v>
      </c>
      <c r="B202" s="5" t="s">
        <v>342</v>
      </c>
      <c r="C202" s="5" t="s">
        <v>343</v>
      </c>
      <c r="D202" s="5" t="s">
        <v>17</v>
      </c>
      <c r="E202" s="6">
        <v>33571</v>
      </c>
      <c r="F202" s="5" t="s">
        <v>14</v>
      </c>
      <c r="G202" s="5" t="s">
        <v>802</v>
      </c>
      <c r="H202" s="7">
        <v>35</v>
      </c>
      <c r="I202" s="7">
        <v>20</v>
      </c>
      <c r="J202" s="7">
        <v>16</v>
      </c>
      <c r="K202" s="7">
        <v>10</v>
      </c>
      <c r="L202" s="7">
        <v>8</v>
      </c>
      <c r="M202" s="8">
        <f>IF(COUNTIF(H202:L202,"=0")&gt;=2,0,SUM(H202:L202))</f>
        <v>89</v>
      </c>
    </row>
    <row r="203" spans="1:13" outlineLevel="2" x14ac:dyDescent="0.15">
      <c r="A203" s="4" t="s">
        <v>1024</v>
      </c>
      <c r="B203" s="5" t="s">
        <v>344</v>
      </c>
      <c r="C203" s="5" t="s">
        <v>345</v>
      </c>
      <c r="D203" s="5" t="s">
        <v>17</v>
      </c>
      <c r="E203" s="6">
        <v>33568</v>
      </c>
      <c r="F203" s="5" t="s">
        <v>14</v>
      </c>
      <c r="G203" s="5" t="s">
        <v>802</v>
      </c>
      <c r="H203" s="7">
        <v>27</v>
      </c>
      <c r="I203" s="7">
        <v>19</v>
      </c>
      <c r="J203" s="7">
        <v>18</v>
      </c>
      <c r="K203" s="7">
        <v>10</v>
      </c>
      <c r="L203" s="7">
        <v>9</v>
      </c>
      <c r="M203" s="8">
        <f>IF(COUNTIF(H203:L203,"=0")&gt;=2,0,SUM(H203:L203))</f>
        <v>83</v>
      </c>
    </row>
    <row r="204" spans="1:13" outlineLevel="2" x14ac:dyDescent="0.15">
      <c r="A204" s="4" t="s">
        <v>1025</v>
      </c>
      <c r="B204" s="5" t="s">
        <v>346</v>
      </c>
      <c r="C204" s="5" t="s">
        <v>347</v>
      </c>
      <c r="D204" s="5" t="s">
        <v>17</v>
      </c>
      <c r="E204" s="6">
        <v>33475</v>
      </c>
      <c r="F204" s="5" t="s">
        <v>14</v>
      </c>
      <c r="G204" s="5" t="s">
        <v>802</v>
      </c>
      <c r="H204" s="7">
        <v>30</v>
      </c>
      <c r="I204" s="7">
        <v>20</v>
      </c>
      <c r="J204" s="7">
        <v>17</v>
      </c>
      <c r="K204" s="7">
        <v>10</v>
      </c>
      <c r="L204" s="7">
        <v>9</v>
      </c>
      <c r="M204" s="8">
        <f>IF(COUNTIF(H204:L204,"=0")&gt;=2,0,SUM(H204:L204))</f>
        <v>86</v>
      </c>
    </row>
    <row r="205" spans="1:13" outlineLevel="2" x14ac:dyDescent="0.15">
      <c r="A205" s="4" t="s">
        <v>1028</v>
      </c>
      <c r="B205" s="5" t="s">
        <v>352</v>
      </c>
      <c r="C205" s="5" t="s">
        <v>353</v>
      </c>
      <c r="D205" s="5" t="s">
        <v>17</v>
      </c>
      <c r="E205" s="6">
        <v>33556</v>
      </c>
      <c r="F205" s="5" t="s">
        <v>14</v>
      </c>
      <c r="G205" s="5" t="s">
        <v>802</v>
      </c>
      <c r="H205" s="7">
        <v>21</v>
      </c>
      <c r="I205" s="7">
        <v>17</v>
      </c>
      <c r="J205" s="7">
        <v>4</v>
      </c>
      <c r="K205" s="7">
        <v>5</v>
      </c>
      <c r="L205" s="7">
        <v>8</v>
      </c>
      <c r="M205" s="8">
        <f>IF(COUNTIF(H205:L205,"=0")&gt;=2,0,SUM(H205:L205))</f>
        <v>55</v>
      </c>
    </row>
    <row r="206" spans="1:13" outlineLevel="2" x14ac:dyDescent="0.15">
      <c r="A206" s="4" t="s">
        <v>1029</v>
      </c>
      <c r="B206" s="5" t="s">
        <v>354</v>
      </c>
      <c r="C206" s="5" t="s">
        <v>355</v>
      </c>
      <c r="D206" s="5" t="s">
        <v>17</v>
      </c>
      <c r="E206" s="6">
        <v>33386</v>
      </c>
      <c r="F206" s="5" t="s">
        <v>14</v>
      </c>
      <c r="G206" s="5" t="s">
        <v>802</v>
      </c>
      <c r="H206" s="7">
        <v>27</v>
      </c>
      <c r="I206" s="7">
        <v>16</v>
      </c>
      <c r="J206" s="7">
        <v>5</v>
      </c>
      <c r="K206" s="7">
        <v>8</v>
      </c>
      <c r="L206" s="7">
        <v>0</v>
      </c>
      <c r="M206" s="8">
        <f>IF(COUNTIF(H206:L206,"=0")&gt;=2,0,SUM(H206:L206))</f>
        <v>56</v>
      </c>
    </row>
    <row r="207" spans="1:13" outlineLevel="2" x14ac:dyDescent="0.15">
      <c r="A207" s="4" t="s">
        <v>1031</v>
      </c>
      <c r="B207" s="5" t="s">
        <v>358</v>
      </c>
      <c r="C207" s="5" t="s">
        <v>359</v>
      </c>
      <c r="D207" s="5" t="s">
        <v>17</v>
      </c>
      <c r="E207" s="6">
        <v>33353</v>
      </c>
      <c r="F207" s="5" t="s">
        <v>14</v>
      </c>
      <c r="G207" s="5" t="s">
        <v>802</v>
      </c>
      <c r="H207" s="7">
        <v>32</v>
      </c>
      <c r="I207" s="7">
        <v>19</v>
      </c>
      <c r="J207" s="7">
        <v>19</v>
      </c>
      <c r="K207" s="7">
        <v>10</v>
      </c>
      <c r="L207" s="7">
        <v>9</v>
      </c>
      <c r="M207" s="8">
        <f>IF(COUNTIF(H207:L207,"=0")&gt;=2,0,SUM(H207:L207))</f>
        <v>89</v>
      </c>
    </row>
    <row r="208" spans="1:13" outlineLevel="2" x14ac:dyDescent="0.15">
      <c r="A208" s="4" t="s">
        <v>1033</v>
      </c>
      <c r="B208" s="5" t="s">
        <v>362</v>
      </c>
      <c r="C208" s="5" t="s">
        <v>363</v>
      </c>
      <c r="D208" s="5" t="s">
        <v>17</v>
      </c>
      <c r="E208" s="6">
        <v>33362</v>
      </c>
      <c r="F208" s="5" t="s">
        <v>14</v>
      </c>
      <c r="G208" s="5" t="s">
        <v>802</v>
      </c>
      <c r="H208" s="7">
        <v>32</v>
      </c>
      <c r="I208" s="7">
        <v>18</v>
      </c>
      <c r="J208" s="7">
        <v>18</v>
      </c>
      <c r="K208" s="7">
        <v>10</v>
      </c>
      <c r="L208" s="7">
        <v>9</v>
      </c>
      <c r="M208" s="8">
        <f>IF(COUNTIF(H208:L208,"=0")&gt;=2,0,SUM(H208:L208))</f>
        <v>87</v>
      </c>
    </row>
    <row r="209" spans="1:13" outlineLevel="2" x14ac:dyDescent="0.15">
      <c r="A209" s="4" t="s">
        <v>1034</v>
      </c>
      <c r="B209" s="5" t="s">
        <v>364</v>
      </c>
      <c r="C209" s="5" t="s">
        <v>365</v>
      </c>
      <c r="D209" s="5" t="s">
        <v>17</v>
      </c>
      <c r="E209" s="6">
        <v>33346</v>
      </c>
      <c r="F209" s="5" t="s">
        <v>14</v>
      </c>
      <c r="G209" s="5" t="s">
        <v>802</v>
      </c>
      <c r="H209" s="7">
        <v>19</v>
      </c>
      <c r="I209" s="7">
        <v>0</v>
      </c>
      <c r="J209" s="7">
        <v>0</v>
      </c>
      <c r="K209" s="7">
        <v>0</v>
      </c>
      <c r="L209" s="7">
        <v>0</v>
      </c>
      <c r="M209" s="8">
        <f>IF(COUNTIF(H209:L209,"=0")&gt;=2,0,SUM(H209:L209))</f>
        <v>0</v>
      </c>
    </row>
    <row r="210" spans="1:13" outlineLevel="2" x14ac:dyDescent="0.15">
      <c r="A210" s="4" t="s">
        <v>1035</v>
      </c>
      <c r="B210" s="5" t="s">
        <v>366</v>
      </c>
      <c r="C210" s="5" t="s">
        <v>367</v>
      </c>
      <c r="D210" s="5" t="s">
        <v>17</v>
      </c>
      <c r="E210" s="6">
        <v>33479</v>
      </c>
      <c r="F210" s="5" t="s">
        <v>14</v>
      </c>
      <c r="G210" s="5" t="s">
        <v>802</v>
      </c>
      <c r="H210" s="7">
        <v>22</v>
      </c>
      <c r="I210" s="7">
        <v>20</v>
      </c>
      <c r="J210" s="7">
        <v>18</v>
      </c>
      <c r="K210" s="7">
        <v>10</v>
      </c>
      <c r="L210" s="7">
        <v>7</v>
      </c>
      <c r="M210" s="8">
        <f>IF(COUNTIF(H210:L210,"=0")&gt;=2,0,SUM(H210:L210))</f>
        <v>77</v>
      </c>
    </row>
    <row r="211" spans="1:13" outlineLevel="2" x14ac:dyDescent="0.15">
      <c r="A211" s="4" t="s">
        <v>1036</v>
      </c>
      <c r="B211" s="5" t="s">
        <v>368</v>
      </c>
      <c r="C211" s="5" t="s">
        <v>369</v>
      </c>
      <c r="D211" s="5" t="s">
        <v>7</v>
      </c>
      <c r="E211" s="6">
        <v>33279</v>
      </c>
      <c r="F211" s="5" t="s">
        <v>14</v>
      </c>
      <c r="G211" s="5" t="s">
        <v>802</v>
      </c>
      <c r="H211" s="7">
        <v>22</v>
      </c>
      <c r="I211" s="7">
        <v>17</v>
      </c>
      <c r="J211" s="7">
        <v>16</v>
      </c>
      <c r="K211" s="7">
        <v>6</v>
      </c>
      <c r="L211" s="7">
        <v>1</v>
      </c>
      <c r="M211" s="8">
        <f>IF(COUNTIF(H211:L211,"=0")&gt;=2,0,SUM(H211:L211))</f>
        <v>62</v>
      </c>
    </row>
    <row r="212" spans="1:13" outlineLevel="2" x14ac:dyDescent="0.15">
      <c r="A212" s="4" t="s">
        <v>1037</v>
      </c>
      <c r="B212" s="5" t="s">
        <v>370</v>
      </c>
      <c r="C212" s="5" t="s">
        <v>371</v>
      </c>
      <c r="D212" s="5" t="s">
        <v>17</v>
      </c>
      <c r="E212" s="6">
        <v>33547</v>
      </c>
      <c r="F212" s="5" t="s">
        <v>14</v>
      </c>
      <c r="G212" s="5" t="s">
        <v>802</v>
      </c>
      <c r="H212" s="7">
        <v>19</v>
      </c>
      <c r="I212" s="7">
        <v>17</v>
      </c>
      <c r="J212" s="7">
        <v>14</v>
      </c>
      <c r="K212" s="7">
        <v>9</v>
      </c>
      <c r="L212" s="7">
        <v>1</v>
      </c>
      <c r="M212" s="8">
        <f>IF(COUNTIF(H212:L212,"=0")&gt;=2,0,SUM(H212:L212))</f>
        <v>60</v>
      </c>
    </row>
    <row r="213" spans="1:13" outlineLevel="2" x14ac:dyDescent="0.15">
      <c r="A213" s="4" t="s">
        <v>1039</v>
      </c>
      <c r="B213" s="5" t="s">
        <v>374</v>
      </c>
      <c r="C213" s="5" t="s">
        <v>375</v>
      </c>
      <c r="D213" s="5" t="s">
        <v>17</v>
      </c>
      <c r="E213" s="6">
        <v>33351</v>
      </c>
      <c r="F213" s="5" t="s">
        <v>14</v>
      </c>
      <c r="G213" s="5" t="s">
        <v>802</v>
      </c>
      <c r="H213" s="7">
        <v>16</v>
      </c>
      <c r="I213" s="7">
        <v>17</v>
      </c>
      <c r="J213" s="7">
        <v>15</v>
      </c>
      <c r="K213" s="7">
        <v>4</v>
      </c>
      <c r="L213" s="7">
        <v>0</v>
      </c>
      <c r="M213" s="8">
        <f>IF(COUNTIF(H213:L213,"=0")&gt;=2,0,SUM(H213:L213))</f>
        <v>52</v>
      </c>
    </row>
    <row r="214" spans="1:13" outlineLevel="2" x14ac:dyDescent="0.15">
      <c r="A214" s="4" t="s">
        <v>1040</v>
      </c>
      <c r="B214" s="5" t="s">
        <v>376</v>
      </c>
      <c r="C214" s="5" t="s">
        <v>377</v>
      </c>
      <c r="D214" s="5" t="s">
        <v>7</v>
      </c>
      <c r="E214" s="6">
        <v>33556</v>
      </c>
      <c r="F214" s="5" t="s">
        <v>14</v>
      </c>
      <c r="G214" s="5" t="s">
        <v>802</v>
      </c>
      <c r="H214" s="7">
        <v>20</v>
      </c>
      <c r="I214" s="7">
        <v>20</v>
      </c>
      <c r="J214" s="7">
        <v>11</v>
      </c>
      <c r="K214" s="7">
        <v>9</v>
      </c>
      <c r="L214" s="7">
        <v>1</v>
      </c>
      <c r="M214" s="8">
        <f>IF(COUNTIF(H214:L214,"=0")&gt;=2,0,SUM(H214:L214))</f>
        <v>61</v>
      </c>
    </row>
    <row r="215" spans="1:13" outlineLevel="2" x14ac:dyDescent="0.15">
      <c r="A215" s="4" t="s">
        <v>1041</v>
      </c>
      <c r="B215" s="5" t="s">
        <v>378</v>
      </c>
      <c r="C215" s="5" t="s">
        <v>379</v>
      </c>
      <c r="D215" s="5" t="s">
        <v>17</v>
      </c>
      <c r="E215" s="6">
        <v>33387</v>
      </c>
      <c r="F215" s="5" t="s">
        <v>14</v>
      </c>
      <c r="G215" s="5" t="s">
        <v>802</v>
      </c>
      <c r="H215" s="7">
        <v>15</v>
      </c>
      <c r="I215" s="7">
        <v>14</v>
      </c>
      <c r="J215" s="7">
        <v>4</v>
      </c>
      <c r="K215" s="7">
        <v>2</v>
      </c>
      <c r="L215" s="7">
        <v>0</v>
      </c>
      <c r="M215" s="8">
        <f>IF(COUNTIF(H215:L215,"=0")&gt;=2,0,SUM(H215:L215))</f>
        <v>35</v>
      </c>
    </row>
    <row r="216" spans="1:13" outlineLevel="2" x14ac:dyDescent="0.15">
      <c r="A216" s="4" t="s">
        <v>1042</v>
      </c>
      <c r="B216" s="5" t="s">
        <v>380</v>
      </c>
      <c r="C216" s="5" t="s">
        <v>381</v>
      </c>
      <c r="D216" s="5" t="s">
        <v>17</v>
      </c>
      <c r="E216" s="6">
        <v>33521</v>
      </c>
      <c r="F216" s="5" t="s">
        <v>14</v>
      </c>
      <c r="G216" s="5" t="s">
        <v>802</v>
      </c>
      <c r="H216" s="7">
        <v>33</v>
      </c>
      <c r="I216" s="7">
        <v>19</v>
      </c>
      <c r="J216" s="7">
        <v>11</v>
      </c>
      <c r="K216" s="7">
        <v>6</v>
      </c>
      <c r="L216" s="7">
        <v>7</v>
      </c>
      <c r="M216" s="8">
        <f>IF(COUNTIF(H216:L216,"=0")&gt;=2,0,SUM(H216:L216))</f>
        <v>76</v>
      </c>
    </row>
    <row r="217" spans="1:13" outlineLevel="2" x14ac:dyDescent="0.15">
      <c r="A217" s="4" t="s">
        <v>1043</v>
      </c>
      <c r="B217" s="5" t="s">
        <v>382</v>
      </c>
      <c r="C217" s="5" t="s">
        <v>383</v>
      </c>
      <c r="D217" s="5" t="s">
        <v>17</v>
      </c>
      <c r="E217" s="6">
        <v>33561</v>
      </c>
      <c r="F217" s="5" t="s">
        <v>14</v>
      </c>
      <c r="G217" s="5" t="s">
        <v>802</v>
      </c>
      <c r="H217" s="7">
        <v>29</v>
      </c>
      <c r="I217" s="7">
        <v>17</v>
      </c>
      <c r="J217" s="7">
        <v>15</v>
      </c>
      <c r="K217" s="7">
        <v>9</v>
      </c>
      <c r="L217" s="7">
        <v>1</v>
      </c>
      <c r="M217" s="8">
        <f>IF(COUNTIF(H217:L217,"=0")&gt;=2,0,SUM(H217:L217))</f>
        <v>71</v>
      </c>
    </row>
    <row r="218" spans="1:13" outlineLevel="2" x14ac:dyDescent="0.15">
      <c r="A218" s="4" t="s">
        <v>1044</v>
      </c>
      <c r="B218" s="5" t="s">
        <v>384</v>
      </c>
      <c r="C218" s="5" t="s">
        <v>385</v>
      </c>
      <c r="D218" s="5" t="s">
        <v>17</v>
      </c>
      <c r="E218" s="6">
        <v>33440</v>
      </c>
      <c r="F218" s="5" t="s">
        <v>14</v>
      </c>
      <c r="G218" s="5" t="s">
        <v>802</v>
      </c>
      <c r="H218" s="7">
        <v>28</v>
      </c>
      <c r="I218" s="7">
        <v>16</v>
      </c>
      <c r="J218" s="7">
        <v>6</v>
      </c>
      <c r="K218" s="7">
        <v>3</v>
      </c>
      <c r="L218" s="7">
        <v>8</v>
      </c>
      <c r="M218" s="8">
        <f>IF(COUNTIF(H218:L218,"=0")&gt;=2,0,SUM(H218:L218))</f>
        <v>61</v>
      </c>
    </row>
    <row r="219" spans="1:13" outlineLevel="2" x14ac:dyDescent="0.15">
      <c r="A219" s="4" t="s">
        <v>1045</v>
      </c>
      <c r="B219" s="5" t="s">
        <v>386</v>
      </c>
      <c r="C219" s="5" t="s">
        <v>387</v>
      </c>
      <c r="D219" s="5" t="s">
        <v>17</v>
      </c>
      <c r="E219" s="6">
        <v>33512</v>
      </c>
      <c r="F219" s="5" t="s">
        <v>14</v>
      </c>
      <c r="G219" s="5" t="s">
        <v>802</v>
      </c>
      <c r="H219" s="7">
        <v>32</v>
      </c>
      <c r="I219" s="7">
        <v>11</v>
      </c>
      <c r="J219" s="7">
        <v>0</v>
      </c>
      <c r="K219" s="7">
        <v>0</v>
      </c>
      <c r="L219" s="7">
        <v>0</v>
      </c>
      <c r="M219" s="8">
        <f>IF(COUNTIF(H219:L219,"=0")&gt;=2,0,SUM(H219:L219))</f>
        <v>0</v>
      </c>
    </row>
    <row r="220" spans="1:13" outlineLevel="2" x14ac:dyDescent="0.15">
      <c r="A220" s="4" t="s">
        <v>1046</v>
      </c>
      <c r="B220" s="5" t="s">
        <v>388</v>
      </c>
      <c r="C220" s="5" t="s">
        <v>389</v>
      </c>
      <c r="D220" s="5" t="s">
        <v>7</v>
      </c>
      <c r="E220" s="6">
        <v>33401</v>
      </c>
      <c r="F220" s="5" t="s">
        <v>14</v>
      </c>
      <c r="G220" s="5" t="s">
        <v>803</v>
      </c>
      <c r="H220" s="7">
        <v>28</v>
      </c>
      <c r="I220" s="7">
        <v>15</v>
      </c>
      <c r="J220" s="7">
        <v>1</v>
      </c>
      <c r="K220" s="7">
        <v>3</v>
      </c>
      <c r="L220" s="7">
        <v>0</v>
      </c>
      <c r="M220" s="8">
        <f>IF(COUNTIF(H220:L220,"=0")&gt;=2,0,SUM(H220:L220))</f>
        <v>47</v>
      </c>
    </row>
    <row r="221" spans="1:13" outlineLevel="2" x14ac:dyDescent="0.15">
      <c r="A221" s="4" t="s">
        <v>1047</v>
      </c>
      <c r="B221" s="5" t="s">
        <v>390</v>
      </c>
      <c r="C221" s="5" t="s">
        <v>391</v>
      </c>
      <c r="D221" s="5" t="s">
        <v>17</v>
      </c>
      <c r="E221" s="6">
        <v>33478</v>
      </c>
      <c r="F221" s="5" t="s">
        <v>14</v>
      </c>
      <c r="G221" s="5" t="s">
        <v>803</v>
      </c>
      <c r="H221" s="7">
        <v>24</v>
      </c>
      <c r="I221" s="7">
        <v>17</v>
      </c>
      <c r="J221" s="7">
        <v>3</v>
      </c>
      <c r="K221" s="7">
        <v>4</v>
      </c>
      <c r="L221" s="7">
        <v>0</v>
      </c>
      <c r="M221" s="8">
        <f>IF(COUNTIF(H221:L221,"=0")&gt;=2,0,SUM(H221:L221))</f>
        <v>48</v>
      </c>
    </row>
    <row r="222" spans="1:13" outlineLevel="2" x14ac:dyDescent="0.15">
      <c r="A222" s="4" t="s">
        <v>1049</v>
      </c>
      <c r="B222" s="5" t="s">
        <v>394</v>
      </c>
      <c r="C222" s="5" t="s">
        <v>395</v>
      </c>
      <c r="D222" s="5" t="s">
        <v>7</v>
      </c>
      <c r="E222" s="6">
        <v>33488</v>
      </c>
      <c r="F222" s="5" t="s">
        <v>14</v>
      </c>
      <c r="G222" s="5" t="s">
        <v>803</v>
      </c>
      <c r="H222" s="7">
        <v>18</v>
      </c>
      <c r="I222" s="7">
        <v>17</v>
      </c>
      <c r="J222" s="7">
        <v>15</v>
      </c>
      <c r="K222" s="7">
        <v>10</v>
      </c>
      <c r="L222" s="7">
        <v>0</v>
      </c>
      <c r="M222" s="8">
        <f>IF(COUNTIF(H222:L222,"=0")&gt;=2,0,SUM(H222:L222))</f>
        <v>60</v>
      </c>
    </row>
    <row r="223" spans="1:13" outlineLevel="2" x14ac:dyDescent="0.15">
      <c r="A223" s="4" t="s">
        <v>1050</v>
      </c>
      <c r="B223" s="5" t="s">
        <v>396</v>
      </c>
      <c r="C223" s="5" t="s">
        <v>397</v>
      </c>
      <c r="D223" s="5" t="s">
        <v>7</v>
      </c>
      <c r="E223" s="6">
        <v>33544</v>
      </c>
      <c r="F223" s="5" t="s">
        <v>14</v>
      </c>
      <c r="G223" s="5" t="s">
        <v>803</v>
      </c>
      <c r="H223" s="7">
        <v>22</v>
      </c>
      <c r="I223" s="7">
        <v>14</v>
      </c>
      <c r="J223" s="7">
        <v>17</v>
      </c>
      <c r="K223" s="7">
        <v>8</v>
      </c>
      <c r="L223" s="7">
        <v>0</v>
      </c>
      <c r="M223" s="8">
        <f>IF(COUNTIF(H223:L223,"=0")&gt;=2,0,SUM(H223:L223))</f>
        <v>61</v>
      </c>
    </row>
    <row r="224" spans="1:13" outlineLevel="2" x14ac:dyDescent="0.15">
      <c r="A224" s="4" t="s">
        <v>1051</v>
      </c>
      <c r="B224" s="5" t="s">
        <v>398</v>
      </c>
      <c r="C224" s="5" t="s">
        <v>399</v>
      </c>
      <c r="D224" s="5" t="s">
        <v>17</v>
      </c>
      <c r="E224" s="6">
        <v>33545</v>
      </c>
      <c r="F224" s="5" t="s">
        <v>14</v>
      </c>
      <c r="G224" s="5" t="s">
        <v>803</v>
      </c>
      <c r="H224" s="7">
        <v>25</v>
      </c>
      <c r="I224" s="7">
        <v>20</v>
      </c>
      <c r="J224" s="7">
        <v>19</v>
      </c>
      <c r="K224" s="7">
        <v>10</v>
      </c>
      <c r="L224" s="7">
        <v>0</v>
      </c>
      <c r="M224" s="8">
        <f>IF(COUNTIF(H224:L224,"=0")&gt;=2,0,SUM(H224:L224))</f>
        <v>74</v>
      </c>
    </row>
    <row r="225" spans="1:13" outlineLevel="2" x14ac:dyDescent="0.15">
      <c r="A225" s="4" t="s">
        <v>1052</v>
      </c>
      <c r="B225" s="5" t="s">
        <v>400</v>
      </c>
      <c r="C225" s="5" t="s">
        <v>401</v>
      </c>
      <c r="D225" s="5" t="s">
        <v>17</v>
      </c>
      <c r="E225" s="6">
        <v>33508</v>
      </c>
      <c r="F225" s="5" t="s">
        <v>14</v>
      </c>
      <c r="G225" s="5" t="s">
        <v>803</v>
      </c>
      <c r="H225" s="7">
        <v>30</v>
      </c>
      <c r="I225" s="7">
        <v>20</v>
      </c>
      <c r="J225" s="7">
        <v>14</v>
      </c>
      <c r="K225" s="7">
        <v>10</v>
      </c>
      <c r="L225" s="7">
        <v>8</v>
      </c>
      <c r="M225" s="8">
        <f>IF(COUNTIF(H225:L225,"=0")&gt;=2,0,SUM(H225:L225))</f>
        <v>82</v>
      </c>
    </row>
    <row r="226" spans="1:13" outlineLevel="2" x14ac:dyDescent="0.15">
      <c r="A226" s="4" t="s">
        <v>1054</v>
      </c>
      <c r="B226" s="5" t="s">
        <v>404</v>
      </c>
      <c r="C226" s="5" t="s">
        <v>405</v>
      </c>
      <c r="D226" s="5" t="s">
        <v>7</v>
      </c>
      <c r="E226" s="6">
        <v>33505</v>
      </c>
      <c r="F226" s="5" t="s">
        <v>14</v>
      </c>
      <c r="G226" s="5" t="s">
        <v>803</v>
      </c>
      <c r="H226" s="7">
        <v>30</v>
      </c>
      <c r="I226" s="7">
        <v>20</v>
      </c>
      <c r="J226" s="7">
        <v>15</v>
      </c>
      <c r="K226" s="7">
        <v>10</v>
      </c>
      <c r="L226" s="7">
        <v>8</v>
      </c>
      <c r="M226" s="8">
        <f>IF(COUNTIF(H226:L226,"=0")&gt;=2,0,SUM(H226:L226))</f>
        <v>83</v>
      </c>
    </row>
    <row r="227" spans="1:13" outlineLevel="2" x14ac:dyDescent="0.15">
      <c r="A227" s="4" t="s">
        <v>1055</v>
      </c>
      <c r="B227" s="5" t="s">
        <v>406</v>
      </c>
      <c r="C227" s="5" t="s">
        <v>407</v>
      </c>
      <c r="D227" s="5" t="s">
        <v>7</v>
      </c>
      <c r="E227" s="6">
        <v>33396</v>
      </c>
      <c r="F227" s="5" t="s">
        <v>14</v>
      </c>
      <c r="G227" s="5" t="s">
        <v>803</v>
      </c>
      <c r="H227" s="7">
        <v>29</v>
      </c>
      <c r="I227" s="7">
        <v>18</v>
      </c>
      <c r="J227" s="7">
        <v>13</v>
      </c>
      <c r="K227" s="7">
        <v>9</v>
      </c>
      <c r="L227" s="7">
        <v>2</v>
      </c>
      <c r="M227" s="8">
        <f>IF(COUNTIF(H227:L227,"=0")&gt;=2,0,SUM(H227:L227))</f>
        <v>71</v>
      </c>
    </row>
    <row r="228" spans="1:13" outlineLevel="2" x14ac:dyDescent="0.15">
      <c r="A228" s="4" t="s">
        <v>1056</v>
      </c>
      <c r="B228" s="5" t="s">
        <v>408</v>
      </c>
      <c r="C228" s="5" t="s">
        <v>409</v>
      </c>
      <c r="D228" s="5" t="s">
        <v>17</v>
      </c>
      <c r="E228" s="6">
        <v>33560</v>
      </c>
      <c r="F228" s="5" t="s">
        <v>14</v>
      </c>
      <c r="G228" s="5" t="s">
        <v>803</v>
      </c>
      <c r="H228" s="7">
        <v>33</v>
      </c>
      <c r="I228" s="7">
        <v>18</v>
      </c>
      <c r="J228" s="7">
        <v>11</v>
      </c>
      <c r="K228" s="7">
        <v>9</v>
      </c>
      <c r="L228" s="7">
        <v>8</v>
      </c>
      <c r="M228" s="8">
        <f>IF(COUNTIF(H228:L228,"=0")&gt;=2,0,SUM(H228:L228))</f>
        <v>79</v>
      </c>
    </row>
    <row r="229" spans="1:13" outlineLevel="2" x14ac:dyDescent="0.15">
      <c r="A229" s="4" t="s">
        <v>1057</v>
      </c>
      <c r="B229" s="5" t="s">
        <v>410</v>
      </c>
      <c r="C229" s="5" t="s">
        <v>411</v>
      </c>
      <c r="D229" s="5" t="s">
        <v>17</v>
      </c>
      <c r="E229" s="6">
        <v>33284</v>
      </c>
      <c r="F229" s="5" t="s">
        <v>14</v>
      </c>
      <c r="G229" s="5" t="s">
        <v>803</v>
      </c>
      <c r="H229" s="7">
        <v>26</v>
      </c>
      <c r="I229" s="7">
        <v>11</v>
      </c>
      <c r="J229" s="7">
        <v>5</v>
      </c>
      <c r="K229" s="7">
        <v>3</v>
      </c>
      <c r="L229" s="7">
        <v>1</v>
      </c>
      <c r="M229" s="8">
        <f>IF(COUNTIF(H229:L229,"=0")&gt;=2,0,SUM(H229:L229))</f>
        <v>46</v>
      </c>
    </row>
    <row r="230" spans="1:13" outlineLevel="2" x14ac:dyDescent="0.15">
      <c r="A230" s="4" t="s">
        <v>1058</v>
      </c>
      <c r="B230" s="5" t="s">
        <v>412</v>
      </c>
      <c r="C230" s="5" t="s">
        <v>413</v>
      </c>
      <c r="D230" s="5" t="s">
        <v>7</v>
      </c>
      <c r="E230" s="6">
        <v>33558</v>
      </c>
      <c r="F230" s="5" t="s">
        <v>14</v>
      </c>
      <c r="G230" s="5" t="s">
        <v>803</v>
      </c>
      <c r="H230" s="7">
        <v>29</v>
      </c>
      <c r="I230" s="7">
        <v>15</v>
      </c>
      <c r="J230" s="7">
        <v>12</v>
      </c>
      <c r="K230" s="7">
        <v>7</v>
      </c>
      <c r="L230" s="7">
        <v>0</v>
      </c>
      <c r="M230" s="8">
        <f>IF(COUNTIF(H230:L230,"=0")&gt;=2,0,SUM(H230:L230))</f>
        <v>63</v>
      </c>
    </row>
    <row r="231" spans="1:13" outlineLevel="2" x14ac:dyDescent="0.15">
      <c r="A231" s="4" t="s">
        <v>1059</v>
      </c>
      <c r="B231" s="5" t="s">
        <v>414</v>
      </c>
      <c r="C231" s="5" t="s">
        <v>415</v>
      </c>
      <c r="D231" s="5" t="s">
        <v>7</v>
      </c>
      <c r="E231" s="6">
        <v>33388</v>
      </c>
      <c r="F231" s="5" t="s">
        <v>14</v>
      </c>
      <c r="G231" s="5" t="s">
        <v>803</v>
      </c>
      <c r="H231" s="7">
        <v>29</v>
      </c>
      <c r="I231" s="7">
        <v>14</v>
      </c>
      <c r="J231" s="7">
        <v>14</v>
      </c>
      <c r="K231" s="7">
        <v>3</v>
      </c>
      <c r="L231" s="7">
        <v>5</v>
      </c>
      <c r="M231" s="8">
        <f>IF(COUNTIF(H231:L231,"=0")&gt;=2,0,SUM(H231:L231))</f>
        <v>65</v>
      </c>
    </row>
    <row r="232" spans="1:13" outlineLevel="2" x14ac:dyDescent="0.15">
      <c r="A232" s="4" t="s">
        <v>1061</v>
      </c>
      <c r="B232" s="5" t="s">
        <v>418</v>
      </c>
      <c r="C232" s="5" t="s">
        <v>419</v>
      </c>
      <c r="D232" s="5" t="s">
        <v>17</v>
      </c>
      <c r="E232" s="6">
        <v>33307</v>
      </c>
      <c r="F232" s="5" t="s">
        <v>14</v>
      </c>
      <c r="G232" s="5" t="s">
        <v>803</v>
      </c>
      <c r="H232" s="7">
        <v>17</v>
      </c>
      <c r="I232" s="7">
        <v>18</v>
      </c>
      <c r="J232" s="7">
        <v>8</v>
      </c>
      <c r="K232" s="7">
        <v>4</v>
      </c>
      <c r="L232" s="7">
        <v>1</v>
      </c>
      <c r="M232" s="8">
        <f>IF(COUNTIF(H232:L232,"=0")&gt;=2,0,SUM(H232:L232))</f>
        <v>48</v>
      </c>
    </row>
    <row r="233" spans="1:13" outlineLevel="2" x14ac:dyDescent="0.15">
      <c r="A233" s="4" t="s">
        <v>1062</v>
      </c>
      <c r="B233" s="5" t="s">
        <v>420</v>
      </c>
      <c r="C233" s="5" t="s">
        <v>421</v>
      </c>
      <c r="D233" s="5" t="s">
        <v>7</v>
      </c>
      <c r="E233" s="6">
        <v>33522</v>
      </c>
      <c r="F233" s="5" t="s">
        <v>14</v>
      </c>
      <c r="G233" s="5" t="s">
        <v>803</v>
      </c>
      <c r="H233" s="7">
        <v>24</v>
      </c>
      <c r="I233" s="7">
        <v>20</v>
      </c>
      <c r="J233" s="7">
        <v>18</v>
      </c>
      <c r="K233" s="7">
        <v>3</v>
      </c>
      <c r="L233" s="7">
        <v>0</v>
      </c>
      <c r="M233" s="8">
        <f>IF(COUNTIF(H233:L233,"=0")&gt;=2,0,SUM(H233:L233))</f>
        <v>65</v>
      </c>
    </row>
    <row r="234" spans="1:13" outlineLevel="2" x14ac:dyDescent="0.15">
      <c r="A234" s="4" t="s">
        <v>1063</v>
      </c>
      <c r="B234" s="5" t="s">
        <v>422</v>
      </c>
      <c r="C234" s="5" t="s">
        <v>423</v>
      </c>
      <c r="D234" s="5" t="s">
        <v>17</v>
      </c>
      <c r="E234" s="6">
        <v>33282</v>
      </c>
      <c r="F234" s="5" t="s">
        <v>14</v>
      </c>
      <c r="G234" s="5" t="s">
        <v>803</v>
      </c>
      <c r="H234" s="7">
        <v>9</v>
      </c>
      <c r="I234" s="7">
        <v>14</v>
      </c>
      <c r="J234" s="7">
        <v>14</v>
      </c>
      <c r="K234" s="7">
        <v>8</v>
      </c>
      <c r="L234" s="7">
        <v>0</v>
      </c>
      <c r="M234" s="8">
        <f>IF(COUNTIF(H234:L234,"=0")&gt;=2,0,SUM(H234:L234))</f>
        <v>45</v>
      </c>
    </row>
    <row r="235" spans="1:13" outlineLevel="2" x14ac:dyDescent="0.15">
      <c r="A235" s="4" t="s">
        <v>1064</v>
      </c>
      <c r="B235" s="5" t="s">
        <v>424</v>
      </c>
      <c r="C235" s="5" t="s">
        <v>425</v>
      </c>
      <c r="D235" s="5" t="s">
        <v>7</v>
      </c>
      <c r="E235" s="6">
        <v>33435</v>
      </c>
      <c r="F235" s="5" t="s">
        <v>14</v>
      </c>
      <c r="G235" s="5" t="s">
        <v>803</v>
      </c>
      <c r="H235" s="7">
        <v>21</v>
      </c>
      <c r="I235" s="7">
        <v>12</v>
      </c>
      <c r="J235" s="7">
        <v>9</v>
      </c>
      <c r="K235" s="7">
        <v>4</v>
      </c>
      <c r="L235" s="7">
        <v>1</v>
      </c>
      <c r="M235" s="8">
        <f>IF(COUNTIF(H235:L235,"=0")&gt;=2,0,SUM(H235:L235))</f>
        <v>47</v>
      </c>
    </row>
    <row r="236" spans="1:13" outlineLevel="2" x14ac:dyDescent="0.15">
      <c r="A236" s="4" t="s">
        <v>1067</v>
      </c>
      <c r="B236" s="5" t="s">
        <v>430</v>
      </c>
      <c r="C236" s="5" t="s">
        <v>431</v>
      </c>
      <c r="D236" s="5" t="s">
        <v>7</v>
      </c>
      <c r="E236" s="6">
        <v>33354</v>
      </c>
      <c r="F236" s="5" t="s">
        <v>14</v>
      </c>
      <c r="G236" s="5" t="s">
        <v>803</v>
      </c>
      <c r="H236" s="7">
        <v>27</v>
      </c>
      <c r="I236" s="7">
        <v>19</v>
      </c>
      <c r="J236" s="7">
        <v>16</v>
      </c>
      <c r="K236" s="7">
        <v>2</v>
      </c>
      <c r="L236" s="7">
        <v>0</v>
      </c>
      <c r="M236" s="8">
        <f>IF(COUNTIF(H236:L236,"=0")&gt;=2,0,SUM(H236:L236))</f>
        <v>64</v>
      </c>
    </row>
    <row r="237" spans="1:13" outlineLevel="2" x14ac:dyDescent="0.15">
      <c r="A237" s="4" t="s">
        <v>1068</v>
      </c>
      <c r="B237" s="5" t="s">
        <v>432</v>
      </c>
      <c r="C237" s="5" t="s">
        <v>433</v>
      </c>
      <c r="D237" s="5" t="s">
        <v>7</v>
      </c>
      <c r="E237" s="6">
        <v>33567</v>
      </c>
      <c r="F237" s="5" t="s">
        <v>14</v>
      </c>
      <c r="G237" s="5" t="s">
        <v>803</v>
      </c>
      <c r="H237" s="7">
        <v>25</v>
      </c>
      <c r="I237" s="7">
        <v>20</v>
      </c>
      <c r="J237" s="7">
        <v>18</v>
      </c>
      <c r="K237" s="7">
        <v>4</v>
      </c>
      <c r="L237" s="7">
        <v>0</v>
      </c>
      <c r="M237" s="8">
        <f>IF(COUNTIF(H237:L237,"=0")&gt;=2,0,SUM(H237:L237))</f>
        <v>67</v>
      </c>
    </row>
    <row r="238" spans="1:13" outlineLevel="2" x14ac:dyDescent="0.15">
      <c r="A238" s="4" t="s">
        <v>1069</v>
      </c>
      <c r="B238" s="5" t="s">
        <v>434</v>
      </c>
      <c r="C238" s="5" t="s">
        <v>435</v>
      </c>
      <c r="D238" s="5" t="s">
        <v>17</v>
      </c>
      <c r="E238" s="6">
        <v>33355</v>
      </c>
      <c r="F238" s="5" t="s">
        <v>14</v>
      </c>
      <c r="G238" s="5" t="s">
        <v>803</v>
      </c>
      <c r="H238" s="7">
        <v>29</v>
      </c>
      <c r="I238" s="7">
        <v>18</v>
      </c>
      <c r="J238" s="7">
        <v>20</v>
      </c>
      <c r="K238" s="7">
        <v>6</v>
      </c>
      <c r="L238" s="7">
        <v>0</v>
      </c>
      <c r="M238" s="8">
        <f>IF(COUNTIF(H238:L238,"=0")&gt;=2,0,SUM(H238:L238))</f>
        <v>73</v>
      </c>
    </row>
    <row r="239" spans="1:13" outlineLevel="2" x14ac:dyDescent="0.15">
      <c r="A239" s="4" t="s">
        <v>1070</v>
      </c>
      <c r="B239" s="5" t="s">
        <v>436</v>
      </c>
      <c r="C239" s="5" t="s">
        <v>437</v>
      </c>
      <c r="D239" s="5" t="s">
        <v>7</v>
      </c>
      <c r="E239" s="6">
        <v>33518</v>
      </c>
      <c r="F239" s="5" t="s">
        <v>14</v>
      </c>
      <c r="G239" s="5" t="s">
        <v>803</v>
      </c>
      <c r="H239" s="7">
        <v>24</v>
      </c>
      <c r="I239" s="7">
        <v>15</v>
      </c>
      <c r="J239" s="7">
        <v>6</v>
      </c>
      <c r="K239" s="7">
        <v>0</v>
      </c>
      <c r="L239" s="7">
        <v>0</v>
      </c>
      <c r="M239" s="8">
        <f>IF(COUNTIF(H239:L239,"=0")&gt;=2,0,SUM(H239:L239))</f>
        <v>0</v>
      </c>
    </row>
    <row r="240" spans="1:13" outlineLevel="2" x14ac:dyDescent="0.15">
      <c r="A240" s="4" t="s">
        <v>1071</v>
      </c>
      <c r="B240" s="5" t="s">
        <v>438</v>
      </c>
      <c r="C240" s="5" t="s">
        <v>439</v>
      </c>
      <c r="D240" s="5" t="s">
        <v>17</v>
      </c>
      <c r="E240" s="6">
        <v>33295</v>
      </c>
      <c r="F240" s="5" t="s">
        <v>14</v>
      </c>
      <c r="G240" s="5" t="s">
        <v>803</v>
      </c>
      <c r="H240" s="7">
        <v>33</v>
      </c>
      <c r="I240" s="7">
        <v>18</v>
      </c>
      <c r="J240" s="7">
        <v>19</v>
      </c>
      <c r="K240" s="7">
        <v>9</v>
      </c>
      <c r="L240" s="7">
        <v>2</v>
      </c>
      <c r="M240" s="8">
        <f>IF(COUNTIF(H240:L240,"=0")&gt;=2,0,SUM(H240:L240))</f>
        <v>81</v>
      </c>
    </row>
    <row r="241" spans="1:13" outlineLevel="2" x14ac:dyDescent="0.15">
      <c r="A241" s="4" t="s">
        <v>1072</v>
      </c>
      <c r="B241" s="5" t="s">
        <v>440</v>
      </c>
      <c r="C241" s="5" t="s">
        <v>441</v>
      </c>
      <c r="D241" s="5" t="s">
        <v>7</v>
      </c>
      <c r="E241" s="6">
        <v>33333</v>
      </c>
      <c r="F241" s="5" t="s">
        <v>14</v>
      </c>
      <c r="G241" s="5" t="s">
        <v>803</v>
      </c>
      <c r="H241" s="7">
        <v>31</v>
      </c>
      <c r="I241" s="7">
        <v>15</v>
      </c>
      <c r="J241" s="7">
        <v>5</v>
      </c>
      <c r="K241" s="7">
        <v>8</v>
      </c>
      <c r="L241" s="7">
        <v>1</v>
      </c>
      <c r="M241" s="8">
        <f>IF(COUNTIF(H241:L241,"=0")&gt;=2,0,SUM(H241:L241))</f>
        <v>60</v>
      </c>
    </row>
    <row r="242" spans="1:13" outlineLevel="2" x14ac:dyDescent="0.15">
      <c r="A242" s="4" t="s">
        <v>1073</v>
      </c>
      <c r="B242" s="5" t="s">
        <v>442</v>
      </c>
      <c r="C242" s="5" t="s">
        <v>443</v>
      </c>
      <c r="D242" s="5" t="s">
        <v>17</v>
      </c>
      <c r="E242" s="6">
        <v>33516</v>
      </c>
      <c r="F242" s="5" t="s">
        <v>14</v>
      </c>
      <c r="G242" s="5" t="s">
        <v>803</v>
      </c>
      <c r="H242" s="7">
        <v>21</v>
      </c>
      <c r="I242" s="7">
        <v>18</v>
      </c>
      <c r="J242" s="7">
        <v>11</v>
      </c>
      <c r="K242" s="7">
        <v>3</v>
      </c>
      <c r="L242" s="7">
        <v>0</v>
      </c>
      <c r="M242" s="8">
        <f>IF(COUNTIF(H242:L242,"=0")&gt;=2,0,SUM(H242:L242))</f>
        <v>53</v>
      </c>
    </row>
    <row r="243" spans="1:13" outlineLevel="2" x14ac:dyDescent="0.15">
      <c r="A243" s="4" t="s">
        <v>1074</v>
      </c>
      <c r="B243" s="5" t="s">
        <v>444</v>
      </c>
      <c r="C243" s="5" t="s">
        <v>445</v>
      </c>
      <c r="D243" s="5" t="s">
        <v>7</v>
      </c>
      <c r="E243" s="6">
        <v>33621</v>
      </c>
      <c r="F243" s="5" t="s">
        <v>14</v>
      </c>
      <c r="G243" s="5" t="s">
        <v>804</v>
      </c>
      <c r="H243" s="7">
        <v>35</v>
      </c>
      <c r="I243" s="7">
        <v>20</v>
      </c>
      <c r="J243" s="7">
        <v>18</v>
      </c>
      <c r="K243" s="7">
        <v>8</v>
      </c>
      <c r="L243" s="7">
        <v>10</v>
      </c>
      <c r="M243" s="8">
        <f>IF(COUNTIF(H243:L243,"=0")&gt;=2,0,SUM(H243:L243))</f>
        <v>91</v>
      </c>
    </row>
    <row r="244" spans="1:13" outlineLevel="2" x14ac:dyDescent="0.15">
      <c r="A244" s="4" t="s">
        <v>1075</v>
      </c>
      <c r="B244" s="5" t="s">
        <v>446</v>
      </c>
      <c r="C244" s="5" t="s">
        <v>447</v>
      </c>
      <c r="D244" s="5" t="s">
        <v>7</v>
      </c>
      <c r="E244" s="6">
        <v>33390</v>
      </c>
      <c r="F244" s="5" t="s">
        <v>14</v>
      </c>
      <c r="G244" s="5" t="s">
        <v>804</v>
      </c>
      <c r="H244" s="7">
        <v>31</v>
      </c>
      <c r="I244" s="7">
        <v>20</v>
      </c>
      <c r="J244" s="7">
        <v>20</v>
      </c>
      <c r="K244" s="7">
        <v>10</v>
      </c>
      <c r="L244" s="7">
        <v>10</v>
      </c>
      <c r="M244" s="8">
        <f>IF(COUNTIF(H244:L244,"=0")&gt;=2,0,SUM(H244:L244))</f>
        <v>91</v>
      </c>
    </row>
    <row r="245" spans="1:13" outlineLevel="2" x14ac:dyDescent="0.15">
      <c r="A245" s="4" t="s">
        <v>1076</v>
      </c>
      <c r="B245" s="5" t="s">
        <v>448</v>
      </c>
      <c r="C245" s="5" t="s">
        <v>449</v>
      </c>
      <c r="D245" s="5" t="s">
        <v>7</v>
      </c>
      <c r="E245" s="6">
        <v>33519</v>
      </c>
      <c r="F245" s="5" t="s">
        <v>14</v>
      </c>
      <c r="G245" s="5" t="s">
        <v>804</v>
      </c>
      <c r="H245" s="7">
        <v>35</v>
      </c>
      <c r="I245" s="7">
        <v>20</v>
      </c>
      <c r="J245" s="7">
        <v>20</v>
      </c>
      <c r="K245" s="7">
        <v>10</v>
      </c>
      <c r="L245" s="7">
        <v>10</v>
      </c>
      <c r="M245" s="8">
        <f>IF(COUNTIF(H245:L245,"=0")&gt;=2,0,SUM(H245:L245))</f>
        <v>95</v>
      </c>
    </row>
    <row r="246" spans="1:13" outlineLevel="2" x14ac:dyDescent="0.15">
      <c r="A246" s="4" t="s">
        <v>1077</v>
      </c>
      <c r="B246" s="5" t="s">
        <v>450</v>
      </c>
      <c r="C246" s="5" t="s">
        <v>451</v>
      </c>
      <c r="D246" s="5" t="s">
        <v>7</v>
      </c>
      <c r="E246" s="6">
        <v>33546</v>
      </c>
      <c r="F246" s="5" t="s">
        <v>14</v>
      </c>
      <c r="G246" s="5" t="s">
        <v>804</v>
      </c>
      <c r="H246" s="7">
        <v>24</v>
      </c>
      <c r="I246" s="7">
        <v>18</v>
      </c>
      <c r="J246" s="7">
        <v>20</v>
      </c>
      <c r="K246" s="7">
        <v>10</v>
      </c>
      <c r="L246" s="7">
        <v>10</v>
      </c>
      <c r="M246" s="8">
        <f>IF(COUNTIF(H246:L246,"=0")&gt;=2,0,SUM(H246:L246))</f>
        <v>82</v>
      </c>
    </row>
    <row r="247" spans="1:13" outlineLevel="2" x14ac:dyDescent="0.15">
      <c r="A247" s="4" t="s">
        <v>1078</v>
      </c>
      <c r="B247" s="5" t="s">
        <v>452</v>
      </c>
      <c r="C247" s="5" t="s">
        <v>453</v>
      </c>
      <c r="D247" s="5" t="s">
        <v>7</v>
      </c>
      <c r="E247" s="6">
        <v>33288</v>
      </c>
      <c r="F247" s="5" t="s">
        <v>14</v>
      </c>
      <c r="G247" s="5" t="s">
        <v>804</v>
      </c>
      <c r="H247" s="7">
        <v>36</v>
      </c>
      <c r="I247" s="7">
        <v>20</v>
      </c>
      <c r="J247" s="7">
        <v>20</v>
      </c>
      <c r="K247" s="7">
        <v>10</v>
      </c>
      <c r="L247" s="7">
        <v>10</v>
      </c>
      <c r="M247" s="8">
        <f>IF(COUNTIF(H247:L247,"=0")&gt;=2,0,SUM(H247:L247))</f>
        <v>96</v>
      </c>
    </row>
    <row r="248" spans="1:13" outlineLevel="2" x14ac:dyDescent="0.15">
      <c r="A248" s="4" t="s">
        <v>1079</v>
      </c>
      <c r="B248" s="5" t="s">
        <v>454</v>
      </c>
      <c r="C248" s="5" t="s">
        <v>455</v>
      </c>
      <c r="D248" s="5" t="s">
        <v>7</v>
      </c>
      <c r="E248" s="6">
        <v>33553</v>
      </c>
      <c r="F248" s="5" t="s">
        <v>14</v>
      </c>
      <c r="G248" s="5" t="s">
        <v>804</v>
      </c>
      <c r="H248" s="7">
        <v>29</v>
      </c>
      <c r="I248" s="7">
        <v>18</v>
      </c>
      <c r="J248" s="7">
        <v>20</v>
      </c>
      <c r="K248" s="7">
        <v>10</v>
      </c>
      <c r="L248" s="7">
        <v>9</v>
      </c>
      <c r="M248" s="8">
        <f>IF(COUNTIF(H248:L248,"=0")&gt;=2,0,SUM(H248:L248))</f>
        <v>86</v>
      </c>
    </row>
    <row r="249" spans="1:13" outlineLevel="2" x14ac:dyDescent="0.15">
      <c r="A249" s="4" t="s">
        <v>1081</v>
      </c>
      <c r="B249" s="5" t="s">
        <v>458</v>
      </c>
      <c r="C249" s="5" t="s">
        <v>459</v>
      </c>
      <c r="D249" s="5" t="s">
        <v>7</v>
      </c>
      <c r="E249" s="6">
        <v>33404</v>
      </c>
      <c r="F249" s="5" t="s">
        <v>14</v>
      </c>
      <c r="G249" s="5" t="s">
        <v>804</v>
      </c>
      <c r="H249" s="7">
        <v>38</v>
      </c>
      <c r="I249" s="7">
        <v>19</v>
      </c>
      <c r="J249" s="7">
        <v>20</v>
      </c>
      <c r="K249" s="7">
        <v>10</v>
      </c>
      <c r="L249" s="7">
        <v>10</v>
      </c>
      <c r="M249" s="8">
        <f>IF(COUNTIF(H249:L249,"=0")&gt;=2,0,SUM(H249:L249))</f>
        <v>97</v>
      </c>
    </row>
    <row r="250" spans="1:13" outlineLevel="2" x14ac:dyDescent="0.15">
      <c r="A250" s="4" t="s">
        <v>1082</v>
      </c>
      <c r="B250" s="5" t="s">
        <v>460</v>
      </c>
      <c r="C250" s="5" t="s">
        <v>461</v>
      </c>
      <c r="D250" s="5" t="s">
        <v>17</v>
      </c>
      <c r="E250" s="6">
        <v>33399</v>
      </c>
      <c r="F250" s="5" t="s">
        <v>14</v>
      </c>
      <c r="G250" s="5" t="s">
        <v>804</v>
      </c>
      <c r="H250" s="7">
        <v>14</v>
      </c>
      <c r="I250" s="7">
        <v>16</v>
      </c>
      <c r="J250" s="7">
        <v>5</v>
      </c>
      <c r="K250" s="7">
        <v>6</v>
      </c>
      <c r="L250" s="7">
        <v>0</v>
      </c>
      <c r="M250" s="8">
        <f>IF(COUNTIF(H250:L250,"=0")&gt;=2,0,SUM(H250:L250))</f>
        <v>41</v>
      </c>
    </row>
    <row r="251" spans="1:13" outlineLevel="2" x14ac:dyDescent="0.15">
      <c r="A251" s="4" t="s">
        <v>1084</v>
      </c>
      <c r="B251" s="5" t="s">
        <v>548</v>
      </c>
      <c r="C251" s="5" t="s">
        <v>549</v>
      </c>
      <c r="D251" s="5" t="s">
        <v>17</v>
      </c>
      <c r="E251" s="6">
        <v>33497</v>
      </c>
      <c r="F251" s="5" t="s">
        <v>14</v>
      </c>
      <c r="G251" s="5" t="s">
        <v>804</v>
      </c>
      <c r="H251" s="7">
        <v>36</v>
      </c>
      <c r="I251" s="7">
        <v>20</v>
      </c>
      <c r="J251" s="7">
        <v>19</v>
      </c>
      <c r="K251" s="7">
        <v>10</v>
      </c>
      <c r="L251" s="7">
        <v>9</v>
      </c>
      <c r="M251" s="8">
        <f>IF(COUNTIF(H251:L251,"=0")&gt;=2,0,SUM(H251:L251))</f>
        <v>94</v>
      </c>
    </row>
    <row r="252" spans="1:13" outlineLevel="2" x14ac:dyDescent="0.15">
      <c r="A252" s="4" t="s">
        <v>1085</v>
      </c>
      <c r="B252" s="5" t="s">
        <v>550</v>
      </c>
      <c r="C252" s="5" t="s">
        <v>551</v>
      </c>
      <c r="D252" s="5" t="s">
        <v>17</v>
      </c>
      <c r="E252" s="6">
        <v>33515</v>
      </c>
      <c r="F252" s="5" t="s">
        <v>14</v>
      </c>
      <c r="G252" s="5" t="s">
        <v>804</v>
      </c>
      <c r="H252" s="7">
        <v>35</v>
      </c>
      <c r="I252" s="7">
        <v>19</v>
      </c>
      <c r="J252" s="7">
        <v>17</v>
      </c>
      <c r="K252" s="7">
        <v>10</v>
      </c>
      <c r="L252" s="7">
        <v>10</v>
      </c>
      <c r="M252" s="8">
        <f>IF(COUNTIF(H252:L252,"=0")&gt;=2,0,SUM(H252:L252))</f>
        <v>91</v>
      </c>
    </row>
    <row r="253" spans="1:13" outlineLevel="2" x14ac:dyDescent="0.15">
      <c r="A253" s="4" t="s">
        <v>1086</v>
      </c>
      <c r="B253" s="5" t="s">
        <v>552</v>
      </c>
      <c r="C253" s="5" t="s">
        <v>553</v>
      </c>
      <c r="D253" s="5" t="s">
        <v>7</v>
      </c>
      <c r="E253" s="6">
        <v>33554</v>
      </c>
      <c r="F253" s="5" t="s">
        <v>14</v>
      </c>
      <c r="G253" s="5" t="s">
        <v>804</v>
      </c>
      <c r="H253" s="7">
        <v>23</v>
      </c>
      <c r="I253" s="7">
        <v>19</v>
      </c>
      <c r="J253" s="7">
        <v>18</v>
      </c>
      <c r="K253" s="7">
        <v>10</v>
      </c>
      <c r="L253" s="7">
        <v>8</v>
      </c>
      <c r="M253" s="8">
        <f>IF(COUNTIF(H253:L253,"=0")&gt;=2,0,SUM(H253:L253))</f>
        <v>78</v>
      </c>
    </row>
    <row r="254" spans="1:13" outlineLevel="2" x14ac:dyDescent="0.15">
      <c r="A254" s="4" t="s">
        <v>1088</v>
      </c>
      <c r="B254" s="5" t="s">
        <v>556</v>
      </c>
      <c r="C254" s="5" t="s">
        <v>557</v>
      </c>
      <c r="D254" s="5" t="s">
        <v>7</v>
      </c>
      <c r="E254" s="6">
        <v>33517</v>
      </c>
      <c r="F254" s="5" t="s">
        <v>14</v>
      </c>
      <c r="G254" s="5" t="s">
        <v>804</v>
      </c>
      <c r="H254" s="7">
        <v>34</v>
      </c>
      <c r="I254" s="7">
        <v>20</v>
      </c>
      <c r="J254" s="7">
        <v>19</v>
      </c>
      <c r="K254" s="7">
        <v>10</v>
      </c>
      <c r="L254" s="7">
        <v>10</v>
      </c>
      <c r="M254" s="8">
        <f>IF(COUNTIF(H254:L254,"=0")&gt;=2,0,SUM(H254:L254))</f>
        <v>93</v>
      </c>
    </row>
    <row r="255" spans="1:13" outlineLevel="2" x14ac:dyDescent="0.15">
      <c r="A255" s="4" t="s">
        <v>1089</v>
      </c>
      <c r="B255" s="5" t="s">
        <v>558</v>
      </c>
      <c r="C255" s="5" t="s">
        <v>559</v>
      </c>
      <c r="D255" s="5" t="s">
        <v>17</v>
      </c>
      <c r="E255" s="6">
        <v>33306</v>
      </c>
      <c r="F255" s="5" t="s">
        <v>14</v>
      </c>
      <c r="G255" s="5" t="s">
        <v>804</v>
      </c>
      <c r="H255" s="7">
        <v>25</v>
      </c>
      <c r="I255" s="7">
        <v>18</v>
      </c>
      <c r="J255" s="7">
        <v>20</v>
      </c>
      <c r="K255" s="7">
        <v>10</v>
      </c>
      <c r="L255" s="7">
        <v>9</v>
      </c>
      <c r="M255" s="8">
        <f>IF(COUNTIF(H255:L255,"=0")&gt;=2,0,SUM(H255:L255))</f>
        <v>82</v>
      </c>
    </row>
    <row r="256" spans="1:13" outlineLevel="2" x14ac:dyDescent="0.15">
      <c r="A256" s="4" t="s">
        <v>1090</v>
      </c>
      <c r="B256" s="5" t="s">
        <v>560</v>
      </c>
      <c r="C256" s="5" t="s">
        <v>561</v>
      </c>
      <c r="D256" s="5" t="s">
        <v>7</v>
      </c>
      <c r="E256" s="6">
        <v>33361</v>
      </c>
      <c r="F256" s="5" t="s">
        <v>14</v>
      </c>
      <c r="G256" s="5" t="s">
        <v>804</v>
      </c>
      <c r="H256" s="7">
        <v>31</v>
      </c>
      <c r="I256" s="7">
        <v>20</v>
      </c>
      <c r="J256" s="7">
        <v>20</v>
      </c>
      <c r="K256" s="7">
        <v>10</v>
      </c>
      <c r="L256" s="7">
        <v>9</v>
      </c>
      <c r="M256" s="8">
        <f>IF(COUNTIF(H256:L256,"=0")&gt;=2,0,SUM(H256:L256))</f>
        <v>90</v>
      </c>
    </row>
    <row r="257" spans="1:13" outlineLevel="2" x14ac:dyDescent="0.15">
      <c r="A257" s="4" t="s">
        <v>1091</v>
      </c>
      <c r="B257" s="5" t="s">
        <v>562</v>
      </c>
      <c r="C257" s="5" t="s">
        <v>563</v>
      </c>
      <c r="D257" s="5" t="s">
        <v>7</v>
      </c>
      <c r="E257" s="6">
        <v>33616</v>
      </c>
      <c r="F257" s="5" t="s">
        <v>14</v>
      </c>
      <c r="G257" s="5" t="s">
        <v>804</v>
      </c>
      <c r="H257" s="7">
        <v>20</v>
      </c>
      <c r="I257" s="7">
        <v>18</v>
      </c>
      <c r="J257" s="7">
        <v>18</v>
      </c>
      <c r="K257" s="7">
        <v>8</v>
      </c>
      <c r="L257" s="7">
        <v>8</v>
      </c>
      <c r="M257" s="8">
        <f>IF(COUNTIF(H257:L257,"=0")&gt;=2,0,SUM(H257:L257))</f>
        <v>72</v>
      </c>
    </row>
    <row r="258" spans="1:13" outlineLevel="2" x14ac:dyDescent="0.15">
      <c r="A258" s="4" t="s">
        <v>1092</v>
      </c>
      <c r="B258" s="5" t="s">
        <v>564</v>
      </c>
      <c r="C258" s="5" t="s">
        <v>565</v>
      </c>
      <c r="D258" s="5" t="s">
        <v>7</v>
      </c>
      <c r="E258" s="6">
        <v>33283</v>
      </c>
      <c r="F258" s="5" t="s">
        <v>14</v>
      </c>
      <c r="G258" s="5" t="s">
        <v>804</v>
      </c>
      <c r="H258" s="7">
        <v>31</v>
      </c>
      <c r="I258" s="7">
        <v>19</v>
      </c>
      <c r="J258" s="7">
        <v>20</v>
      </c>
      <c r="K258" s="7">
        <v>10</v>
      </c>
      <c r="L258" s="7">
        <v>10</v>
      </c>
      <c r="M258" s="8">
        <f>IF(COUNTIF(H258:L258,"=0")&gt;=2,0,SUM(H258:L258))</f>
        <v>90</v>
      </c>
    </row>
    <row r="259" spans="1:13" outlineLevel="2" x14ac:dyDescent="0.15">
      <c r="A259" s="4" t="s">
        <v>1093</v>
      </c>
      <c r="B259" s="5" t="s">
        <v>566</v>
      </c>
      <c r="C259" s="5" t="s">
        <v>567</v>
      </c>
      <c r="D259" s="5" t="s">
        <v>7</v>
      </c>
      <c r="E259" s="6">
        <v>33400</v>
      </c>
      <c r="F259" s="5" t="s">
        <v>14</v>
      </c>
      <c r="G259" s="5" t="s">
        <v>804</v>
      </c>
      <c r="H259" s="7">
        <v>32</v>
      </c>
      <c r="I259" s="7">
        <v>20</v>
      </c>
      <c r="J259" s="7">
        <v>20</v>
      </c>
      <c r="K259" s="7">
        <v>9</v>
      </c>
      <c r="L259" s="7">
        <v>9</v>
      </c>
      <c r="M259" s="8">
        <f>IF(COUNTIF(H259:L259,"=0")&gt;=2,0,SUM(H259:L259))</f>
        <v>90</v>
      </c>
    </row>
    <row r="260" spans="1:13" outlineLevel="2" x14ac:dyDescent="0.15">
      <c r="A260" s="4" t="s">
        <v>1094</v>
      </c>
      <c r="B260" s="5" t="s">
        <v>568</v>
      </c>
      <c r="C260" s="5" t="s">
        <v>569</v>
      </c>
      <c r="D260" s="5" t="s">
        <v>7</v>
      </c>
      <c r="E260" s="6">
        <v>33504</v>
      </c>
      <c r="F260" s="5" t="s">
        <v>14</v>
      </c>
      <c r="G260" s="5" t="s">
        <v>804</v>
      </c>
      <c r="H260" s="7">
        <v>29</v>
      </c>
      <c r="I260" s="7">
        <v>18</v>
      </c>
      <c r="J260" s="7">
        <v>20</v>
      </c>
      <c r="K260" s="7">
        <v>10</v>
      </c>
      <c r="L260" s="7">
        <v>9</v>
      </c>
      <c r="M260" s="8">
        <f>IF(COUNTIF(H260:L260,"=0")&gt;=2,0,SUM(H260:L260))</f>
        <v>86</v>
      </c>
    </row>
    <row r="261" spans="1:13" outlineLevel="2" x14ac:dyDescent="0.15">
      <c r="A261" s="4" t="s">
        <v>1095</v>
      </c>
      <c r="B261" s="5" t="s">
        <v>570</v>
      </c>
      <c r="C261" s="5" t="s">
        <v>571</v>
      </c>
      <c r="D261" s="5" t="s">
        <v>7</v>
      </c>
      <c r="E261" s="6">
        <v>33410</v>
      </c>
      <c r="F261" s="5" t="s">
        <v>14</v>
      </c>
      <c r="G261" s="5" t="s">
        <v>804</v>
      </c>
      <c r="H261" s="7">
        <v>33</v>
      </c>
      <c r="I261" s="7">
        <v>18</v>
      </c>
      <c r="J261" s="7">
        <v>18</v>
      </c>
      <c r="K261" s="7">
        <v>10</v>
      </c>
      <c r="L261" s="7">
        <v>9</v>
      </c>
      <c r="M261" s="8">
        <f>IF(COUNTIF(H261:L261,"=0")&gt;=2,0,SUM(H261:L261))</f>
        <v>88</v>
      </c>
    </row>
    <row r="262" spans="1:13" outlineLevel="2" x14ac:dyDescent="0.15">
      <c r="A262" s="4" t="s">
        <v>1096</v>
      </c>
      <c r="B262" s="5" t="s">
        <v>572</v>
      </c>
      <c r="C262" s="5" t="s">
        <v>573</v>
      </c>
      <c r="D262" s="5" t="s">
        <v>7</v>
      </c>
      <c r="E262" s="6">
        <v>33432</v>
      </c>
      <c r="F262" s="5" t="s">
        <v>14</v>
      </c>
      <c r="G262" s="5" t="s">
        <v>804</v>
      </c>
      <c r="H262" s="7">
        <v>37</v>
      </c>
      <c r="I262" s="7">
        <v>18</v>
      </c>
      <c r="J262" s="7">
        <v>20</v>
      </c>
      <c r="K262" s="7">
        <v>10</v>
      </c>
      <c r="L262" s="7">
        <v>9</v>
      </c>
      <c r="M262" s="8">
        <f>IF(COUNTIF(H262:L262,"=0")&gt;=2,0,SUM(H262:L262))</f>
        <v>94</v>
      </c>
    </row>
    <row r="263" spans="1:13" outlineLevel="2" x14ac:dyDescent="0.15">
      <c r="A263" s="4" t="s">
        <v>1098</v>
      </c>
      <c r="B263" s="5" t="s">
        <v>576</v>
      </c>
      <c r="C263" s="5" t="s">
        <v>577</v>
      </c>
      <c r="D263" s="5" t="s">
        <v>7</v>
      </c>
      <c r="E263" s="6">
        <v>33551</v>
      </c>
      <c r="F263" s="5" t="s">
        <v>14</v>
      </c>
      <c r="G263" s="5" t="s">
        <v>804</v>
      </c>
      <c r="H263" s="7">
        <v>26</v>
      </c>
      <c r="I263" s="7">
        <v>17</v>
      </c>
      <c r="J263" s="7">
        <v>14</v>
      </c>
      <c r="K263" s="7">
        <v>8</v>
      </c>
      <c r="L263" s="7">
        <v>8</v>
      </c>
      <c r="M263" s="8">
        <f>IF(COUNTIF(H263:L263,"=0")&gt;=2,0,SUM(H263:L263))</f>
        <v>73</v>
      </c>
    </row>
    <row r="264" spans="1:13" outlineLevel="2" x14ac:dyDescent="0.15">
      <c r="A264" s="4" t="s">
        <v>1099</v>
      </c>
      <c r="B264" s="5" t="s">
        <v>578</v>
      </c>
      <c r="C264" s="5" t="s">
        <v>579</v>
      </c>
      <c r="D264" s="5" t="s">
        <v>7</v>
      </c>
      <c r="E264" s="6">
        <v>33443</v>
      </c>
      <c r="F264" s="5" t="s">
        <v>14</v>
      </c>
      <c r="G264" s="5" t="s">
        <v>804</v>
      </c>
      <c r="H264" s="7">
        <v>30</v>
      </c>
      <c r="I264" s="7">
        <v>19</v>
      </c>
      <c r="J264" s="7">
        <v>18</v>
      </c>
      <c r="K264" s="7">
        <v>10</v>
      </c>
      <c r="L264" s="7">
        <v>10</v>
      </c>
      <c r="M264" s="8">
        <f>IF(COUNTIF(H264:L264,"=0")&gt;=2,0,SUM(H264:L264))</f>
        <v>87</v>
      </c>
    </row>
    <row r="265" spans="1:13" outlineLevel="2" x14ac:dyDescent="0.15">
      <c r="A265" s="4" t="s">
        <v>1100</v>
      </c>
      <c r="B265" s="5" t="s">
        <v>580</v>
      </c>
      <c r="C265" s="5" t="s">
        <v>581</v>
      </c>
      <c r="D265" s="5" t="s">
        <v>17</v>
      </c>
      <c r="E265" s="6">
        <v>33555</v>
      </c>
      <c r="F265" s="5" t="s">
        <v>14</v>
      </c>
      <c r="G265" s="5" t="s">
        <v>804</v>
      </c>
      <c r="H265" s="7">
        <v>31</v>
      </c>
      <c r="I265" s="7">
        <v>19</v>
      </c>
      <c r="J265" s="7">
        <v>20</v>
      </c>
      <c r="K265" s="7">
        <v>8</v>
      </c>
      <c r="L265" s="7">
        <v>9</v>
      </c>
      <c r="M265" s="8">
        <f>IF(COUNTIF(H265:L265,"=0")&gt;=2,0,SUM(H265:L265))</f>
        <v>87</v>
      </c>
    </row>
    <row r="266" spans="1:13" outlineLevel="2" x14ac:dyDescent="0.15">
      <c r="A266" s="4" t="s">
        <v>1101</v>
      </c>
      <c r="B266" s="5" t="s">
        <v>582</v>
      </c>
      <c r="C266" s="5" t="s">
        <v>583</v>
      </c>
      <c r="D266" s="5" t="s">
        <v>17</v>
      </c>
      <c r="E266" s="6">
        <v>33367</v>
      </c>
      <c r="F266" s="5" t="s">
        <v>14</v>
      </c>
      <c r="G266" s="5" t="s">
        <v>804</v>
      </c>
      <c r="H266" s="7">
        <v>30</v>
      </c>
      <c r="I266" s="7">
        <v>19</v>
      </c>
      <c r="J266" s="7">
        <v>20</v>
      </c>
      <c r="K266" s="7">
        <v>10</v>
      </c>
      <c r="L266" s="7">
        <v>10</v>
      </c>
      <c r="M266" s="8">
        <f>IF(COUNTIF(H266:L266,"=0")&gt;=2,0,SUM(H266:L266))</f>
        <v>89</v>
      </c>
    </row>
    <row r="267" spans="1:13" outlineLevel="2" x14ac:dyDescent="0.15">
      <c r="A267" s="4" t="s">
        <v>1102</v>
      </c>
      <c r="B267" s="5" t="s">
        <v>584</v>
      </c>
      <c r="C267" s="5" t="s">
        <v>585</v>
      </c>
      <c r="D267" s="5" t="s">
        <v>17</v>
      </c>
      <c r="E267" s="6">
        <v>33255</v>
      </c>
      <c r="F267" s="5" t="s">
        <v>14</v>
      </c>
      <c r="G267" s="5" t="s">
        <v>804</v>
      </c>
      <c r="H267" s="7">
        <v>21</v>
      </c>
      <c r="I267" s="7">
        <v>19</v>
      </c>
      <c r="J267" s="7">
        <v>20</v>
      </c>
      <c r="K267" s="7">
        <v>10</v>
      </c>
      <c r="L267" s="7">
        <v>9</v>
      </c>
      <c r="M267" s="8">
        <f>IF(COUNTIF(H267:L267,"=0")&gt;=2,0,SUM(H267:L267))</f>
        <v>79</v>
      </c>
    </row>
    <row r="268" spans="1:13" outlineLevel="2" x14ac:dyDescent="0.15">
      <c r="A268" s="4" t="s">
        <v>1103</v>
      </c>
      <c r="B268" s="5" t="s">
        <v>586</v>
      </c>
      <c r="C268" s="5" t="s">
        <v>587</v>
      </c>
      <c r="D268" s="5" t="s">
        <v>17</v>
      </c>
      <c r="E268" s="6">
        <v>33569</v>
      </c>
      <c r="F268" s="5" t="s">
        <v>14</v>
      </c>
      <c r="G268" s="5" t="s">
        <v>804</v>
      </c>
      <c r="H268" s="7">
        <v>20</v>
      </c>
      <c r="I268" s="7">
        <v>17</v>
      </c>
      <c r="J268" s="7">
        <v>16</v>
      </c>
      <c r="K268" s="7">
        <v>8</v>
      </c>
      <c r="L268" s="7">
        <v>8</v>
      </c>
      <c r="M268" s="8">
        <f>IF(COUNTIF(H268:L268,"=0")&gt;=2,0,SUM(H268:L268))</f>
        <v>69</v>
      </c>
    </row>
    <row r="269" spans="1:13" outlineLevel="2" x14ac:dyDescent="0.15">
      <c r="A269" s="4" t="s">
        <v>1104</v>
      </c>
      <c r="B269" s="5" t="s">
        <v>588</v>
      </c>
      <c r="C269" s="5" t="s">
        <v>589</v>
      </c>
      <c r="D269" s="5" t="s">
        <v>7</v>
      </c>
      <c r="E269" s="6">
        <v>33559</v>
      </c>
      <c r="F269" s="5" t="s">
        <v>14</v>
      </c>
      <c r="G269" s="5" t="s">
        <v>804</v>
      </c>
      <c r="H269" s="7">
        <v>29</v>
      </c>
      <c r="I269" s="7">
        <v>17</v>
      </c>
      <c r="J269" s="7">
        <v>20</v>
      </c>
      <c r="K269" s="7">
        <v>10</v>
      </c>
      <c r="L269" s="7">
        <v>10</v>
      </c>
      <c r="M269" s="8">
        <f>IF(COUNTIF(H269:L269,"=0")&gt;=2,0,SUM(H269:L269))</f>
        <v>86</v>
      </c>
    </row>
    <row r="270" spans="1:13" outlineLevel="2" x14ac:dyDescent="0.15">
      <c r="A270" s="4" t="s">
        <v>1105</v>
      </c>
      <c r="B270" s="5" t="s">
        <v>590</v>
      </c>
      <c r="C270" s="5" t="s">
        <v>591</v>
      </c>
      <c r="D270" s="5" t="s">
        <v>7</v>
      </c>
      <c r="E270" s="6">
        <v>33390</v>
      </c>
      <c r="F270" s="5" t="s">
        <v>14</v>
      </c>
      <c r="G270" s="5" t="s">
        <v>804</v>
      </c>
      <c r="H270" s="7">
        <v>30</v>
      </c>
      <c r="I270" s="7">
        <v>20</v>
      </c>
      <c r="J270" s="7">
        <v>20</v>
      </c>
      <c r="K270" s="7">
        <v>10</v>
      </c>
      <c r="L270" s="7">
        <v>10</v>
      </c>
      <c r="M270" s="8">
        <f>IF(COUNTIF(H270:L270,"=0")&gt;=2,0,SUM(H270:L270))</f>
        <v>90</v>
      </c>
    </row>
    <row r="271" spans="1:13" outlineLevel="2" x14ac:dyDescent="0.15">
      <c r="A271" s="4" t="s">
        <v>1106</v>
      </c>
      <c r="B271" s="5" t="s">
        <v>592</v>
      </c>
      <c r="C271" s="5" t="s">
        <v>593</v>
      </c>
      <c r="D271" s="5" t="s">
        <v>17</v>
      </c>
      <c r="E271" s="6">
        <v>33403</v>
      </c>
      <c r="F271" s="5" t="s">
        <v>14</v>
      </c>
      <c r="G271" s="5" t="s">
        <v>804</v>
      </c>
      <c r="H271" s="7">
        <v>24</v>
      </c>
      <c r="I271" s="7">
        <v>19</v>
      </c>
      <c r="J271" s="7">
        <v>18</v>
      </c>
      <c r="K271" s="7">
        <v>10</v>
      </c>
      <c r="L271" s="7">
        <v>10</v>
      </c>
      <c r="M271" s="8">
        <f>IF(COUNTIF(H271:L271,"=0")&gt;=2,0,SUM(H271:L271))</f>
        <v>81</v>
      </c>
    </row>
    <row r="272" spans="1:13" outlineLevel="2" x14ac:dyDescent="0.15">
      <c r="A272" s="4" t="s">
        <v>1107</v>
      </c>
      <c r="B272" s="5" t="s">
        <v>594</v>
      </c>
      <c r="C272" s="5" t="s">
        <v>595</v>
      </c>
      <c r="D272" s="5" t="s">
        <v>17</v>
      </c>
      <c r="E272" s="6">
        <v>33348</v>
      </c>
      <c r="F272" s="5" t="s">
        <v>14</v>
      </c>
      <c r="G272" s="5" t="s">
        <v>804</v>
      </c>
      <c r="H272" s="7">
        <v>30</v>
      </c>
      <c r="I272" s="7">
        <v>19</v>
      </c>
      <c r="J272" s="7">
        <v>20</v>
      </c>
      <c r="K272" s="7">
        <v>8</v>
      </c>
      <c r="L272" s="7">
        <v>9</v>
      </c>
      <c r="M272" s="8">
        <f>IF(COUNTIF(H272:L272,"=0")&gt;=2,0,SUM(H272:L272))</f>
        <v>86</v>
      </c>
    </row>
    <row r="273" spans="1:13" outlineLevel="2" x14ac:dyDescent="0.15">
      <c r="A273" s="4" t="s">
        <v>1108</v>
      </c>
      <c r="B273" s="5" t="s">
        <v>596</v>
      </c>
      <c r="C273" s="5" t="s">
        <v>597</v>
      </c>
      <c r="D273" s="5" t="s">
        <v>7</v>
      </c>
      <c r="E273" s="6">
        <v>33258</v>
      </c>
      <c r="F273" s="5" t="s">
        <v>14</v>
      </c>
      <c r="G273" s="5" t="s">
        <v>804</v>
      </c>
      <c r="H273" s="7">
        <v>26</v>
      </c>
      <c r="I273" s="7">
        <v>19</v>
      </c>
      <c r="J273" s="7">
        <v>20</v>
      </c>
      <c r="K273" s="7">
        <v>10</v>
      </c>
      <c r="L273" s="7">
        <v>9</v>
      </c>
      <c r="M273" s="8">
        <f>IF(COUNTIF(H273:L273,"=0")&gt;=2,0,SUM(H273:L273))</f>
        <v>84</v>
      </c>
    </row>
    <row r="274" spans="1:13" outlineLevel="2" x14ac:dyDescent="0.15">
      <c r="A274" s="4" t="s">
        <v>1110</v>
      </c>
      <c r="B274" s="5" t="s">
        <v>600</v>
      </c>
      <c r="C274" s="5" t="s">
        <v>601</v>
      </c>
      <c r="D274" s="5" t="s">
        <v>17</v>
      </c>
      <c r="E274" s="6">
        <v>33434</v>
      </c>
      <c r="F274" s="5" t="s">
        <v>14</v>
      </c>
      <c r="G274" s="5" t="s">
        <v>804</v>
      </c>
      <c r="H274" s="7">
        <v>31</v>
      </c>
      <c r="I274" s="7">
        <v>20</v>
      </c>
      <c r="J274" s="7">
        <v>18</v>
      </c>
      <c r="K274" s="7">
        <v>10</v>
      </c>
      <c r="L274" s="7">
        <v>9</v>
      </c>
      <c r="M274" s="8">
        <f>IF(COUNTIF(H274:L274,"=0")&gt;=2,0,SUM(H274:L274))</f>
        <v>88</v>
      </c>
    </row>
    <row r="275" spans="1:13" outlineLevel="2" x14ac:dyDescent="0.15">
      <c r="A275" s="4" t="s">
        <v>1111</v>
      </c>
      <c r="B275" s="5" t="s">
        <v>602</v>
      </c>
      <c r="C275" s="5" t="s">
        <v>603</v>
      </c>
      <c r="D275" s="5" t="s">
        <v>17</v>
      </c>
      <c r="E275" s="6">
        <v>33555</v>
      </c>
      <c r="F275" s="5" t="s">
        <v>14</v>
      </c>
      <c r="G275" s="5" t="s">
        <v>804</v>
      </c>
      <c r="H275" s="7">
        <v>35</v>
      </c>
      <c r="I275" s="7">
        <v>20</v>
      </c>
      <c r="J275" s="7">
        <v>20</v>
      </c>
      <c r="K275" s="7">
        <v>10</v>
      </c>
      <c r="L275" s="7">
        <v>10</v>
      </c>
      <c r="M275" s="8">
        <f>IF(COUNTIF(H275:L275,"=0")&gt;=2,0,SUM(H275:L275))</f>
        <v>95</v>
      </c>
    </row>
    <row r="276" spans="1:13" outlineLevel="2" x14ac:dyDescent="0.15">
      <c r="A276" s="4" t="s">
        <v>1112</v>
      </c>
      <c r="B276" s="5" t="s">
        <v>604</v>
      </c>
      <c r="C276" s="5" t="s">
        <v>605</v>
      </c>
      <c r="D276" s="5" t="s">
        <v>7</v>
      </c>
      <c r="E276" s="6">
        <v>33405</v>
      </c>
      <c r="F276" s="5" t="s">
        <v>14</v>
      </c>
      <c r="G276" s="5" t="s">
        <v>804</v>
      </c>
      <c r="H276" s="7">
        <v>35</v>
      </c>
      <c r="I276" s="7">
        <v>20</v>
      </c>
      <c r="J276" s="7">
        <v>20</v>
      </c>
      <c r="K276" s="7">
        <v>10</v>
      </c>
      <c r="L276" s="7">
        <v>10</v>
      </c>
      <c r="M276" s="8">
        <f>IF(COUNTIF(H276:L276,"=0")&gt;=2,0,SUM(H276:L276))</f>
        <v>95</v>
      </c>
    </row>
    <row r="277" spans="1:13" outlineLevel="2" x14ac:dyDescent="0.15">
      <c r="A277" s="4" t="s">
        <v>1113</v>
      </c>
      <c r="B277" s="5" t="s">
        <v>606</v>
      </c>
      <c r="C277" s="5" t="s">
        <v>607</v>
      </c>
      <c r="D277" s="5" t="s">
        <v>17</v>
      </c>
      <c r="E277" s="6">
        <v>33396</v>
      </c>
      <c r="F277" s="5" t="s">
        <v>14</v>
      </c>
      <c r="G277" s="5" t="s">
        <v>804</v>
      </c>
      <c r="H277" s="7">
        <v>15</v>
      </c>
      <c r="I277" s="7">
        <v>16</v>
      </c>
      <c r="J277" s="7">
        <v>19</v>
      </c>
      <c r="K277" s="7">
        <v>8</v>
      </c>
      <c r="L277" s="7">
        <v>0</v>
      </c>
      <c r="M277" s="8">
        <f>IF(COUNTIF(H277:L277,"=0")&gt;=2,0,SUM(H277:L277))</f>
        <v>58</v>
      </c>
    </row>
    <row r="278" spans="1:13" outlineLevel="2" x14ac:dyDescent="0.15">
      <c r="A278" s="4" t="s">
        <v>1114</v>
      </c>
      <c r="B278" s="5" t="s">
        <v>608</v>
      </c>
      <c r="C278" s="5" t="s">
        <v>609</v>
      </c>
      <c r="D278" s="5" t="s">
        <v>17</v>
      </c>
      <c r="E278" s="6">
        <v>33267</v>
      </c>
      <c r="F278" s="5" t="s">
        <v>14</v>
      </c>
      <c r="G278" s="5" t="s">
        <v>804</v>
      </c>
      <c r="H278" s="7">
        <v>32</v>
      </c>
      <c r="I278" s="7">
        <v>20</v>
      </c>
      <c r="J278" s="7">
        <v>18</v>
      </c>
      <c r="K278" s="7">
        <v>10</v>
      </c>
      <c r="L278" s="7">
        <v>9</v>
      </c>
      <c r="M278" s="8">
        <f>IF(COUNTIF(H278:L278,"=0")&gt;=2,0,SUM(H278:L278))</f>
        <v>89</v>
      </c>
    </row>
    <row r="279" spans="1:13" outlineLevel="2" x14ac:dyDescent="0.15">
      <c r="A279" s="4" t="s">
        <v>1116</v>
      </c>
      <c r="B279" s="5" t="s">
        <v>612</v>
      </c>
      <c r="C279" s="5" t="s">
        <v>613</v>
      </c>
      <c r="D279" s="5" t="s">
        <v>7</v>
      </c>
      <c r="E279" s="6">
        <v>33358</v>
      </c>
      <c r="F279" s="5" t="s">
        <v>14</v>
      </c>
      <c r="G279" s="5" t="s">
        <v>804</v>
      </c>
      <c r="H279" s="7">
        <v>17</v>
      </c>
      <c r="I279" s="7">
        <v>0</v>
      </c>
      <c r="J279" s="7">
        <v>18</v>
      </c>
      <c r="K279" s="7">
        <v>10</v>
      </c>
      <c r="L279" s="7">
        <v>6</v>
      </c>
      <c r="M279" s="8">
        <f>IF(COUNTIF(H279:L279,"=0")&gt;=2,0,SUM(H279:L279))</f>
        <v>51</v>
      </c>
    </row>
    <row r="280" spans="1:13" outlineLevel="2" x14ac:dyDescent="0.15">
      <c r="A280" s="4" t="s">
        <v>1117</v>
      </c>
      <c r="B280" s="5" t="s">
        <v>614</v>
      </c>
      <c r="C280" s="5" t="s">
        <v>615</v>
      </c>
      <c r="D280" s="5" t="s">
        <v>17</v>
      </c>
      <c r="E280" s="6">
        <v>33392</v>
      </c>
      <c r="F280" s="5" t="s">
        <v>14</v>
      </c>
      <c r="G280" s="5" t="s">
        <v>804</v>
      </c>
      <c r="H280" s="7">
        <v>17</v>
      </c>
      <c r="I280" s="7">
        <v>20</v>
      </c>
      <c r="J280" s="7">
        <v>20</v>
      </c>
      <c r="K280" s="7">
        <v>10</v>
      </c>
      <c r="L280" s="7">
        <v>9</v>
      </c>
      <c r="M280" s="8">
        <f>IF(COUNTIF(H280:L280,"=0")&gt;=2,0,SUM(H280:L280))</f>
        <v>76</v>
      </c>
    </row>
    <row r="281" spans="1:13" outlineLevel="2" x14ac:dyDescent="0.15">
      <c r="A281" s="4" t="s">
        <v>1118</v>
      </c>
      <c r="B281" s="5" t="s">
        <v>616</v>
      </c>
      <c r="C281" s="5" t="s">
        <v>617</v>
      </c>
      <c r="D281" s="5" t="s">
        <v>17</v>
      </c>
      <c r="E281" s="6">
        <v>33312</v>
      </c>
      <c r="F281" s="5" t="s">
        <v>14</v>
      </c>
      <c r="G281" s="5" t="s">
        <v>804</v>
      </c>
      <c r="H281" s="7">
        <v>17</v>
      </c>
      <c r="I281" s="7">
        <v>20</v>
      </c>
      <c r="J281" s="7">
        <v>19</v>
      </c>
      <c r="K281" s="7">
        <v>10</v>
      </c>
      <c r="L281" s="7">
        <v>0</v>
      </c>
      <c r="M281" s="8">
        <f>IF(COUNTIF(H281:L281,"=0")&gt;=2,0,SUM(H281:L281))</f>
        <v>66</v>
      </c>
    </row>
    <row r="282" spans="1:13" outlineLevel="2" x14ac:dyDescent="0.15">
      <c r="A282" s="4" t="s">
        <v>1119</v>
      </c>
      <c r="B282" s="5" t="s">
        <v>618</v>
      </c>
      <c r="C282" s="5" t="s">
        <v>619</v>
      </c>
      <c r="D282" s="5" t="s">
        <v>17</v>
      </c>
      <c r="E282" s="6">
        <v>33420</v>
      </c>
      <c r="F282" s="5" t="s">
        <v>14</v>
      </c>
      <c r="G282" s="5" t="s">
        <v>804</v>
      </c>
      <c r="H282" s="7">
        <v>18</v>
      </c>
      <c r="I282" s="7">
        <v>20</v>
      </c>
      <c r="J282" s="7">
        <v>19</v>
      </c>
      <c r="K282" s="7">
        <v>10</v>
      </c>
      <c r="L282" s="7">
        <v>9</v>
      </c>
      <c r="M282" s="8">
        <f>IF(COUNTIF(H282:L282,"=0")&gt;=2,0,SUM(H282:L282))</f>
        <v>76</v>
      </c>
    </row>
    <row r="283" spans="1:13" outlineLevel="2" x14ac:dyDescent="0.15">
      <c r="A283" s="4" t="s">
        <v>1120</v>
      </c>
      <c r="B283" s="5" t="s">
        <v>620</v>
      </c>
      <c r="C283" s="5" t="s">
        <v>621</v>
      </c>
      <c r="D283" s="5" t="s">
        <v>7</v>
      </c>
      <c r="E283" s="6">
        <v>33352</v>
      </c>
      <c r="F283" s="5" t="s">
        <v>14</v>
      </c>
      <c r="G283" s="5" t="s">
        <v>804</v>
      </c>
      <c r="H283" s="7">
        <v>20</v>
      </c>
      <c r="I283" s="7">
        <v>18</v>
      </c>
      <c r="J283" s="7">
        <v>19</v>
      </c>
      <c r="K283" s="7">
        <v>10</v>
      </c>
      <c r="L283" s="7">
        <v>8</v>
      </c>
      <c r="M283" s="8">
        <f>IF(COUNTIF(H283:L283,"=0")&gt;=2,0,SUM(H283:L283))</f>
        <v>75</v>
      </c>
    </row>
    <row r="284" spans="1:13" outlineLevel="2" x14ac:dyDescent="0.15">
      <c r="A284" s="4" t="s">
        <v>1122</v>
      </c>
      <c r="B284" s="5" t="s">
        <v>624</v>
      </c>
      <c r="C284" s="5" t="s">
        <v>625</v>
      </c>
      <c r="D284" s="5" t="s">
        <v>17</v>
      </c>
      <c r="E284" s="6">
        <v>33394</v>
      </c>
      <c r="F284" s="5" t="s">
        <v>14</v>
      </c>
      <c r="G284" s="5" t="s">
        <v>804</v>
      </c>
      <c r="H284" s="7">
        <v>20</v>
      </c>
      <c r="I284" s="7">
        <v>17</v>
      </c>
      <c r="J284" s="7">
        <v>20</v>
      </c>
      <c r="K284" s="7">
        <v>8</v>
      </c>
      <c r="L284" s="7">
        <v>9</v>
      </c>
      <c r="M284" s="8">
        <f>IF(COUNTIF(H284:L284,"=0")&gt;=2,0,SUM(H284:L284))</f>
        <v>74</v>
      </c>
    </row>
    <row r="285" spans="1:13" outlineLevel="2" x14ac:dyDescent="0.15">
      <c r="A285" s="4" t="s">
        <v>1123</v>
      </c>
      <c r="B285" s="5" t="s">
        <v>626</v>
      </c>
      <c r="C285" s="5" t="s">
        <v>627</v>
      </c>
      <c r="D285" s="5" t="s">
        <v>17</v>
      </c>
      <c r="E285" s="6">
        <v>33513</v>
      </c>
      <c r="F285" s="5" t="s">
        <v>14</v>
      </c>
      <c r="G285" s="5" t="s">
        <v>805</v>
      </c>
      <c r="H285" s="7">
        <v>26</v>
      </c>
      <c r="I285" s="7">
        <v>20</v>
      </c>
      <c r="J285" s="7">
        <v>20</v>
      </c>
      <c r="K285" s="7">
        <v>10</v>
      </c>
      <c r="L285" s="7">
        <v>10</v>
      </c>
      <c r="M285" s="8">
        <f>IF(COUNTIF(H285:L285,"=0")&gt;=2,0,SUM(H285:L285))</f>
        <v>86</v>
      </c>
    </row>
    <row r="286" spans="1:13" outlineLevel="2" x14ac:dyDescent="0.15">
      <c r="A286" s="4" t="s">
        <v>1124</v>
      </c>
      <c r="B286" s="5" t="s">
        <v>628</v>
      </c>
      <c r="C286" s="5" t="s">
        <v>629</v>
      </c>
      <c r="D286" s="5" t="s">
        <v>7</v>
      </c>
      <c r="E286" s="6">
        <v>33407</v>
      </c>
      <c r="F286" s="5" t="s">
        <v>14</v>
      </c>
      <c r="G286" s="5" t="s">
        <v>805</v>
      </c>
      <c r="H286" s="7">
        <v>30</v>
      </c>
      <c r="I286" s="7">
        <v>20</v>
      </c>
      <c r="J286" s="7">
        <v>20</v>
      </c>
      <c r="K286" s="7">
        <v>10</v>
      </c>
      <c r="L286" s="7">
        <v>10</v>
      </c>
      <c r="M286" s="8">
        <f>IF(COUNTIF(H286:L286,"=0")&gt;=2,0,SUM(H286:L286))</f>
        <v>90</v>
      </c>
    </row>
    <row r="287" spans="1:13" outlineLevel="2" x14ac:dyDescent="0.15">
      <c r="A287" s="4" t="s">
        <v>1125</v>
      </c>
      <c r="B287" s="5" t="s">
        <v>630</v>
      </c>
      <c r="C287" s="5" t="s">
        <v>631</v>
      </c>
      <c r="D287" s="5" t="s">
        <v>7</v>
      </c>
      <c r="E287" s="6">
        <v>33545</v>
      </c>
      <c r="F287" s="5" t="s">
        <v>14</v>
      </c>
      <c r="G287" s="5" t="s">
        <v>805</v>
      </c>
      <c r="H287" s="7">
        <v>17</v>
      </c>
      <c r="I287" s="7">
        <v>18</v>
      </c>
      <c r="J287" s="7">
        <v>19</v>
      </c>
      <c r="K287" s="7">
        <v>6</v>
      </c>
      <c r="L287" s="7">
        <v>9</v>
      </c>
      <c r="M287" s="8">
        <f>IF(COUNTIF(H287:L287,"=0")&gt;=2,0,SUM(H287:L287))</f>
        <v>69</v>
      </c>
    </row>
    <row r="288" spans="1:13" outlineLevel="2" x14ac:dyDescent="0.15">
      <c r="A288" s="4" t="s">
        <v>1126</v>
      </c>
      <c r="B288" s="5" t="s">
        <v>632</v>
      </c>
      <c r="C288" s="5" t="s">
        <v>633</v>
      </c>
      <c r="D288" s="5" t="s">
        <v>17</v>
      </c>
      <c r="E288" s="6">
        <v>33280</v>
      </c>
      <c r="F288" s="5" t="s">
        <v>14</v>
      </c>
      <c r="G288" s="5" t="s">
        <v>805</v>
      </c>
      <c r="H288" s="7">
        <v>26</v>
      </c>
      <c r="I288" s="7">
        <v>19</v>
      </c>
      <c r="J288" s="7">
        <v>8</v>
      </c>
      <c r="K288" s="7">
        <v>6</v>
      </c>
      <c r="L288" s="7">
        <v>8</v>
      </c>
      <c r="M288" s="8">
        <f>IF(COUNTIF(H288:L288,"=0")&gt;=2,0,SUM(H288:L288))</f>
        <v>67</v>
      </c>
    </row>
    <row r="289" spans="1:13" outlineLevel="2" x14ac:dyDescent="0.15">
      <c r="A289" s="4" t="s">
        <v>1127</v>
      </c>
      <c r="B289" s="5" t="s">
        <v>634</v>
      </c>
      <c r="C289" s="5" t="s">
        <v>635</v>
      </c>
      <c r="D289" s="5" t="s">
        <v>7</v>
      </c>
      <c r="E289" s="6">
        <v>33552</v>
      </c>
      <c r="F289" s="5" t="s">
        <v>14</v>
      </c>
      <c r="G289" s="5" t="s">
        <v>805</v>
      </c>
      <c r="H289" s="7">
        <v>34</v>
      </c>
      <c r="I289" s="7">
        <v>15</v>
      </c>
      <c r="J289" s="7">
        <v>17</v>
      </c>
      <c r="K289" s="7">
        <v>7</v>
      </c>
      <c r="L289" s="7">
        <v>9</v>
      </c>
      <c r="M289" s="8">
        <f>IF(COUNTIF(H289:L289,"=0")&gt;=2,0,SUM(H289:L289))</f>
        <v>82</v>
      </c>
    </row>
    <row r="290" spans="1:13" outlineLevel="2" x14ac:dyDescent="0.15">
      <c r="A290" s="4" t="s">
        <v>1128</v>
      </c>
      <c r="B290" s="5" t="s">
        <v>636</v>
      </c>
      <c r="C290" s="5" t="s">
        <v>637</v>
      </c>
      <c r="D290" s="5" t="s">
        <v>7</v>
      </c>
      <c r="E290" s="6">
        <v>33549</v>
      </c>
      <c r="F290" s="5" t="s">
        <v>14</v>
      </c>
      <c r="G290" s="5" t="s">
        <v>805</v>
      </c>
      <c r="H290" s="7">
        <v>24</v>
      </c>
      <c r="I290" s="7">
        <v>17</v>
      </c>
      <c r="J290" s="7">
        <v>20</v>
      </c>
      <c r="K290" s="7">
        <v>8</v>
      </c>
      <c r="L290" s="7">
        <v>9</v>
      </c>
      <c r="M290" s="8">
        <f>IF(COUNTIF(H290:L290,"=0")&gt;=2,0,SUM(H290:L290))</f>
        <v>78</v>
      </c>
    </row>
    <row r="291" spans="1:13" outlineLevel="2" x14ac:dyDescent="0.15">
      <c r="A291" s="4" t="s">
        <v>1129</v>
      </c>
      <c r="B291" s="5" t="s">
        <v>638</v>
      </c>
      <c r="C291" s="5" t="s">
        <v>639</v>
      </c>
      <c r="D291" s="5" t="s">
        <v>7</v>
      </c>
      <c r="E291" s="6">
        <v>33271</v>
      </c>
      <c r="F291" s="5" t="s">
        <v>14</v>
      </c>
      <c r="G291" s="5" t="s">
        <v>805</v>
      </c>
      <c r="H291" s="7">
        <v>25</v>
      </c>
      <c r="I291" s="7">
        <v>19</v>
      </c>
      <c r="J291" s="7">
        <v>19</v>
      </c>
      <c r="K291" s="7">
        <v>10</v>
      </c>
      <c r="L291" s="7">
        <v>8</v>
      </c>
      <c r="M291" s="8">
        <f>IF(COUNTIF(H291:L291,"=0")&gt;=2,0,SUM(H291:L291))</f>
        <v>81</v>
      </c>
    </row>
    <row r="292" spans="1:13" outlineLevel="2" x14ac:dyDescent="0.15">
      <c r="A292" s="4" t="s">
        <v>1130</v>
      </c>
      <c r="B292" s="5" t="s">
        <v>640</v>
      </c>
      <c r="C292" s="5" t="s">
        <v>641</v>
      </c>
      <c r="D292" s="5" t="s">
        <v>7</v>
      </c>
      <c r="E292" s="6">
        <v>33513</v>
      </c>
      <c r="F292" s="5" t="s">
        <v>14</v>
      </c>
      <c r="G292" s="5" t="s">
        <v>805</v>
      </c>
      <c r="H292" s="7">
        <v>32</v>
      </c>
      <c r="I292" s="7">
        <v>19</v>
      </c>
      <c r="J292" s="7">
        <v>20</v>
      </c>
      <c r="K292" s="7">
        <v>8</v>
      </c>
      <c r="L292" s="7">
        <v>9</v>
      </c>
      <c r="M292" s="8">
        <f>IF(COUNTIF(H292:L292,"=0")&gt;=2,0,SUM(H292:L292))</f>
        <v>88</v>
      </c>
    </row>
    <row r="293" spans="1:13" outlineLevel="2" x14ac:dyDescent="0.15">
      <c r="A293" s="4" t="s">
        <v>1131</v>
      </c>
      <c r="B293" s="5" t="s">
        <v>642</v>
      </c>
      <c r="C293" s="5" t="s">
        <v>643</v>
      </c>
      <c r="D293" s="5" t="s">
        <v>7</v>
      </c>
      <c r="E293" s="6">
        <v>33566</v>
      </c>
      <c r="F293" s="5" t="s">
        <v>14</v>
      </c>
      <c r="G293" s="5" t="s">
        <v>805</v>
      </c>
      <c r="H293" s="7">
        <v>25</v>
      </c>
      <c r="I293" s="7">
        <v>17</v>
      </c>
      <c r="J293" s="7">
        <v>20</v>
      </c>
      <c r="K293" s="7">
        <v>8</v>
      </c>
      <c r="L293" s="7">
        <v>9</v>
      </c>
      <c r="M293" s="8">
        <f>IF(COUNTIF(H293:L293,"=0")&gt;=2,0,SUM(H293:L293))</f>
        <v>79</v>
      </c>
    </row>
    <row r="294" spans="1:13" outlineLevel="2" x14ac:dyDescent="0.15">
      <c r="A294" s="4" t="s">
        <v>1132</v>
      </c>
      <c r="B294" s="5" t="s">
        <v>644</v>
      </c>
      <c r="C294" s="5" t="s">
        <v>645</v>
      </c>
      <c r="D294" s="5" t="s">
        <v>7</v>
      </c>
      <c r="E294" s="6">
        <v>33345</v>
      </c>
      <c r="F294" s="5" t="s">
        <v>14</v>
      </c>
      <c r="G294" s="5" t="s">
        <v>805</v>
      </c>
      <c r="H294" s="7">
        <v>31</v>
      </c>
      <c r="I294" s="7">
        <v>18</v>
      </c>
      <c r="J294" s="7">
        <v>18</v>
      </c>
      <c r="K294" s="7">
        <v>8</v>
      </c>
      <c r="L294" s="7">
        <v>9</v>
      </c>
      <c r="M294" s="8">
        <f>IF(COUNTIF(H294:L294,"=0")&gt;=2,0,SUM(H294:L294))</f>
        <v>84</v>
      </c>
    </row>
    <row r="295" spans="1:13" outlineLevel="2" x14ac:dyDescent="0.15">
      <c r="A295" s="4" t="s">
        <v>1133</v>
      </c>
      <c r="B295" s="5" t="s">
        <v>646</v>
      </c>
      <c r="C295" s="5" t="s">
        <v>647</v>
      </c>
      <c r="D295" s="5" t="s">
        <v>7</v>
      </c>
      <c r="E295" s="6">
        <v>33566</v>
      </c>
      <c r="F295" s="5" t="s">
        <v>14</v>
      </c>
      <c r="G295" s="5" t="s">
        <v>805</v>
      </c>
      <c r="H295" s="7">
        <v>26</v>
      </c>
      <c r="I295" s="7">
        <v>19</v>
      </c>
      <c r="J295" s="7">
        <v>18</v>
      </c>
      <c r="K295" s="7">
        <v>8</v>
      </c>
      <c r="L295" s="7">
        <v>2</v>
      </c>
      <c r="M295" s="8">
        <f>IF(COUNTIF(H295:L295,"=0")&gt;=2,0,SUM(H295:L295))</f>
        <v>73</v>
      </c>
    </row>
    <row r="296" spans="1:13" outlineLevel="2" x14ac:dyDescent="0.15">
      <c r="A296" s="4" t="s">
        <v>1135</v>
      </c>
      <c r="B296" s="5" t="s">
        <v>650</v>
      </c>
      <c r="C296" s="5" t="s">
        <v>651</v>
      </c>
      <c r="D296" s="5" t="s">
        <v>7</v>
      </c>
      <c r="E296" s="6">
        <v>33518</v>
      </c>
      <c r="F296" s="5" t="s">
        <v>14</v>
      </c>
      <c r="G296" s="5" t="s">
        <v>805</v>
      </c>
      <c r="H296" s="7">
        <v>21</v>
      </c>
      <c r="I296" s="7">
        <v>18</v>
      </c>
      <c r="J296" s="7">
        <v>19</v>
      </c>
      <c r="K296" s="7">
        <v>8</v>
      </c>
      <c r="L296" s="7">
        <v>5</v>
      </c>
      <c r="M296" s="8">
        <f>IF(COUNTIF(H296:L296,"=0")&gt;=2,0,SUM(H296:L296))</f>
        <v>71</v>
      </c>
    </row>
    <row r="297" spans="1:13" outlineLevel="2" x14ac:dyDescent="0.15">
      <c r="A297" s="4" t="s">
        <v>1136</v>
      </c>
      <c r="B297" s="5" t="s">
        <v>652</v>
      </c>
      <c r="C297" s="5" t="s">
        <v>653</v>
      </c>
      <c r="D297" s="5" t="s">
        <v>7</v>
      </c>
      <c r="E297" s="6">
        <v>33515</v>
      </c>
      <c r="F297" s="5" t="s">
        <v>14</v>
      </c>
      <c r="G297" s="5" t="s">
        <v>805</v>
      </c>
      <c r="H297" s="7">
        <v>13</v>
      </c>
      <c r="I297" s="7">
        <v>15</v>
      </c>
      <c r="J297" s="7">
        <v>16</v>
      </c>
      <c r="K297" s="7">
        <v>4</v>
      </c>
      <c r="L297" s="7">
        <v>0</v>
      </c>
      <c r="M297" s="8">
        <f>IF(COUNTIF(H297:L297,"=0")&gt;=2,0,SUM(H297:L297))</f>
        <v>48</v>
      </c>
    </row>
    <row r="298" spans="1:13" outlineLevel="2" x14ac:dyDescent="0.15">
      <c r="A298" s="4" t="s">
        <v>1137</v>
      </c>
      <c r="B298" s="5" t="s">
        <v>654</v>
      </c>
      <c r="C298" s="5" t="s">
        <v>655</v>
      </c>
      <c r="D298" s="5" t="s">
        <v>7</v>
      </c>
      <c r="E298" s="6">
        <v>33573</v>
      </c>
      <c r="F298" s="5" t="s">
        <v>14</v>
      </c>
      <c r="G298" s="5" t="s">
        <v>805</v>
      </c>
      <c r="H298" s="7">
        <v>24</v>
      </c>
      <c r="I298" s="7">
        <v>18</v>
      </c>
      <c r="J298" s="7">
        <v>20</v>
      </c>
      <c r="K298" s="7">
        <v>8</v>
      </c>
      <c r="L298" s="7">
        <v>5</v>
      </c>
      <c r="M298" s="8">
        <f>IF(COUNTIF(H298:L298,"=0")&gt;=2,0,SUM(H298:L298))</f>
        <v>75</v>
      </c>
    </row>
    <row r="299" spans="1:13" outlineLevel="2" x14ac:dyDescent="0.15">
      <c r="A299" s="4" t="s">
        <v>1138</v>
      </c>
      <c r="B299" s="5" t="s">
        <v>656</v>
      </c>
      <c r="C299" s="5" t="s">
        <v>657</v>
      </c>
      <c r="D299" s="5" t="s">
        <v>17</v>
      </c>
      <c r="E299" s="6">
        <v>33277</v>
      </c>
      <c r="F299" s="5" t="s">
        <v>14</v>
      </c>
      <c r="G299" s="5" t="s">
        <v>805</v>
      </c>
      <c r="H299" s="7">
        <v>34</v>
      </c>
      <c r="I299" s="7">
        <v>1</v>
      </c>
      <c r="J299" s="7">
        <v>18</v>
      </c>
      <c r="K299" s="7">
        <v>8</v>
      </c>
      <c r="L299" s="7">
        <v>0</v>
      </c>
      <c r="M299" s="8">
        <f>IF(COUNTIF(H299:L299,"=0")&gt;=2,0,SUM(H299:L299))</f>
        <v>61</v>
      </c>
    </row>
    <row r="300" spans="1:13" outlineLevel="2" x14ac:dyDescent="0.15">
      <c r="A300" s="4" t="s">
        <v>1139</v>
      </c>
      <c r="B300" s="5" t="s">
        <v>658</v>
      </c>
      <c r="C300" s="5" t="s">
        <v>659</v>
      </c>
      <c r="D300" s="5" t="s">
        <v>7</v>
      </c>
      <c r="E300" s="6">
        <v>33409</v>
      </c>
      <c r="F300" s="5" t="s">
        <v>14</v>
      </c>
      <c r="G300" s="5" t="s">
        <v>805</v>
      </c>
      <c r="H300" s="7">
        <v>14</v>
      </c>
      <c r="I300" s="7">
        <v>17</v>
      </c>
      <c r="J300" s="7">
        <v>17</v>
      </c>
      <c r="K300" s="7">
        <v>10</v>
      </c>
      <c r="L300" s="7">
        <v>9</v>
      </c>
      <c r="M300" s="8">
        <f>IF(COUNTIF(H300:L300,"=0")&gt;=2,0,SUM(H300:L300))</f>
        <v>67</v>
      </c>
    </row>
    <row r="301" spans="1:13" outlineLevel="2" x14ac:dyDescent="0.15">
      <c r="A301" s="4" t="s">
        <v>1140</v>
      </c>
      <c r="B301" s="5" t="s">
        <v>660</v>
      </c>
      <c r="C301" s="5" t="s">
        <v>661</v>
      </c>
      <c r="D301" s="5" t="s">
        <v>17</v>
      </c>
      <c r="E301" s="6">
        <v>33531</v>
      </c>
      <c r="F301" s="5" t="s">
        <v>14</v>
      </c>
      <c r="G301" s="5" t="s">
        <v>805</v>
      </c>
      <c r="H301" s="7">
        <v>13</v>
      </c>
      <c r="I301" s="7">
        <v>20</v>
      </c>
      <c r="J301" s="7">
        <v>19</v>
      </c>
      <c r="K301" s="7">
        <v>6</v>
      </c>
      <c r="L301" s="7">
        <v>0</v>
      </c>
      <c r="M301" s="8">
        <f>IF(COUNTIF(H301:L301,"=0")&gt;=2,0,SUM(H301:L301))</f>
        <v>58</v>
      </c>
    </row>
    <row r="302" spans="1:13" outlineLevel="2" x14ac:dyDescent="0.15">
      <c r="A302" s="4" t="s">
        <v>1141</v>
      </c>
      <c r="B302" s="5" t="s">
        <v>662</v>
      </c>
      <c r="C302" s="5" t="s">
        <v>663</v>
      </c>
      <c r="D302" s="5" t="s">
        <v>7</v>
      </c>
      <c r="E302" s="6">
        <v>33262</v>
      </c>
      <c r="F302" s="5" t="s">
        <v>14</v>
      </c>
      <c r="G302" s="5" t="s">
        <v>805</v>
      </c>
      <c r="H302" s="7">
        <v>34</v>
      </c>
      <c r="I302" s="7">
        <v>19</v>
      </c>
      <c r="J302" s="7">
        <v>18</v>
      </c>
      <c r="K302" s="7">
        <v>8</v>
      </c>
      <c r="L302" s="7">
        <v>0</v>
      </c>
      <c r="M302" s="8">
        <f>IF(COUNTIF(H302:L302,"=0")&gt;=2,0,SUM(H302:L302))</f>
        <v>79</v>
      </c>
    </row>
    <row r="303" spans="1:13" outlineLevel="2" x14ac:dyDescent="0.15">
      <c r="A303" s="4" t="s">
        <v>1142</v>
      </c>
      <c r="B303" s="5" t="s">
        <v>664</v>
      </c>
      <c r="C303" s="5" t="s">
        <v>219</v>
      </c>
      <c r="D303" s="5" t="s">
        <v>17</v>
      </c>
      <c r="E303" s="6">
        <v>33520</v>
      </c>
      <c r="F303" s="5" t="s">
        <v>14</v>
      </c>
      <c r="G303" s="5" t="s">
        <v>805</v>
      </c>
      <c r="H303" s="7">
        <v>19</v>
      </c>
      <c r="I303" s="7">
        <v>19</v>
      </c>
      <c r="J303" s="7">
        <v>18</v>
      </c>
      <c r="K303" s="7">
        <v>5</v>
      </c>
      <c r="L303" s="7">
        <v>0</v>
      </c>
      <c r="M303" s="8">
        <f>IF(COUNTIF(H303:L303,"=0")&gt;=2,0,SUM(H303:L303))</f>
        <v>61</v>
      </c>
    </row>
    <row r="304" spans="1:13" outlineLevel="2" x14ac:dyDescent="0.15">
      <c r="A304" s="4" t="s">
        <v>1143</v>
      </c>
      <c r="B304" s="5" t="s">
        <v>665</v>
      </c>
      <c r="C304" s="5" t="s">
        <v>666</v>
      </c>
      <c r="D304" s="5" t="s">
        <v>7</v>
      </c>
      <c r="E304" s="6">
        <v>33250</v>
      </c>
      <c r="F304" s="5" t="s">
        <v>14</v>
      </c>
      <c r="G304" s="5" t="s">
        <v>805</v>
      </c>
      <c r="H304" s="7">
        <v>22</v>
      </c>
      <c r="I304" s="7">
        <v>17</v>
      </c>
      <c r="J304" s="7">
        <v>20</v>
      </c>
      <c r="K304" s="7">
        <v>2</v>
      </c>
      <c r="L304" s="7">
        <v>0</v>
      </c>
      <c r="M304" s="8">
        <f>IF(COUNTIF(H304:L304,"=0")&gt;=2,0,SUM(H304:L304))</f>
        <v>61</v>
      </c>
    </row>
    <row r="305" spans="1:13" outlineLevel="2" x14ac:dyDescent="0.15">
      <c r="A305" s="4" t="s">
        <v>1144</v>
      </c>
      <c r="B305" s="5" t="s">
        <v>667</v>
      </c>
      <c r="C305" s="5" t="s">
        <v>668</v>
      </c>
      <c r="D305" s="5" t="s">
        <v>17</v>
      </c>
      <c r="E305" s="6">
        <v>33256</v>
      </c>
      <c r="F305" s="5" t="s">
        <v>14</v>
      </c>
      <c r="G305" s="5" t="s">
        <v>805</v>
      </c>
      <c r="H305" s="7">
        <v>12</v>
      </c>
      <c r="I305" s="7">
        <v>18</v>
      </c>
      <c r="J305" s="7">
        <v>20</v>
      </c>
      <c r="K305" s="7">
        <v>4</v>
      </c>
      <c r="L305" s="7">
        <v>5</v>
      </c>
      <c r="M305" s="8">
        <f>IF(COUNTIF(H305:L305,"=0")&gt;=2,0,SUM(H305:L305))</f>
        <v>59</v>
      </c>
    </row>
    <row r="306" spans="1:13" outlineLevel="2" x14ac:dyDescent="0.15">
      <c r="A306" s="4" t="s">
        <v>1145</v>
      </c>
      <c r="B306" s="5" t="s">
        <v>669</v>
      </c>
      <c r="C306" s="5" t="s">
        <v>670</v>
      </c>
      <c r="D306" s="5" t="s">
        <v>7</v>
      </c>
      <c r="E306" s="6">
        <v>33520</v>
      </c>
      <c r="F306" s="5" t="s">
        <v>14</v>
      </c>
      <c r="G306" s="5" t="s">
        <v>805</v>
      </c>
      <c r="H306" s="7">
        <v>19</v>
      </c>
      <c r="I306" s="7">
        <v>19</v>
      </c>
      <c r="J306" s="7">
        <v>20</v>
      </c>
      <c r="K306" s="7">
        <v>8</v>
      </c>
      <c r="L306" s="7">
        <v>9</v>
      </c>
      <c r="M306" s="8">
        <f>IF(COUNTIF(H306:L306,"=0")&gt;=2,0,SUM(H306:L306))</f>
        <v>75</v>
      </c>
    </row>
    <row r="307" spans="1:13" outlineLevel="2" x14ac:dyDescent="0.15">
      <c r="A307" s="4" t="s">
        <v>1146</v>
      </c>
      <c r="B307" s="5" t="s">
        <v>671</v>
      </c>
      <c r="C307" s="5" t="s">
        <v>672</v>
      </c>
      <c r="D307" s="5" t="s">
        <v>7</v>
      </c>
      <c r="E307" s="6">
        <v>33242</v>
      </c>
      <c r="F307" s="5" t="s">
        <v>14</v>
      </c>
      <c r="G307" s="5" t="s">
        <v>805</v>
      </c>
      <c r="H307" s="7">
        <v>18</v>
      </c>
      <c r="I307" s="7">
        <v>18</v>
      </c>
      <c r="J307" s="7">
        <v>18</v>
      </c>
      <c r="K307" s="7">
        <v>1</v>
      </c>
      <c r="L307" s="7">
        <v>0</v>
      </c>
      <c r="M307" s="8">
        <f>IF(COUNTIF(H307:L307,"=0")&gt;=2,0,SUM(H307:L307))</f>
        <v>55</v>
      </c>
    </row>
    <row r="308" spans="1:13" outlineLevel="2" x14ac:dyDescent="0.15">
      <c r="A308" s="4" t="s">
        <v>1148</v>
      </c>
      <c r="B308" s="5" t="s">
        <v>675</v>
      </c>
      <c r="C308" s="5" t="s">
        <v>676</v>
      </c>
      <c r="D308" s="5" t="s">
        <v>7</v>
      </c>
      <c r="E308" s="6">
        <v>33560</v>
      </c>
      <c r="F308" s="5" t="s">
        <v>14</v>
      </c>
      <c r="G308" s="5" t="s">
        <v>805</v>
      </c>
      <c r="H308" s="7">
        <v>32</v>
      </c>
      <c r="I308" s="7">
        <v>18</v>
      </c>
      <c r="J308" s="7">
        <v>20</v>
      </c>
      <c r="K308" s="7">
        <v>10</v>
      </c>
      <c r="L308" s="7">
        <v>0</v>
      </c>
      <c r="M308" s="8">
        <f>IF(COUNTIF(H308:L308,"=0")&gt;=2,0,SUM(H308:L308))</f>
        <v>80</v>
      </c>
    </row>
    <row r="309" spans="1:13" outlineLevel="2" x14ac:dyDescent="0.15">
      <c r="A309" s="4" t="s">
        <v>1149</v>
      </c>
      <c r="B309" s="5" t="s">
        <v>677</v>
      </c>
      <c r="C309" s="5" t="s">
        <v>678</v>
      </c>
      <c r="D309" s="5" t="s">
        <v>17</v>
      </c>
      <c r="E309" s="6">
        <v>33542</v>
      </c>
      <c r="F309" s="5" t="s">
        <v>14</v>
      </c>
      <c r="G309" s="5" t="s">
        <v>805</v>
      </c>
      <c r="H309" s="7">
        <v>29</v>
      </c>
      <c r="I309" s="7">
        <v>16</v>
      </c>
      <c r="J309" s="7">
        <v>18</v>
      </c>
      <c r="K309" s="7">
        <v>10</v>
      </c>
      <c r="L309" s="7">
        <v>0</v>
      </c>
      <c r="M309" s="8">
        <f>IF(COUNTIF(H309:L309,"=0")&gt;=2,0,SUM(H309:L309))</f>
        <v>73</v>
      </c>
    </row>
    <row r="310" spans="1:13" outlineLevel="2" x14ac:dyDescent="0.15">
      <c r="A310" s="4" t="s">
        <v>1150</v>
      </c>
      <c r="B310" s="5" t="s">
        <v>679</v>
      </c>
      <c r="C310" s="5" t="s">
        <v>680</v>
      </c>
      <c r="D310" s="5" t="s">
        <v>7</v>
      </c>
      <c r="E310" s="6">
        <v>33544</v>
      </c>
      <c r="F310" s="5" t="s">
        <v>14</v>
      </c>
      <c r="G310" s="5" t="s">
        <v>805</v>
      </c>
      <c r="H310" s="7">
        <v>32</v>
      </c>
      <c r="I310" s="7">
        <v>20</v>
      </c>
      <c r="J310" s="7">
        <v>19</v>
      </c>
      <c r="K310" s="7">
        <v>10</v>
      </c>
      <c r="L310" s="7">
        <v>9</v>
      </c>
      <c r="M310" s="8">
        <f>IF(COUNTIF(H310:L310,"=0")&gt;=2,0,SUM(H310:L310))</f>
        <v>90</v>
      </c>
    </row>
    <row r="311" spans="1:13" outlineLevel="2" x14ac:dyDescent="0.15">
      <c r="A311" s="4" t="s">
        <v>1151</v>
      </c>
      <c r="B311" s="5" t="s">
        <v>681</v>
      </c>
      <c r="C311" s="5" t="s">
        <v>682</v>
      </c>
      <c r="D311" s="5" t="s">
        <v>7</v>
      </c>
      <c r="E311" s="6">
        <v>33263</v>
      </c>
      <c r="F311" s="5" t="s">
        <v>14</v>
      </c>
      <c r="G311" s="5" t="s">
        <v>805</v>
      </c>
      <c r="H311" s="7">
        <v>20</v>
      </c>
      <c r="I311" s="7">
        <v>18</v>
      </c>
      <c r="J311" s="7">
        <v>20</v>
      </c>
      <c r="K311" s="7">
        <v>6</v>
      </c>
      <c r="L311" s="7">
        <v>0</v>
      </c>
      <c r="M311" s="8">
        <f>IF(COUNTIF(H311:L311,"=0")&gt;=2,0,SUM(H311:L311))</f>
        <v>64</v>
      </c>
    </row>
    <row r="312" spans="1:13" outlineLevel="2" x14ac:dyDescent="0.15">
      <c r="A312" s="4" t="s">
        <v>1152</v>
      </c>
      <c r="B312" s="5" t="s">
        <v>683</v>
      </c>
      <c r="C312" s="5" t="s">
        <v>684</v>
      </c>
      <c r="D312" s="5" t="s">
        <v>7</v>
      </c>
      <c r="E312" s="6">
        <v>33409</v>
      </c>
      <c r="F312" s="5" t="s">
        <v>14</v>
      </c>
      <c r="G312" s="5" t="s">
        <v>805</v>
      </c>
      <c r="H312" s="7">
        <v>13</v>
      </c>
      <c r="I312" s="7">
        <v>15</v>
      </c>
      <c r="J312" s="7">
        <v>6</v>
      </c>
      <c r="K312" s="7">
        <v>0</v>
      </c>
      <c r="L312" s="7">
        <v>0</v>
      </c>
      <c r="M312" s="8">
        <f>IF(COUNTIF(H312:L312,"=0")&gt;=2,0,SUM(H312:L312))</f>
        <v>0</v>
      </c>
    </row>
    <row r="313" spans="1:13" outlineLevel="2" x14ac:dyDescent="0.15">
      <c r="A313" s="4" t="s">
        <v>1153</v>
      </c>
      <c r="B313" s="5" t="s">
        <v>685</v>
      </c>
      <c r="C313" s="5" t="s">
        <v>686</v>
      </c>
      <c r="D313" s="5" t="s">
        <v>7</v>
      </c>
      <c r="E313" s="6">
        <v>33530</v>
      </c>
      <c r="F313" s="5" t="s">
        <v>14</v>
      </c>
      <c r="G313" s="5" t="s">
        <v>805</v>
      </c>
      <c r="H313" s="7">
        <v>22</v>
      </c>
      <c r="I313" s="7">
        <v>19</v>
      </c>
      <c r="J313" s="7">
        <v>19</v>
      </c>
      <c r="K313" s="7">
        <v>8</v>
      </c>
      <c r="L313" s="7">
        <v>8</v>
      </c>
      <c r="M313" s="8">
        <f>IF(COUNTIF(H313:L313,"=0")&gt;=2,0,SUM(H313:L313))</f>
        <v>76</v>
      </c>
    </row>
    <row r="314" spans="1:13" outlineLevel="2" x14ac:dyDescent="0.15">
      <c r="A314" s="4" t="s">
        <v>1154</v>
      </c>
      <c r="B314" s="5" t="s">
        <v>687</v>
      </c>
      <c r="C314" s="5" t="s">
        <v>688</v>
      </c>
      <c r="D314" s="5" t="s">
        <v>7</v>
      </c>
      <c r="E314" s="6">
        <v>33522</v>
      </c>
      <c r="F314" s="5" t="s">
        <v>14</v>
      </c>
      <c r="G314" s="5" t="s">
        <v>805</v>
      </c>
      <c r="H314" s="7">
        <v>22</v>
      </c>
      <c r="I314" s="7">
        <v>18</v>
      </c>
      <c r="J314" s="7">
        <v>20</v>
      </c>
      <c r="K314" s="7">
        <v>8</v>
      </c>
      <c r="L314" s="7">
        <v>9</v>
      </c>
      <c r="M314" s="8">
        <f>IF(COUNTIF(H314:L314,"=0")&gt;=2,0,SUM(H314:L314))</f>
        <v>77</v>
      </c>
    </row>
    <row r="315" spans="1:13" outlineLevel="2" x14ac:dyDescent="0.15">
      <c r="A315" s="4" t="s">
        <v>1155</v>
      </c>
      <c r="B315" s="5" t="s">
        <v>689</v>
      </c>
      <c r="C315" s="5" t="s">
        <v>690</v>
      </c>
      <c r="D315" s="5" t="s">
        <v>7</v>
      </c>
      <c r="E315" s="6">
        <v>33407</v>
      </c>
      <c r="F315" s="5" t="s">
        <v>14</v>
      </c>
      <c r="G315" s="5" t="s">
        <v>805</v>
      </c>
      <c r="H315" s="7">
        <v>28</v>
      </c>
      <c r="I315" s="7">
        <v>17</v>
      </c>
      <c r="J315" s="7">
        <v>19</v>
      </c>
      <c r="K315" s="7">
        <v>10</v>
      </c>
      <c r="L315" s="7">
        <v>8</v>
      </c>
      <c r="M315" s="8">
        <f>IF(COUNTIF(H315:L315,"=0")&gt;=2,0,SUM(H315:L315))</f>
        <v>82</v>
      </c>
    </row>
    <row r="316" spans="1:13" outlineLevel="2" x14ac:dyDescent="0.15">
      <c r="A316" s="4" t="s">
        <v>1156</v>
      </c>
      <c r="B316" s="5" t="s">
        <v>691</v>
      </c>
      <c r="C316" s="5" t="s">
        <v>692</v>
      </c>
      <c r="D316" s="5" t="s">
        <v>7</v>
      </c>
      <c r="E316" s="6">
        <v>33387</v>
      </c>
      <c r="F316" s="5" t="s">
        <v>14</v>
      </c>
      <c r="G316" s="5" t="s">
        <v>805</v>
      </c>
      <c r="H316" s="7">
        <v>31</v>
      </c>
      <c r="I316" s="7">
        <v>17</v>
      </c>
      <c r="J316" s="7">
        <v>20</v>
      </c>
      <c r="K316" s="7">
        <v>10</v>
      </c>
      <c r="L316" s="7">
        <v>5</v>
      </c>
      <c r="M316" s="8">
        <f>IF(COUNTIF(H316:L316,"=0")&gt;=2,0,SUM(H316:L316))</f>
        <v>83</v>
      </c>
    </row>
    <row r="317" spans="1:13" outlineLevel="2" x14ac:dyDescent="0.15">
      <c r="A317" s="4" t="s">
        <v>1157</v>
      </c>
      <c r="B317" s="5" t="s">
        <v>693</v>
      </c>
      <c r="C317" s="5" t="s">
        <v>694</v>
      </c>
      <c r="D317" s="5" t="s">
        <v>17</v>
      </c>
      <c r="E317" s="6">
        <v>33506</v>
      </c>
      <c r="F317" s="5" t="s">
        <v>14</v>
      </c>
      <c r="G317" s="5" t="s">
        <v>805</v>
      </c>
      <c r="H317" s="7">
        <v>20</v>
      </c>
      <c r="I317" s="7">
        <v>16</v>
      </c>
      <c r="J317" s="7">
        <v>11</v>
      </c>
      <c r="K317" s="7">
        <v>4</v>
      </c>
      <c r="L317" s="7">
        <v>0</v>
      </c>
      <c r="M317" s="8">
        <f>IF(COUNTIF(H317:L317,"=0")&gt;=2,0,SUM(H317:L317))</f>
        <v>51</v>
      </c>
    </row>
    <row r="318" spans="1:13" outlineLevel="2" x14ac:dyDescent="0.15">
      <c r="A318" s="4" t="s">
        <v>1158</v>
      </c>
      <c r="B318" s="5" t="s">
        <v>695</v>
      </c>
      <c r="C318" s="5" t="s">
        <v>696</v>
      </c>
      <c r="D318" s="5" t="s">
        <v>7</v>
      </c>
      <c r="E318" s="6">
        <v>33315</v>
      </c>
      <c r="F318" s="5" t="s">
        <v>14</v>
      </c>
      <c r="G318" s="5" t="s">
        <v>805</v>
      </c>
      <c r="H318" s="7">
        <v>18</v>
      </c>
      <c r="I318" s="7">
        <v>12</v>
      </c>
      <c r="J318" s="7">
        <v>5</v>
      </c>
      <c r="K318" s="7">
        <v>1</v>
      </c>
      <c r="L318" s="7">
        <v>0</v>
      </c>
      <c r="M318" s="8">
        <f>IF(COUNTIF(H318:L318,"=0")&gt;=2,0,SUM(H318:L318))</f>
        <v>36</v>
      </c>
    </row>
    <row r="319" spans="1:13" outlineLevel="2" x14ac:dyDescent="0.15">
      <c r="A319" s="4" t="s">
        <v>1159</v>
      </c>
      <c r="B319" s="5" t="s">
        <v>697</v>
      </c>
      <c r="C319" s="5" t="s">
        <v>698</v>
      </c>
      <c r="D319" s="5" t="s">
        <v>7</v>
      </c>
      <c r="E319" s="6">
        <v>33572</v>
      </c>
      <c r="F319" s="5" t="s">
        <v>14</v>
      </c>
      <c r="G319" s="5" t="s">
        <v>805</v>
      </c>
      <c r="H319" s="7">
        <v>26</v>
      </c>
      <c r="I319" s="7">
        <v>20</v>
      </c>
      <c r="J319" s="7">
        <v>20</v>
      </c>
      <c r="K319" s="7">
        <v>10</v>
      </c>
      <c r="L319" s="7">
        <v>7</v>
      </c>
      <c r="M319" s="8">
        <f>IF(COUNTIF(H319:L319,"=0")&gt;=2,0,SUM(H319:L319))</f>
        <v>83</v>
      </c>
    </row>
    <row r="320" spans="1:13" outlineLevel="2" x14ac:dyDescent="0.15">
      <c r="A320" s="4" t="s">
        <v>1160</v>
      </c>
      <c r="B320" s="5" t="s">
        <v>699</v>
      </c>
      <c r="C320" s="5" t="s">
        <v>700</v>
      </c>
      <c r="D320" s="5" t="s">
        <v>17</v>
      </c>
      <c r="E320" s="6">
        <v>33284</v>
      </c>
      <c r="F320" s="5" t="s">
        <v>14</v>
      </c>
      <c r="G320" s="5" t="s">
        <v>805</v>
      </c>
      <c r="H320" s="7">
        <v>33</v>
      </c>
      <c r="I320" s="7">
        <v>19</v>
      </c>
      <c r="J320" s="7">
        <v>18</v>
      </c>
      <c r="K320" s="7">
        <v>8</v>
      </c>
      <c r="L320" s="7">
        <v>9</v>
      </c>
      <c r="M320" s="8">
        <f>IF(COUNTIF(H320:L320,"=0")&gt;=2,0,SUM(H320:L320))</f>
        <v>87</v>
      </c>
    </row>
    <row r="321" spans="1:13" outlineLevel="2" x14ac:dyDescent="0.15">
      <c r="A321" s="4" t="s">
        <v>1162</v>
      </c>
      <c r="B321" s="5" t="s">
        <v>703</v>
      </c>
      <c r="C321" s="5" t="s">
        <v>704</v>
      </c>
      <c r="D321" s="5" t="s">
        <v>7</v>
      </c>
      <c r="E321" s="6">
        <v>33515</v>
      </c>
      <c r="F321" s="5" t="s">
        <v>14</v>
      </c>
      <c r="G321" s="5" t="s">
        <v>805</v>
      </c>
      <c r="H321" s="7">
        <v>24</v>
      </c>
      <c r="I321" s="7">
        <v>11</v>
      </c>
      <c r="J321" s="7">
        <v>18</v>
      </c>
      <c r="K321" s="7">
        <v>10</v>
      </c>
      <c r="L321" s="7">
        <v>8</v>
      </c>
      <c r="M321" s="8">
        <f>IF(COUNTIF(H321:L321,"=0")&gt;=2,0,SUM(H321:L321))</f>
        <v>71</v>
      </c>
    </row>
    <row r="322" spans="1:13" outlineLevel="2" x14ac:dyDescent="0.15">
      <c r="A322" s="4" t="s">
        <v>1163</v>
      </c>
      <c r="B322" s="5" t="s">
        <v>705</v>
      </c>
      <c r="C322" s="5" t="s">
        <v>629</v>
      </c>
      <c r="D322" s="5" t="s">
        <v>7</v>
      </c>
      <c r="E322" s="6">
        <v>33408</v>
      </c>
      <c r="F322" s="5" t="s">
        <v>14</v>
      </c>
      <c r="G322" s="5" t="s">
        <v>805</v>
      </c>
      <c r="H322" s="7">
        <v>4</v>
      </c>
      <c r="I322" s="7">
        <v>0</v>
      </c>
      <c r="J322" s="7">
        <v>16</v>
      </c>
      <c r="K322" s="7">
        <v>10</v>
      </c>
      <c r="L322" s="7">
        <v>9</v>
      </c>
      <c r="M322" s="8">
        <f>IF(COUNTIF(H322:L322,"=0")&gt;=2,0,SUM(H322:L322))</f>
        <v>39</v>
      </c>
    </row>
    <row r="323" spans="1:13" outlineLevel="2" x14ac:dyDescent="0.15">
      <c r="A323" s="4" t="s">
        <v>1164</v>
      </c>
      <c r="B323" s="5" t="s">
        <v>706</v>
      </c>
      <c r="C323" s="5" t="s">
        <v>707</v>
      </c>
      <c r="D323" s="5" t="s">
        <v>7</v>
      </c>
      <c r="E323" s="6">
        <v>33525</v>
      </c>
      <c r="F323" s="5" t="s">
        <v>14</v>
      </c>
      <c r="G323" s="5" t="s">
        <v>805</v>
      </c>
      <c r="H323" s="7">
        <v>10</v>
      </c>
      <c r="I323" s="7">
        <v>0</v>
      </c>
      <c r="J323" s="7">
        <v>0</v>
      </c>
      <c r="K323" s="7">
        <v>10</v>
      </c>
      <c r="L323" s="7">
        <v>9</v>
      </c>
      <c r="M323" s="8">
        <f>IF(COUNTIF(H323:L323,"=0")&gt;=2,0,SUM(H323:L323))</f>
        <v>0</v>
      </c>
    </row>
    <row r="324" spans="1:13" outlineLevel="2" x14ac:dyDescent="0.15">
      <c r="A324" s="4" t="s">
        <v>1166</v>
      </c>
      <c r="B324" s="5" t="s">
        <v>710</v>
      </c>
      <c r="C324" s="5" t="s">
        <v>711</v>
      </c>
      <c r="D324" s="5" t="s">
        <v>7</v>
      </c>
      <c r="E324" s="6">
        <v>33513</v>
      </c>
      <c r="F324" s="5" t="s">
        <v>14</v>
      </c>
      <c r="G324" s="5" t="s">
        <v>805</v>
      </c>
      <c r="H324" s="7">
        <v>18</v>
      </c>
      <c r="I324" s="7">
        <v>19</v>
      </c>
      <c r="J324" s="7">
        <v>20</v>
      </c>
      <c r="K324" s="7">
        <v>10</v>
      </c>
      <c r="L324" s="7">
        <v>9</v>
      </c>
      <c r="M324" s="8">
        <f>IF(COUNTIF(H324:L324,"=0")&gt;=2,0,SUM(H324:L324))</f>
        <v>76</v>
      </c>
    </row>
    <row r="325" spans="1:13" outlineLevel="2" x14ac:dyDescent="0.15">
      <c r="A325" s="4" t="s">
        <v>1167</v>
      </c>
      <c r="B325" s="5" t="s">
        <v>712</v>
      </c>
      <c r="C325" s="5" t="s">
        <v>713</v>
      </c>
      <c r="D325" s="5" t="s">
        <v>17</v>
      </c>
      <c r="E325" s="6">
        <v>33394</v>
      </c>
      <c r="F325" s="5" t="s">
        <v>14</v>
      </c>
      <c r="G325" s="5" t="s">
        <v>805</v>
      </c>
      <c r="H325" s="7">
        <v>3</v>
      </c>
      <c r="I325" s="7">
        <v>0</v>
      </c>
      <c r="J325" s="7">
        <v>20</v>
      </c>
      <c r="K325" s="7">
        <v>10</v>
      </c>
      <c r="L325" s="7">
        <v>8</v>
      </c>
      <c r="M325" s="8">
        <f>IF(COUNTIF(H325:L325,"=0")&gt;=2,0,SUM(H325:L325))</f>
        <v>41</v>
      </c>
    </row>
    <row r="326" spans="1:13" outlineLevel="2" x14ac:dyDescent="0.15">
      <c r="A326" s="4" t="s">
        <v>1168</v>
      </c>
      <c r="B326" s="5" t="s">
        <v>714</v>
      </c>
      <c r="C326" s="5" t="s">
        <v>715</v>
      </c>
      <c r="D326" s="5" t="s">
        <v>7</v>
      </c>
      <c r="E326" s="6">
        <v>33541</v>
      </c>
      <c r="F326" s="5" t="s">
        <v>14</v>
      </c>
      <c r="G326" s="5" t="s">
        <v>805</v>
      </c>
      <c r="H326" s="7">
        <v>3</v>
      </c>
      <c r="I326" s="7">
        <v>12</v>
      </c>
      <c r="J326" s="7">
        <v>9</v>
      </c>
      <c r="K326" s="7">
        <v>9</v>
      </c>
      <c r="L326" s="7">
        <v>7</v>
      </c>
      <c r="M326" s="8">
        <f>IF(COUNTIF(H326:L326,"=0")&gt;=2,0,SUM(H326:L326))</f>
        <v>40</v>
      </c>
    </row>
    <row r="327" spans="1:13" outlineLevel="2" x14ac:dyDescent="0.15">
      <c r="A327" s="4" t="s">
        <v>1169</v>
      </c>
      <c r="B327" s="5" t="s">
        <v>716</v>
      </c>
      <c r="C327" s="5" t="s">
        <v>717</v>
      </c>
      <c r="D327" s="5" t="s">
        <v>7</v>
      </c>
      <c r="E327" s="6">
        <v>33397</v>
      </c>
      <c r="F327" s="5" t="s">
        <v>14</v>
      </c>
      <c r="G327" s="5" t="s">
        <v>806</v>
      </c>
      <c r="H327" s="7">
        <v>34</v>
      </c>
      <c r="I327" s="7">
        <v>18</v>
      </c>
      <c r="J327" s="7">
        <v>19</v>
      </c>
      <c r="K327" s="7">
        <v>8</v>
      </c>
      <c r="L327" s="7">
        <v>9</v>
      </c>
      <c r="M327" s="8">
        <f>IF(COUNTIF(H327:L327,"=0")&gt;=2,0,SUM(H327:L327))</f>
        <v>88</v>
      </c>
    </row>
    <row r="328" spans="1:13" outlineLevel="2" x14ac:dyDescent="0.15">
      <c r="A328" s="4" t="s">
        <v>1170</v>
      </c>
      <c r="B328" s="5" t="s">
        <v>718</v>
      </c>
      <c r="C328" s="5" t="s">
        <v>719</v>
      </c>
      <c r="D328" s="5" t="s">
        <v>7</v>
      </c>
      <c r="E328" s="6">
        <v>33395</v>
      </c>
      <c r="F328" s="5" t="s">
        <v>14</v>
      </c>
      <c r="G328" s="5" t="s">
        <v>806</v>
      </c>
      <c r="H328" s="7">
        <v>21</v>
      </c>
      <c r="I328" s="7">
        <v>17</v>
      </c>
      <c r="J328" s="7">
        <v>18</v>
      </c>
      <c r="K328" s="7">
        <v>8</v>
      </c>
      <c r="L328" s="7">
        <v>8</v>
      </c>
      <c r="M328" s="8">
        <f>IF(COUNTIF(H328:L328,"=0")&gt;=2,0,SUM(H328:L328))</f>
        <v>72</v>
      </c>
    </row>
    <row r="329" spans="1:13" outlineLevel="2" x14ac:dyDescent="0.15">
      <c r="A329" s="4" t="s">
        <v>1171</v>
      </c>
      <c r="B329" s="5" t="s">
        <v>720</v>
      </c>
      <c r="C329" s="5" t="s">
        <v>721</v>
      </c>
      <c r="D329" s="5" t="s">
        <v>7</v>
      </c>
      <c r="E329" s="6">
        <v>33249</v>
      </c>
      <c r="F329" s="5" t="s">
        <v>14</v>
      </c>
      <c r="G329" s="5" t="s">
        <v>806</v>
      </c>
      <c r="H329" s="7">
        <v>25</v>
      </c>
      <c r="I329" s="7">
        <v>19</v>
      </c>
      <c r="J329" s="7">
        <v>17</v>
      </c>
      <c r="K329" s="7">
        <v>8</v>
      </c>
      <c r="L329" s="7">
        <v>9</v>
      </c>
      <c r="M329" s="8">
        <f>IF(COUNTIF(H329:L329,"=0")&gt;=2,0,SUM(H329:L329))</f>
        <v>78</v>
      </c>
    </row>
    <row r="330" spans="1:13" outlineLevel="2" x14ac:dyDescent="0.15">
      <c r="A330" s="4" t="s">
        <v>1172</v>
      </c>
      <c r="B330" s="5" t="s">
        <v>722</v>
      </c>
      <c r="C330" s="5" t="s">
        <v>723</v>
      </c>
      <c r="D330" s="5" t="s">
        <v>7</v>
      </c>
      <c r="E330" s="6">
        <v>33487</v>
      </c>
      <c r="F330" s="5" t="s">
        <v>14</v>
      </c>
      <c r="G330" s="5" t="s">
        <v>806</v>
      </c>
      <c r="H330" s="7">
        <v>33</v>
      </c>
      <c r="I330" s="7">
        <v>17</v>
      </c>
      <c r="J330" s="7">
        <v>20</v>
      </c>
      <c r="K330" s="7">
        <v>10</v>
      </c>
      <c r="L330" s="7">
        <v>7</v>
      </c>
      <c r="M330" s="8">
        <f>IF(COUNTIF(H330:L330,"=0")&gt;=2,0,SUM(H330:L330))</f>
        <v>87</v>
      </c>
    </row>
    <row r="331" spans="1:13" outlineLevel="2" x14ac:dyDescent="0.15">
      <c r="A331" s="4" t="s">
        <v>1173</v>
      </c>
      <c r="B331" s="5" t="s">
        <v>724</v>
      </c>
      <c r="C331" s="5" t="s">
        <v>725</v>
      </c>
      <c r="D331" s="5" t="s">
        <v>7</v>
      </c>
      <c r="E331" s="6">
        <v>33489</v>
      </c>
      <c r="F331" s="5" t="s">
        <v>14</v>
      </c>
      <c r="G331" s="5" t="s">
        <v>806</v>
      </c>
      <c r="H331" s="7">
        <v>15</v>
      </c>
      <c r="I331" s="7">
        <v>14</v>
      </c>
      <c r="J331" s="7">
        <v>19</v>
      </c>
      <c r="K331" s="7">
        <v>6</v>
      </c>
      <c r="L331" s="7">
        <v>9</v>
      </c>
      <c r="M331" s="8">
        <f>IF(COUNTIF(H331:L331,"=0")&gt;=2,0,SUM(H331:L331))</f>
        <v>63</v>
      </c>
    </row>
    <row r="332" spans="1:13" outlineLevel="2" x14ac:dyDescent="0.15">
      <c r="A332" s="4" t="s">
        <v>1174</v>
      </c>
      <c r="B332" s="5" t="s">
        <v>726</v>
      </c>
      <c r="C332" s="5" t="s">
        <v>727</v>
      </c>
      <c r="D332" s="5" t="s">
        <v>7</v>
      </c>
      <c r="E332" s="6">
        <v>33490</v>
      </c>
      <c r="F332" s="5" t="s">
        <v>14</v>
      </c>
      <c r="G332" s="5" t="s">
        <v>806</v>
      </c>
      <c r="H332" s="7">
        <v>23</v>
      </c>
      <c r="I332" s="7">
        <v>15</v>
      </c>
      <c r="J332" s="7">
        <v>19</v>
      </c>
      <c r="K332" s="7">
        <v>8</v>
      </c>
      <c r="L332" s="7">
        <v>9</v>
      </c>
      <c r="M332" s="8">
        <f>IF(COUNTIF(H332:L332,"=0")&gt;=2,0,SUM(H332:L332))</f>
        <v>74</v>
      </c>
    </row>
    <row r="333" spans="1:13" outlineLevel="2" x14ac:dyDescent="0.15">
      <c r="A333" s="4" t="s">
        <v>1177</v>
      </c>
      <c r="B333" s="5" t="s">
        <v>732</v>
      </c>
      <c r="C333" s="5" t="s">
        <v>733</v>
      </c>
      <c r="D333" s="5" t="s">
        <v>7</v>
      </c>
      <c r="E333" s="6">
        <v>33384</v>
      </c>
      <c r="F333" s="5" t="s">
        <v>14</v>
      </c>
      <c r="G333" s="5" t="s">
        <v>806</v>
      </c>
      <c r="H333" s="7">
        <v>18</v>
      </c>
      <c r="I333" s="7">
        <v>15</v>
      </c>
      <c r="J333" s="7">
        <v>17</v>
      </c>
      <c r="K333" s="7">
        <v>6</v>
      </c>
      <c r="L333" s="7">
        <v>9</v>
      </c>
      <c r="M333" s="8">
        <f>IF(COUNTIF(H333:L333,"=0")&gt;=2,0,SUM(H333:L333))</f>
        <v>65</v>
      </c>
    </row>
    <row r="334" spans="1:13" outlineLevel="2" x14ac:dyDescent="0.15">
      <c r="A334" s="4" t="s">
        <v>1178</v>
      </c>
      <c r="B334" s="5" t="s">
        <v>734</v>
      </c>
      <c r="C334" s="5" t="s">
        <v>735</v>
      </c>
      <c r="D334" s="5" t="s">
        <v>7</v>
      </c>
      <c r="E334" s="6">
        <v>33287</v>
      </c>
      <c r="F334" s="5" t="s">
        <v>14</v>
      </c>
      <c r="G334" s="5" t="s">
        <v>806</v>
      </c>
      <c r="H334" s="7">
        <v>8</v>
      </c>
      <c r="I334" s="7">
        <v>16</v>
      </c>
      <c r="J334" s="7">
        <v>19</v>
      </c>
      <c r="K334" s="7">
        <v>6</v>
      </c>
      <c r="L334" s="7">
        <v>1</v>
      </c>
      <c r="M334" s="8">
        <f>IF(COUNTIF(H334:L334,"=0")&gt;=2,0,SUM(H334:L334))</f>
        <v>50</v>
      </c>
    </row>
    <row r="335" spans="1:13" outlineLevel="2" x14ac:dyDescent="0.15">
      <c r="A335" s="4" t="s">
        <v>1179</v>
      </c>
      <c r="B335" s="5" t="s">
        <v>736</v>
      </c>
      <c r="C335" s="5" t="s">
        <v>737</v>
      </c>
      <c r="D335" s="5" t="s">
        <v>7</v>
      </c>
      <c r="E335" s="6">
        <v>33286</v>
      </c>
      <c r="F335" s="5" t="s">
        <v>14</v>
      </c>
      <c r="G335" s="5" t="s">
        <v>806</v>
      </c>
      <c r="H335" s="7">
        <v>34</v>
      </c>
      <c r="I335" s="7">
        <v>17</v>
      </c>
      <c r="J335" s="7">
        <v>18</v>
      </c>
      <c r="K335" s="7">
        <v>8</v>
      </c>
      <c r="L335" s="7">
        <v>9</v>
      </c>
      <c r="M335" s="8">
        <f>IF(COUNTIF(H335:L335,"=0")&gt;=2,0,SUM(H335:L335))</f>
        <v>86</v>
      </c>
    </row>
    <row r="336" spans="1:13" outlineLevel="2" x14ac:dyDescent="0.15">
      <c r="A336" s="4" t="s">
        <v>1180</v>
      </c>
      <c r="B336" s="5" t="s">
        <v>738</v>
      </c>
      <c r="C336" s="5" t="s">
        <v>739</v>
      </c>
      <c r="D336" s="5" t="s">
        <v>7</v>
      </c>
      <c r="E336" s="6">
        <v>33288</v>
      </c>
      <c r="F336" s="5" t="s">
        <v>14</v>
      </c>
      <c r="G336" s="5" t="s">
        <v>806</v>
      </c>
      <c r="H336" s="7">
        <v>32</v>
      </c>
      <c r="I336" s="7">
        <v>19</v>
      </c>
      <c r="J336" s="7">
        <v>20</v>
      </c>
      <c r="K336" s="7">
        <v>10</v>
      </c>
      <c r="L336" s="7">
        <v>9</v>
      </c>
      <c r="M336" s="8">
        <f>IF(COUNTIF(H336:L336,"=0")&gt;=2,0,SUM(H336:L336))</f>
        <v>90</v>
      </c>
    </row>
    <row r="337" spans="1:13" outlineLevel="2" x14ac:dyDescent="0.15">
      <c r="A337" s="4" t="s">
        <v>1181</v>
      </c>
      <c r="B337" s="5" t="s">
        <v>740</v>
      </c>
      <c r="C337" s="5" t="s">
        <v>741</v>
      </c>
      <c r="D337" s="5" t="s">
        <v>7</v>
      </c>
      <c r="E337" s="6">
        <v>33486</v>
      </c>
      <c r="F337" s="5" t="s">
        <v>14</v>
      </c>
      <c r="G337" s="5" t="s">
        <v>806</v>
      </c>
      <c r="H337" s="7">
        <v>35</v>
      </c>
      <c r="I337" s="7">
        <v>19</v>
      </c>
      <c r="J337" s="7">
        <v>18</v>
      </c>
      <c r="K337" s="7">
        <v>10</v>
      </c>
      <c r="L337" s="7">
        <v>9</v>
      </c>
      <c r="M337" s="8">
        <f>IF(COUNTIF(H337:L337,"=0")&gt;=2,0,SUM(H337:L337))</f>
        <v>91</v>
      </c>
    </row>
    <row r="338" spans="1:13" outlineLevel="2" x14ac:dyDescent="0.15">
      <c r="A338" s="4" t="s">
        <v>1182</v>
      </c>
      <c r="B338" s="5" t="s">
        <v>742</v>
      </c>
      <c r="C338" s="5" t="s">
        <v>743</v>
      </c>
      <c r="D338" s="5" t="s">
        <v>7</v>
      </c>
      <c r="E338" s="6">
        <v>33485</v>
      </c>
      <c r="F338" s="5" t="s">
        <v>14</v>
      </c>
      <c r="G338" s="5" t="s">
        <v>806</v>
      </c>
      <c r="H338" s="7">
        <v>29</v>
      </c>
      <c r="I338" s="7">
        <v>18</v>
      </c>
      <c r="J338" s="7">
        <v>19</v>
      </c>
      <c r="K338" s="7">
        <v>10</v>
      </c>
      <c r="L338" s="7">
        <v>9</v>
      </c>
      <c r="M338" s="8">
        <f>IF(COUNTIF(H338:L338,"=0")&gt;=2,0,SUM(H338:L338))</f>
        <v>85</v>
      </c>
    </row>
    <row r="339" spans="1:13" outlineLevel="2" x14ac:dyDescent="0.15">
      <c r="A339" s="4" t="s">
        <v>1184</v>
      </c>
      <c r="B339" s="5" t="s">
        <v>746</v>
      </c>
      <c r="C339" s="5" t="s">
        <v>747</v>
      </c>
      <c r="D339" s="5" t="s">
        <v>7</v>
      </c>
      <c r="E339" s="6">
        <v>33483</v>
      </c>
      <c r="F339" s="5" t="s">
        <v>14</v>
      </c>
      <c r="G339" s="5" t="s">
        <v>806</v>
      </c>
      <c r="H339" s="7">
        <v>33</v>
      </c>
      <c r="I339" s="7">
        <v>19</v>
      </c>
      <c r="J339" s="7">
        <v>15</v>
      </c>
      <c r="K339" s="7">
        <v>8</v>
      </c>
      <c r="L339" s="7">
        <v>5</v>
      </c>
      <c r="M339" s="8">
        <f>IF(COUNTIF(H339:L339,"=0")&gt;=2,0,SUM(H339:L339))</f>
        <v>80</v>
      </c>
    </row>
    <row r="340" spans="1:13" outlineLevel="2" x14ac:dyDescent="0.15">
      <c r="A340" s="4" t="s">
        <v>1185</v>
      </c>
      <c r="B340" s="5" t="s">
        <v>748</v>
      </c>
      <c r="C340" s="5" t="s">
        <v>749</v>
      </c>
      <c r="D340" s="5" t="s">
        <v>7</v>
      </c>
      <c r="E340" s="6">
        <v>33482</v>
      </c>
      <c r="F340" s="5" t="s">
        <v>14</v>
      </c>
      <c r="G340" s="5" t="s">
        <v>806</v>
      </c>
      <c r="H340" s="7">
        <v>24</v>
      </c>
      <c r="I340" s="7">
        <v>19</v>
      </c>
      <c r="J340" s="7">
        <v>20</v>
      </c>
      <c r="K340" s="7">
        <v>8</v>
      </c>
      <c r="L340" s="7">
        <v>9</v>
      </c>
      <c r="M340" s="8">
        <f>IF(COUNTIF(H340:L340,"=0")&gt;=2,0,SUM(H340:L340))</f>
        <v>80</v>
      </c>
    </row>
    <row r="341" spans="1:13" outlineLevel="2" x14ac:dyDescent="0.15">
      <c r="A341" s="4" t="s">
        <v>1186</v>
      </c>
      <c r="B341" s="5" t="s">
        <v>750</v>
      </c>
      <c r="C341" s="5" t="s">
        <v>751</v>
      </c>
      <c r="D341" s="5" t="s">
        <v>7</v>
      </c>
      <c r="E341" s="6">
        <v>33481</v>
      </c>
      <c r="F341" s="5" t="s">
        <v>14</v>
      </c>
      <c r="G341" s="5" t="s">
        <v>806</v>
      </c>
      <c r="H341" s="7">
        <v>14</v>
      </c>
      <c r="I341" s="7">
        <v>15</v>
      </c>
      <c r="J341" s="7">
        <v>17</v>
      </c>
      <c r="K341" s="7">
        <v>6</v>
      </c>
      <c r="L341" s="7">
        <v>8</v>
      </c>
      <c r="M341" s="8">
        <f>IF(COUNTIF(H341:L341,"=0")&gt;=2,0,SUM(H341:L341))</f>
        <v>60</v>
      </c>
    </row>
    <row r="342" spans="1:13" outlineLevel="2" x14ac:dyDescent="0.15">
      <c r="A342" s="4" t="s">
        <v>1187</v>
      </c>
      <c r="B342" s="5" t="s">
        <v>752</v>
      </c>
      <c r="C342" s="5" t="s">
        <v>753</v>
      </c>
      <c r="D342" s="5" t="s">
        <v>7</v>
      </c>
      <c r="E342" s="6">
        <v>33332</v>
      </c>
      <c r="F342" s="5" t="s">
        <v>14</v>
      </c>
      <c r="G342" s="5" t="s">
        <v>806</v>
      </c>
      <c r="H342" s="7">
        <v>31</v>
      </c>
      <c r="I342" s="7">
        <v>19</v>
      </c>
      <c r="J342" s="7">
        <v>20</v>
      </c>
      <c r="K342" s="7">
        <v>8</v>
      </c>
      <c r="L342" s="7">
        <v>9</v>
      </c>
      <c r="M342" s="8">
        <f>IF(COUNTIF(H342:L342,"=0")&gt;=2,0,SUM(H342:L342))</f>
        <v>87</v>
      </c>
    </row>
    <row r="343" spans="1:13" outlineLevel="2" x14ac:dyDescent="0.15">
      <c r="A343" s="4" t="s">
        <v>1188</v>
      </c>
      <c r="B343" s="5" t="s">
        <v>754</v>
      </c>
      <c r="C343" s="5" t="s">
        <v>755</v>
      </c>
      <c r="D343" s="5" t="s">
        <v>7</v>
      </c>
      <c r="E343" s="6">
        <v>33286</v>
      </c>
      <c r="F343" s="5" t="s">
        <v>14</v>
      </c>
      <c r="G343" s="5" t="s">
        <v>806</v>
      </c>
      <c r="H343" s="7">
        <v>22</v>
      </c>
      <c r="I343" s="7">
        <v>17</v>
      </c>
      <c r="J343" s="7">
        <v>19</v>
      </c>
      <c r="K343" s="7">
        <v>10</v>
      </c>
      <c r="L343" s="7">
        <v>8</v>
      </c>
      <c r="M343" s="8">
        <f>IF(COUNTIF(H343:L343,"=0")&gt;=2,0,SUM(H343:L343))</f>
        <v>76</v>
      </c>
    </row>
    <row r="344" spans="1:13" outlineLevel="2" x14ac:dyDescent="0.15">
      <c r="A344" s="4" t="s">
        <v>1189</v>
      </c>
      <c r="B344" s="5" t="s">
        <v>756</v>
      </c>
      <c r="C344" s="5" t="s">
        <v>757</v>
      </c>
      <c r="D344" s="5" t="s">
        <v>17</v>
      </c>
      <c r="E344" s="6">
        <v>33290</v>
      </c>
      <c r="F344" s="5" t="s">
        <v>14</v>
      </c>
      <c r="G344" s="5" t="s">
        <v>806</v>
      </c>
      <c r="H344" s="7">
        <v>18</v>
      </c>
      <c r="I344" s="7">
        <v>15</v>
      </c>
      <c r="J344" s="7">
        <v>19</v>
      </c>
      <c r="K344" s="7">
        <v>8</v>
      </c>
      <c r="L344" s="7">
        <v>10</v>
      </c>
      <c r="M344" s="8">
        <f>IF(COUNTIF(H344:L344,"=0")&gt;=2,0,SUM(H344:L344))</f>
        <v>70</v>
      </c>
    </row>
    <row r="345" spans="1:13" outlineLevel="2" x14ac:dyDescent="0.15">
      <c r="A345" s="4" t="s">
        <v>1190</v>
      </c>
      <c r="B345" s="5" t="s">
        <v>758</v>
      </c>
      <c r="C345" s="5" t="s">
        <v>759</v>
      </c>
      <c r="D345" s="5" t="s">
        <v>17</v>
      </c>
      <c r="E345" s="6">
        <v>33389</v>
      </c>
      <c r="F345" s="5" t="s">
        <v>14</v>
      </c>
      <c r="G345" s="5" t="s">
        <v>806</v>
      </c>
      <c r="H345" s="7">
        <v>22</v>
      </c>
      <c r="I345" s="7">
        <v>14</v>
      </c>
      <c r="J345" s="7">
        <v>6</v>
      </c>
      <c r="K345" s="7">
        <v>4</v>
      </c>
      <c r="L345" s="7">
        <v>0</v>
      </c>
      <c r="M345" s="8">
        <f>IF(COUNTIF(H345:L345,"=0")&gt;=2,0,SUM(H345:L345))</f>
        <v>46</v>
      </c>
    </row>
    <row r="346" spans="1:13" outlineLevel="2" x14ac:dyDescent="0.15">
      <c r="A346" s="4" t="s">
        <v>1191</v>
      </c>
      <c r="B346" s="5" t="s">
        <v>760</v>
      </c>
      <c r="C346" s="5" t="s">
        <v>761</v>
      </c>
      <c r="D346" s="5" t="s">
        <v>7</v>
      </c>
      <c r="E346" s="6">
        <v>33386</v>
      </c>
      <c r="F346" s="5" t="s">
        <v>14</v>
      </c>
      <c r="G346" s="5" t="s">
        <v>806</v>
      </c>
      <c r="H346" s="7">
        <v>30</v>
      </c>
      <c r="I346" s="7">
        <v>14</v>
      </c>
      <c r="J346" s="7">
        <v>16</v>
      </c>
      <c r="K346" s="7">
        <v>4</v>
      </c>
      <c r="L346" s="7">
        <v>5</v>
      </c>
      <c r="M346" s="8">
        <f>IF(COUNTIF(H346:L346,"=0")&gt;=2,0,SUM(H346:L346))</f>
        <v>69</v>
      </c>
    </row>
    <row r="347" spans="1:13" outlineLevel="2" x14ac:dyDescent="0.15">
      <c r="A347" s="4" t="s">
        <v>1192</v>
      </c>
      <c r="B347" s="5" t="s">
        <v>762</v>
      </c>
      <c r="C347" s="5" t="s">
        <v>763</v>
      </c>
      <c r="D347" s="5" t="s">
        <v>7</v>
      </c>
      <c r="E347" s="6">
        <v>33385</v>
      </c>
      <c r="F347" s="5" t="s">
        <v>14</v>
      </c>
      <c r="G347" s="5" t="s">
        <v>806</v>
      </c>
      <c r="H347" s="7">
        <v>25</v>
      </c>
      <c r="I347" s="7">
        <v>19</v>
      </c>
      <c r="J347" s="7">
        <v>18</v>
      </c>
      <c r="K347" s="7">
        <v>10</v>
      </c>
      <c r="L347" s="7">
        <v>9</v>
      </c>
      <c r="M347" s="8">
        <f>IF(COUNTIF(H347:L347,"=0")&gt;=2,0,SUM(H347:L347))</f>
        <v>81</v>
      </c>
    </row>
    <row r="348" spans="1:13" outlineLevel="2" x14ac:dyDescent="0.15">
      <c r="A348" s="4" t="s">
        <v>1193</v>
      </c>
      <c r="B348" s="5" t="s">
        <v>764</v>
      </c>
      <c r="C348" s="5" t="s">
        <v>765</v>
      </c>
      <c r="D348" s="5" t="s">
        <v>7</v>
      </c>
      <c r="E348" s="6">
        <v>33384</v>
      </c>
      <c r="F348" s="5" t="s">
        <v>14</v>
      </c>
      <c r="G348" s="5" t="s">
        <v>806</v>
      </c>
      <c r="H348" s="7">
        <v>28</v>
      </c>
      <c r="I348" s="7">
        <v>18</v>
      </c>
      <c r="J348" s="7">
        <v>20</v>
      </c>
      <c r="K348" s="7">
        <v>8</v>
      </c>
      <c r="L348" s="7">
        <v>9</v>
      </c>
      <c r="M348" s="8">
        <f>IF(COUNTIF(H348:L348,"=0")&gt;=2,0,SUM(H348:L348))</f>
        <v>83</v>
      </c>
    </row>
    <row r="349" spans="1:13" outlineLevel="2" x14ac:dyDescent="0.15">
      <c r="A349" s="4" t="s">
        <v>1194</v>
      </c>
      <c r="B349" s="5" t="s">
        <v>766</v>
      </c>
      <c r="C349" s="5" t="s">
        <v>767</v>
      </c>
      <c r="D349" s="5" t="s">
        <v>17</v>
      </c>
      <c r="E349" s="6">
        <v>33379</v>
      </c>
      <c r="F349" s="5" t="s">
        <v>14</v>
      </c>
      <c r="G349" s="5" t="s">
        <v>806</v>
      </c>
      <c r="H349" s="7">
        <v>31</v>
      </c>
      <c r="I349" s="7">
        <v>18</v>
      </c>
      <c r="J349" s="7">
        <v>20</v>
      </c>
      <c r="K349" s="7">
        <v>6</v>
      </c>
      <c r="L349" s="7">
        <v>9</v>
      </c>
      <c r="M349" s="8">
        <f>IF(COUNTIF(H349:L349,"=0")&gt;=2,0,SUM(H349:L349))</f>
        <v>84</v>
      </c>
    </row>
    <row r="350" spans="1:13" outlineLevel="2" x14ac:dyDescent="0.15">
      <c r="A350" s="4" t="s">
        <v>1195</v>
      </c>
      <c r="B350" s="5" t="s">
        <v>768</v>
      </c>
      <c r="C350" s="5" t="s">
        <v>769</v>
      </c>
      <c r="D350" s="5" t="s">
        <v>7</v>
      </c>
      <c r="E350" s="6">
        <v>33285</v>
      </c>
      <c r="F350" s="5" t="s">
        <v>14</v>
      </c>
      <c r="G350" s="5" t="s">
        <v>806</v>
      </c>
      <c r="H350" s="7">
        <v>31</v>
      </c>
      <c r="I350" s="7">
        <v>18</v>
      </c>
      <c r="J350" s="7">
        <v>17</v>
      </c>
      <c r="K350" s="7">
        <v>8</v>
      </c>
      <c r="L350" s="7">
        <v>8</v>
      </c>
      <c r="M350" s="8">
        <f>IF(COUNTIF(H350:L350,"=0")&gt;=2,0,SUM(H350:L350))</f>
        <v>82</v>
      </c>
    </row>
    <row r="351" spans="1:13" outlineLevel="2" x14ac:dyDescent="0.15">
      <c r="A351" s="4" t="s">
        <v>1196</v>
      </c>
      <c r="B351" s="5" t="s">
        <v>770</v>
      </c>
      <c r="C351" s="5" t="s">
        <v>771</v>
      </c>
      <c r="D351" s="5" t="s">
        <v>7</v>
      </c>
      <c r="E351" s="6">
        <v>33334</v>
      </c>
      <c r="F351" s="5" t="s">
        <v>14</v>
      </c>
      <c r="G351" s="5" t="s">
        <v>806</v>
      </c>
      <c r="H351" s="7">
        <v>28</v>
      </c>
      <c r="I351" s="7">
        <v>18</v>
      </c>
      <c r="J351" s="7">
        <v>19</v>
      </c>
      <c r="K351" s="7">
        <v>8</v>
      </c>
      <c r="L351" s="7">
        <v>9</v>
      </c>
      <c r="M351" s="8">
        <f>IF(COUNTIF(H351:L351,"=0")&gt;=2,0,SUM(H351:L351))</f>
        <v>82</v>
      </c>
    </row>
    <row r="352" spans="1:13" outlineLevel="2" x14ac:dyDescent="0.15">
      <c r="A352" s="4" t="s">
        <v>1198</v>
      </c>
      <c r="B352" s="5" t="s">
        <v>774</v>
      </c>
      <c r="C352" s="5" t="s">
        <v>775</v>
      </c>
      <c r="D352" s="5" t="s">
        <v>7</v>
      </c>
      <c r="E352" s="6">
        <v>33336</v>
      </c>
      <c r="F352" s="5" t="s">
        <v>14</v>
      </c>
      <c r="G352" s="5" t="s">
        <v>806</v>
      </c>
      <c r="H352" s="7">
        <v>30</v>
      </c>
      <c r="I352" s="7">
        <v>18</v>
      </c>
      <c r="J352" s="7">
        <v>19</v>
      </c>
      <c r="K352" s="7">
        <v>8</v>
      </c>
      <c r="L352" s="7">
        <v>9</v>
      </c>
      <c r="M352" s="8">
        <f>IF(COUNTIF(H352:L352,"=0")&gt;=2,0,SUM(H352:L352))</f>
        <v>84</v>
      </c>
    </row>
    <row r="353" spans="1:13" outlineLevel="2" x14ac:dyDescent="0.15">
      <c r="A353" s="4" t="s">
        <v>1200</v>
      </c>
      <c r="B353" s="5" t="s">
        <v>778</v>
      </c>
      <c r="C353" s="5" t="s">
        <v>779</v>
      </c>
      <c r="D353" s="5" t="s">
        <v>7</v>
      </c>
      <c r="E353" s="6">
        <v>33270</v>
      </c>
      <c r="F353" s="5" t="s">
        <v>14</v>
      </c>
      <c r="G353" s="5" t="s">
        <v>806</v>
      </c>
      <c r="H353" s="7">
        <v>25</v>
      </c>
      <c r="I353" s="7">
        <v>15</v>
      </c>
      <c r="J353" s="7">
        <v>16</v>
      </c>
      <c r="K353" s="7">
        <v>4</v>
      </c>
      <c r="L353" s="7">
        <v>6</v>
      </c>
      <c r="M353" s="8">
        <f>IF(COUNTIF(H353:L353,"=0")&gt;=2,0,SUM(H353:L353))</f>
        <v>66</v>
      </c>
    </row>
    <row r="354" spans="1:13" outlineLevel="2" x14ac:dyDescent="0.15">
      <c r="A354" s="4" t="s">
        <v>1201</v>
      </c>
      <c r="B354" s="5" t="s">
        <v>780</v>
      </c>
      <c r="C354" s="5" t="s">
        <v>781</v>
      </c>
      <c r="D354" s="5" t="s">
        <v>7</v>
      </c>
      <c r="E354" s="6">
        <v>33268</v>
      </c>
      <c r="F354" s="5" t="s">
        <v>14</v>
      </c>
      <c r="G354" s="5" t="s">
        <v>806</v>
      </c>
      <c r="H354" s="7">
        <v>30</v>
      </c>
      <c r="I354" s="7">
        <v>19</v>
      </c>
      <c r="J354" s="7">
        <v>20</v>
      </c>
      <c r="K354" s="7">
        <v>10</v>
      </c>
      <c r="L354" s="7">
        <v>9</v>
      </c>
      <c r="M354" s="8">
        <f>IF(COUNTIF(H354:L354,"=0")&gt;=2,0,SUM(H354:L354))</f>
        <v>88</v>
      </c>
    </row>
    <row r="355" spans="1:13" outlineLevel="2" x14ac:dyDescent="0.15">
      <c r="A355" s="4" t="s">
        <v>1203</v>
      </c>
      <c r="B355" s="5" t="s">
        <v>784</v>
      </c>
      <c r="C355" s="5" t="s">
        <v>785</v>
      </c>
      <c r="D355" s="5" t="s">
        <v>7</v>
      </c>
      <c r="E355" s="6">
        <v>33257</v>
      </c>
      <c r="F355" s="5" t="s">
        <v>14</v>
      </c>
      <c r="G355" s="5" t="s">
        <v>806</v>
      </c>
      <c r="H355" s="7">
        <v>24</v>
      </c>
      <c r="I355" s="7">
        <v>19</v>
      </c>
      <c r="J355" s="7">
        <v>20</v>
      </c>
      <c r="K355" s="7">
        <v>8</v>
      </c>
      <c r="L355" s="7">
        <v>9</v>
      </c>
      <c r="M355" s="8">
        <f>IF(COUNTIF(H355:L355,"=0")&gt;=2,0,SUM(H355:L355))</f>
        <v>80</v>
      </c>
    </row>
    <row r="356" spans="1:13" outlineLevel="2" x14ac:dyDescent="0.15">
      <c r="A356" s="4" t="s">
        <v>1204</v>
      </c>
      <c r="B356" s="5" t="s">
        <v>786</v>
      </c>
      <c r="C356" s="5" t="s">
        <v>787</v>
      </c>
      <c r="D356" s="5" t="s">
        <v>7</v>
      </c>
      <c r="E356" s="6">
        <v>33391</v>
      </c>
      <c r="F356" s="5" t="s">
        <v>14</v>
      </c>
      <c r="G356" s="5" t="s">
        <v>806</v>
      </c>
      <c r="H356" s="7">
        <v>16</v>
      </c>
      <c r="I356" s="7">
        <v>3</v>
      </c>
      <c r="J356" s="7">
        <v>12</v>
      </c>
      <c r="K356" s="7">
        <v>2</v>
      </c>
      <c r="L356" s="7">
        <v>1</v>
      </c>
      <c r="M356" s="8">
        <f>IF(COUNTIF(H356:L356,"=0")&gt;=2,0,SUM(H356:L356))</f>
        <v>34</v>
      </c>
    </row>
    <row r="357" spans="1:13" outlineLevel="2" x14ac:dyDescent="0.15">
      <c r="A357" s="4" t="s">
        <v>1205</v>
      </c>
      <c r="B357" s="5" t="s">
        <v>788</v>
      </c>
      <c r="C357" s="5" t="s">
        <v>789</v>
      </c>
      <c r="D357" s="5" t="s">
        <v>7</v>
      </c>
      <c r="E357" s="6">
        <v>33281</v>
      </c>
      <c r="F357" s="5" t="s">
        <v>14</v>
      </c>
      <c r="G357" s="5" t="s">
        <v>806</v>
      </c>
      <c r="H357" s="7">
        <v>25</v>
      </c>
      <c r="I357" s="7">
        <v>9</v>
      </c>
      <c r="J357" s="7">
        <v>16</v>
      </c>
      <c r="K357" s="7">
        <v>6</v>
      </c>
      <c r="L357" s="7">
        <v>2</v>
      </c>
      <c r="M357" s="8">
        <f>IF(COUNTIF(H357:L357,"=0")&gt;=2,0,SUM(H357:L357))</f>
        <v>58</v>
      </c>
    </row>
    <row r="358" spans="1:13" outlineLevel="2" x14ac:dyDescent="0.15">
      <c r="A358" s="4" t="s">
        <v>1206</v>
      </c>
      <c r="B358" s="5" t="s">
        <v>790</v>
      </c>
      <c r="C358" s="5" t="s">
        <v>787</v>
      </c>
      <c r="D358" s="5" t="s">
        <v>7</v>
      </c>
      <c r="E358" s="6">
        <v>33392</v>
      </c>
      <c r="F358" s="5" t="s">
        <v>14</v>
      </c>
      <c r="G358" s="5" t="s">
        <v>806</v>
      </c>
      <c r="H358" s="7">
        <v>28</v>
      </c>
      <c r="I358" s="7">
        <v>17</v>
      </c>
      <c r="J358" s="7">
        <v>20</v>
      </c>
      <c r="K358" s="7">
        <v>6</v>
      </c>
      <c r="L358" s="7">
        <v>9</v>
      </c>
      <c r="M358" s="8">
        <f>IF(COUNTIF(H358:L358,"=0")&gt;=2,0,SUM(H358:L358))</f>
        <v>80</v>
      </c>
    </row>
    <row r="359" spans="1:13" outlineLevel="2" x14ac:dyDescent="0.15">
      <c r="A359" s="4" t="s">
        <v>1207</v>
      </c>
      <c r="B359" s="5" t="s">
        <v>791</v>
      </c>
      <c r="C359" s="5" t="s">
        <v>792</v>
      </c>
      <c r="D359" s="5" t="s">
        <v>7</v>
      </c>
      <c r="E359" s="6">
        <v>33417</v>
      </c>
      <c r="F359" s="5" t="s">
        <v>14</v>
      </c>
      <c r="G359" s="5" t="s">
        <v>806</v>
      </c>
      <c r="H359" s="7">
        <v>12</v>
      </c>
      <c r="I359" s="7">
        <v>17</v>
      </c>
      <c r="J359" s="7">
        <v>20</v>
      </c>
      <c r="K359" s="7">
        <v>8</v>
      </c>
      <c r="L359" s="7">
        <v>9</v>
      </c>
      <c r="M359" s="8">
        <f>IF(COUNTIF(H359:L359,"=0")&gt;=2,0,SUM(H359:L359))</f>
        <v>66</v>
      </c>
    </row>
    <row r="360" spans="1:13" ht="22.5" outlineLevel="1" x14ac:dyDescent="0.15">
      <c r="A360" s="4"/>
      <c r="B360" s="5"/>
      <c r="C360" s="5"/>
      <c r="D360" s="5"/>
      <c r="E360" s="6"/>
      <c r="F360" s="9" t="s">
        <v>1212</v>
      </c>
      <c r="G360" s="5"/>
      <c r="H360" s="7"/>
      <c r="I360" s="7"/>
      <c r="J360" s="7"/>
      <c r="K360" s="7"/>
      <c r="L360" s="7"/>
      <c r="M360" s="8">
        <f>SUBTOTAL(1,M40:M359)</f>
        <v>72.231250000000003</v>
      </c>
    </row>
    <row r="361" spans="1:13" outlineLevel="2" x14ac:dyDescent="0.15">
      <c r="A361" s="4" t="s">
        <v>815</v>
      </c>
      <c r="B361" s="5" t="s">
        <v>5</v>
      </c>
      <c r="C361" s="5" t="s">
        <v>6</v>
      </c>
      <c r="D361" s="5" t="s">
        <v>7</v>
      </c>
      <c r="E361" s="6">
        <v>33288</v>
      </c>
      <c r="F361" s="5" t="s">
        <v>8</v>
      </c>
      <c r="G361" s="5" t="s">
        <v>797</v>
      </c>
      <c r="H361" s="7">
        <v>14</v>
      </c>
      <c r="I361" s="7">
        <v>15</v>
      </c>
      <c r="J361" s="7">
        <v>10</v>
      </c>
      <c r="K361" s="7">
        <v>6</v>
      </c>
      <c r="L361" s="7">
        <v>9</v>
      </c>
      <c r="M361" s="8">
        <f>IF(COUNTIF(H361:L361,"=0")&gt;=2,0,SUM(H361:L361))</f>
        <v>54</v>
      </c>
    </row>
    <row r="362" spans="1:13" outlineLevel="2" x14ac:dyDescent="0.15">
      <c r="A362" s="4" t="s">
        <v>827</v>
      </c>
      <c r="B362" s="5" t="s">
        <v>34</v>
      </c>
      <c r="C362" s="5" t="s">
        <v>35</v>
      </c>
      <c r="D362" s="5" t="s">
        <v>17</v>
      </c>
      <c r="E362" s="6">
        <v>33570</v>
      </c>
      <c r="F362" s="5" t="s">
        <v>8</v>
      </c>
      <c r="G362" s="5" t="s">
        <v>797</v>
      </c>
      <c r="H362" s="7">
        <v>15</v>
      </c>
      <c r="I362" s="7">
        <v>15</v>
      </c>
      <c r="J362" s="7">
        <v>19</v>
      </c>
      <c r="K362" s="7">
        <v>7</v>
      </c>
      <c r="L362" s="7">
        <v>9</v>
      </c>
      <c r="M362" s="8">
        <f>IF(COUNTIF(H362:L362,"=0")&gt;=2,0,SUM(H362:L362))</f>
        <v>65</v>
      </c>
    </row>
    <row r="363" spans="1:13" outlineLevel="2" x14ac:dyDescent="0.15">
      <c r="A363" s="4" t="s">
        <v>834</v>
      </c>
      <c r="B363" s="5" t="s">
        <v>474</v>
      </c>
      <c r="C363" s="5" t="s">
        <v>475</v>
      </c>
      <c r="D363" s="5" t="s">
        <v>7</v>
      </c>
      <c r="E363" s="6">
        <v>33382</v>
      </c>
      <c r="F363" s="5" t="s">
        <v>8</v>
      </c>
      <c r="G363" s="5" t="s">
        <v>797</v>
      </c>
      <c r="H363" s="7">
        <v>29</v>
      </c>
      <c r="I363" s="7">
        <v>16</v>
      </c>
      <c r="J363" s="7">
        <v>18</v>
      </c>
      <c r="K363" s="7">
        <v>10</v>
      </c>
      <c r="L363" s="7">
        <v>9</v>
      </c>
      <c r="M363" s="8">
        <f>IF(COUNTIF(H363:L363,"=0")&gt;=2,0,SUM(H363:L363))</f>
        <v>82</v>
      </c>
    </row>
    <row r="364" spans="1:13" outlineLevel="2" x14ac:dyDescent="0.15">
      <c r="A364" s="4" t="s">
        <v>840</v>
      </c>
      <c r="B364" s="5" t="s">
        <v>486</v>
      </c>
      <c r="C364" s="5" t="s">
        <v>487</v>
      </c>
      <c r="D364" s="5" t="s">
        <v>17</v>
      </c>
      <c r="E364" s="6">
        <v>33529</v>
      </c>
      <c r="F364" s="5" t="s">
        <v>8</v>
      </c>
      <c r="G364" s="5" t="s">
        <v>797</v>
      </c>
      <c r="H364" s="7">
        <v>23</v>
      </c>
      <c r="I364" s="7">
        <v>10</v>
      </c>
      <c r="J364" s="7">
        <v>0</v>
      </c>
      <c r="K364" s="7">
        <v>0</v>
      </c>
      <c r="L364" s="7">
        <v>0</v>
      </c>
      <c r="M364" s="8">
        <f>IF(COUNTIF(H364:L364,"=0")&gt;=2,0,SUM(H364:L364))</f>
        <v>0</v>
      </c>
    </row>
    <row r="365" spans="1:13" outlineLevel="2" x14ac:dyDescent="0.15">
      <c r="A365" s="4" t="s">
        <v>843</v>
      </c>
      <c r="B365" s="5" t="s">
        <v>492</v>
      </c>
      <c r="C365" s="5" t="s">
        <v>493</v>
      </c>
      <c r="D365" s="5" t="s">
        <v>7</v>
      </c>
      <c r="E365" s="6">
        <v>33241</v>
      </c>
      <c r="F365" s="5" t="s">
        <v>8</v>
      </c>
      <c r="G365" s="5" t="s">
        <v>797</v>
      </c>
      <c r="H365" s="7">
        <v>30</v>
      </c>
      <c r="I365" s="7">
        <v>19</v>
      </c>
      <c r="J365" s="7">
        <v>19</v>
      </c>
      <c r="K365" s="7">
        <v>8</v>
      </c>
      <c r="L365" s="7">
        <v>9</v>
      </c>
      <c r="M365" s="8">
        <f>IF(COUNTIF(H365:L365,"=0")&gt;=2,0,SUM(H365:L365))</f>
        <v>85</v>
      </c>
    </row>
    <row r="366" spans="1:13" outlineLevel="2" x14ac:dyDescent="0.15">
      <c r="A366" s="4" t="s">
        <v>857</v>
      </c>
      <c r="B366" s="5" t="s">
        <v>520</v>
      </c>
      <c r="C366" s="5" t="s">
        <v>521</v>
      </c>
      <c r="D366" s="5" t="s">
        <v>17</v>
      </c>
      <c r="E366" s="6">
        <v>33360</v>
      </c>
      <c r="F366" s="5" t="s">
        <v>8</v>
      </c>
      <c r="G366" s="5" t="s">
        <v>797</v>
      </c>
      <c r="H366" s="7">
        <v>27</v>
      </c>
      <c r="I366" s="7">
        <v>17</v>
      </c>
      <c r="J366" s="7">
        <v>16</v>
      </c>
      <c r="K366" s="7">
        <v>3</v>
      </c>
      <c r="L366" s="7">
        <v>8</v>
      </c>
      <c r="M366" s="8">
        <f>IF(COUNTIF(H366:L366,"=0")&gt;=2,0,SUM(H366:L366))</f>
        <v>71</v>
      </c>
    </row>
    <row r="367" spans="1:13" outlineLevel="2" x14ac:dyDescent="0.15">
      <c r="A367" s="4" t="s">
        <v>862</v>
      </c>
      <c r="B367" s="5" t="s">
        <v>530</v>
      </c>
      <c r="C367" s="5" t="s">
        <v>531</v>
      </c>
      <c r="D367" s="5" t="s">
        <v>17</v>
      </c>
      <c r="E367" s="6">
        <v>33509</v>
      </c>
      <c r="F367" s="5" t="s">
        <v>8</v>
      </c>
      <c r="G367" s="5" t="s">
        <v>797</v>
      </c>
      <c r="H367" s="7">
        <v>22</v>
      </c>
      <c r="I367" s="7">
        <v>12</v>
      </c>
      <c r="J367" s="7">
        <v>0</v>
      </c>
      <c r="K367" s="7">
        <v>1</v>
      </c>
      <c r="L367" s="7">
        <v>6</v>
      </c>
      <c r="M367" s="8">
        <f>IF(COUNTIF(H367:L367,"=0")&gt;=2,0,SUM(H367:L367))</f>
        <v>41</v>
      </c>
    </row>
    <row r="368" spans="1:13" outlineLevel="2" x14ac:dyDescent="0.15">
      <c r="A368" s="4" t="s">
        <v>875</v>
      </c>
      <c r="B368" s="5" t="s">
        <v>45</v>
      </c>
      <c r="C368" s="5" t="s">
        <v>46</v>
      </c>
      <c r="D368" s="5" t="s">
        <v>17</v>
      </c>
      <c r="E368" s="6">
        <v>33365</v>
      </c>
      <c r="F368" s="5" t="s">
        <v>8</v>
      </c>
      <c r="G368" s="5" t="s">
        <v>798</v>
      </c>
      <c r="H368" s="7">
        <v>27</v>
      </c>
      <c r="I368" s="7">
        <v>20</v>
      </c>
      <c r="J368" s="7">
        <v>18</v>
      </c>
      <c r="K368" s="7">
        <v>9</v>
      </c>
      <c r="L368" s="7">
        <v>2</v>
      </c>
      <c r="M368" s="8">
        <f>IF(COUNTIF(H368:L368,"=0")&gt;=2,0,SUM(H368:L368))</f>
        <v>76</v>
      </c>
    </row>
    <row r="369" spans="1:13" outlineLevel="2" x14ac:dyDescent="0.15">
      <c r="A369" s="4" t="s">
        <v>892</v>
      </c>
      <c r="B369" s="5" t="s">
        <v>80</v>
      </c>
      <c r="C369" s="5" t="s">
        <v>81</v>
      </c>
      <c r="D369" s="5" t="s">
        <v>7</v>
      </c>
      <c r="E369" s="6">
        <v>33331</v>
      </c>
      <c r="F369" s="5" t="s">
        <v>8</v>
      </c>
      <c r="G369" s="5" t="s">
        <v>798</v>
      </c>
      <c r="H369" s="7">
        <v>22</v>
      </c>
      <c r="I369" s="7">
        <v>13</v>
      </c>
      <c r="J369" s="7">
        <v>4</v>
      </c>
      <c r="K369" s="7">
        <v>4</v>
      </c>
      <c r="L369" s="7">
        <v>0</v>
      </c>
      <c r="M369" s="8">
        <f>IF(COUNTIF(H369:L369,"=0")&gt;=2,0,SUM(H369:L369))</f>
        <v>43</v>
      </c>
    </row>
    <row r="370" spans="1:13" outlineLevel="2" x14ac:dyDescent="0.15">
      <c r="A370" s="4" t="s">
        <v>938</v>
      </c>
      <c r="B370" s="5" t="s">
        <v>172</v>
      </c>
      <c r="C370" s="5" t="s">
        <v>173</v>
      </c>
      <c r="D370" s="5" t="s">
        <v>17</v>
      </c>
      <c r="E370" s="6">
        <v>33278</v>
      </c>
      <c r="F370" s="5" t="s">
        <v>8</v>
      </c>
      <c r="G370" s="5" t="s">
        <v>800</v>
      </c>
      <c r="H370" s="7">
        <v>22</v>
      </c>
      <c r="I370" s="7">
        <v>20</v>
      </c>
      <c r="J370" s="7">
        <v>17</v>
      </c>
      <c r="K370" s="7">
        <v>10</v>
      </c>
      <c r="L370" s="7">
        <v>9</v>
      </c>
      <c r="M370" s="8">
        <f>IF(COUNTIF(H370:L370,"=0")&gt;=2,0,SUM(H370:L370))</f>
        <v>78</v>
      </c>
    </row>
    <row r="371" spans="1:13" outlineLevel="2" x14ac:dyDescent="0.15">
      <c r="A371" s="4" t="s">
        <v>962</v>
      </c>
      <c r="B371" s="5" t="s">
        <v>220</v>
      </c>
      <c r="C371" s="5" t="s">
        <v>221</v>
      </c>
      <c r="D371" s="5" t="s">
        <v>17</v>
      </c>
      <c r="E371" s="6">
        <v>33377</v>
      </c>
      <c r="F371" s="5" t="s">
        <v>8</v>
      </c>
      <c r="G371" s="5" t="s">
        <v>801</v>
      </c>
      <c r="H371" s="7">
        <v>20</v>
      </c>
      <c r="I371" s="7">
        <v>15</v>
      </c>
      <c r="J371" s="7">
        <v>1</v>
      </c>
      <c r="K371" s="7">
        <v>6</v>
      </c>
      <c r="L371" s="7">
        <v>0</v>
      </c>
      <c r="M371" s="8">
        <f>IF(COUNTIF(H371:L371,"=0")&gt;=2,0,SUM(H371:L371))</f>
        <v>42</v>
      </c>
    </row>
    <row r="372" spans="1:13" outlineLevel="2" x14ac:dyDescent="0.15">
      <c r="A372" s="4" t="s">
        <v>975</v>
      </c>
      <c r="B372" s="5" t="s">
        <v>246</v>
      </c>
      <c r="C372" s="5" t="s">
        <v>247</v>
      </c>
      <c r="D372" s="5" t="s">
        <v>17</v>
      </c>
      <c r="E372" s="6">
        <v>33404</v>
      </c>
      <c r="F372" s="5" t="s">
        <v>8</v>
      </c>
      <c r="G372" s="5" t="s">
        <v>801</v>
      </c>
      <c r="H372" s="7">
        <v>14</v>
      </c>
      <c r="I372" s="7">
        <v>15</v>
      </c>
      <c r="J372" s="7">
        <v>5</v>
      </c>
      <c r="K372" s="7">
        <v>2</v>
      </c>
      <c r="L372" s="7">
        <v>0</v>
      </c>
      <c r="M372" s="8">
        <f>IF(COUNTIF(H372:L372,"=0")&gt;=2,0,SUM(H372:L372))</f>
        <v>36</v>
      </c>
    </row>
    <row r="373" spans="1:13" outlineLevel="2" x14ac:dyDescent="0.15">
      <c r="A373" s="4" t="s">
        <v>990</v>
      </c>
      <c r="B373" s="5" t="s">
        <v>276</v>
      </c>
      <c r="C373" s="5" t="s">
        <v>277</v>
      </c>
      <c r="D373" s="5" t="s">
        <v>7</v>
      </c>
      <c r="E373" s="6">
        <v>33289</v>
      </c>
      <c r="F373" s="5" t="s">
        <v>8</v>
      </c>
      <c r="G373" s="5" t="s">
        <v>801</v>
      </c>
      <c r="H373" s="7">
        <v>22</v>
      </c>
      <c r="I373" s="7">
        <v>20</v>
      </c>
      <c r="J373" s="7">
        <v>19</v>
      </c>
      <c r="K373" s="7">
        <v>10</v>
      </c>
      <c r="L373" s="7">
        <v>9</v>
      </c>
      <c r="M373" s="8">
        <f>IF(COUNTIF(H373:L373,"=0")&gt;=2,0,SUM(H373:L373))</f>
        <v>80</v>
      </c>
    </row>
    <row r="374" spans="1:13" outlineLevel="2" x14ac:dyDescent="0.15">
      <c r="A374" s="4" t="s">
        <v>1009</v>
      </c>
      <c r="B374" s="5" t="s">
        <v>314</v>
      </c>
      <c r="C374" s="5" t="s">
        <v>315</v>
      </c>
      <c r="D374" s="5" t="s">
        <v>7</v>
      </c>
      <c r="E374" s="6">
        <v>33311</v>
      </c>
      <c r="F374" s="5" t="s">
        <v>8</v>
      </c>
      <c r="G374" s="5" t="s">
        <v>801</v>
      </c>
      <c r="H374" s="7">
        <v>36</v>
      </c>
      <c r="I374" s="7">
        <v>19</v>
      </c>
      <c r="J374" s="7">
        <v>19</v>
      </c>
      <c r="K374" s="7">
        <v>10</v>
      </c>
      <c r="L374" s="7">
        <v>10</v>
      </c>
      <c r="M374" s="8">
        <f>IF(COUNTIF(H374:L374,"=0")&gt;=2,0,SUM(H374:L374))</f>
        <v>94</v>
      </c>
    </row>
    <row r="375" spans="1:13" outlineLevel="2" x14ac:dyDescent="0.15">
      <c r="A375" s="4" t="s">
        <v>1026</v>
      </c>
      <c r="B375" s="5" t="s">
        <v>348</v>
      </c>
      <c r="C375" s="5" t="s">
        <v>349</v>
      </c>
      <c r="D375" s="5" t="s">
        <v>17</v>
      </c>
      <c r="E375" s="6">
        <v>33421</v>
      </c>
      <c r="F375" s="5" t="s">
        <v>8</v>
      </c>
      <c r="G375" s="5" t="s">
        <v>802</v>
      </c>
      <c r="H375" s="7">
        <v>24</v>
      </c>
      <c r="I375" s="7">
        <v>19</v>
      </c>
      <c r="J375" s="7">
        <v>20</v>
      </c>
      <c r="K375" s="7">
        <v>10</v>
      </c>
      <c r="L375" s="7">
        <v>7</v>
      </c>
      <c r="M375" s="8">
        <f>IF(COUNTIF(H375:L375,"=0")&gt;=2,0,SUM(H375:L375))</f>
        <v>80</v>
      </c>
    </row>
    <row r="376" spans="1:13" outlineLevel="2" x14ac:dyDescent="0.15">
      <c r="A376" s="4" t="s">
        <v>1027</v>
      </c>
      <c r="B376" s="5" t="s">
        <v>350</v>
      </c>
      <c r="C376" s="5" t="s">
        <v>351</v>
      </c>
      <c r="D376" s="5" t="s">
        <v>17</v>
      </c>
      <c r="E376" s="6">
        <v>33494</v>
      </c>
      <c r="F376" s="5" t="s">
        <v>8</v>
      </c>
      <c r="G376" s="5" t="s">
        <v>802</v>
      </c>
      <c r="H376" s="7">
        <v>29</v>
      </c>
      <c r="I376" s="7">
        <v>19</v>
      </c>
      <c r="J376" s="7">
        <v>19</v>
      </c>
      <c r="K376" s="7">
        <v>10</v>
      </c>
      <c r="L376" s="7">
        <v>8</v>
      </c>
      <c r="M376" s="8">
        <f>IF(COUNTIF(H376:L376,"=0")&gt;=2,0,SUM(H376:L376))</f>
        <v>85</v>
      </c>
    </row>
    <row r="377" spans="1:13" outlineLevel="2" x14ac:dyDescent="0.15">
      <c r="A377" s="4" t="s">
        <v>1038</v>
      </c>
      <c r="B377" s="5" t="s">
        <v>372</v>
      </c>
      <c r="C377" s="5" t="s">
        <v>373</v>
      </c>
      <c r="D377" s="5" t="s">
        <v>7</v>
      </c>
      <c r="E377" s="6">
        <v>33252</v>
      </c>
      <c r="F377" s="5" t="s">
        <v>8</v>
      </c>
      <c r="G377" s="5" t="s">
        <v>802</v>
      </c>
      <c r="H377" s="7">
        <v>16</v>
      </c>
      <c r="I377" s="7">
        <v>12</v>
      </c>
      <c r="J377" s="7">
        <v>17</v>
      </c>
      <c r="K377" s="7">
        <v>4</v>
      </c>
      <c r="L377" s="7">
        <v>9</v>
      </c>
      <c r="M377" s="8">
        <f>IF(COUNTIF(H377:L377,"=0")&gt;=2,0,SUM(H377:L377))</f>
        <v>58</v>
      </c>
    </row>
    <row r="378" spans="1:13" outlineLevel="2" x14ac:dyDescent="0.15">
      <c r="A378" s="4" t="s">
        <v>1060</v>
      </c>
      <c r="B378" s="5" t="s">
        <v>416</v>
      </c>
      <c r="C378" s="5" t="s">
        <v>417</v>
      </c>
      <c r="D378" s="5" t="s">
        <v>7</v>
      </c>
      <c r="E378" s="6">
        <v>33289</v>
      </c>
      <c r="F378" s="5" t="s">
        <v>8</v>
      </c>
      <c r="G378" s="5" t="s">
        <v>803</v>
      </c>
      <c r="H378" s="7">
        <v>23</v>
      </c>
      <c r="I378" s="7">
        <v>18</v>
      </c>
      <c r="J378" s="7">
        <v>9</v>
      </c>
      <c r="K378" s="7">
        <v>4</v>
      </c>
      <c r="L378" s="7">
        <v>0</v>
      </c>
      <c r="M378" s="8">
        <f>IF(COUNTIF(H378:L378,"=0")&gt;=2,0,SUM(H378:L378))</f>
        <v>54</v>
      </c>
    </row>
    <row r="379" spans="1:13" outlineLevel="2" x14ac:dyDescent="0.15">
      <c r="A379" s="4" t="s">
        <v>1066</v>
      </c>
      <c r="B379" s="5" t="s">
        <v>428</v>
      </c>
      <c r="C379" s="5" t="s">
        <v>429</v>
      </c>
      <c r="D379" s="5" t="s">
        <v>17</v>
      </c>
      <c r="E379" s="6">
        <v>33491</v>
      </c>
      <c r="F379" s="5" t="s">
        <v>8</v>
      </c>
      <c r="G379" s="5" t="s">
        <v>803</v>
      </c>
      <c r="H379" s="7">
        <v>24</v>
      </c>
      <c r="I379" s="7">
        <v>18</v>
      </c>
      <c r="J379" s="7">
        <v>16</v>
      </c>
      <c r="K379" s="7">
        <v>0</v>
      </c>
      <c r="L379" s="7">
        <v>0</v>
      </c>
      <c r="M379" s="8">
        <f>IF(COUNTIF(H379:L379,"=0")&gt;=2,0,SUM(H379:L379))</f>
        <v>0</v>
      </c>
    </row>
    <row r="380" spans="1:13" outlineLevel="2" x14ac:dyDescent="0.15">
      <c r="A380" s="4" t="s">
        <v>1083</v>
      </c>
      <c r="B380" s="5" t="s">
        <v>546</v>
      </c>
      <c r="C380" s="5" t="s">
        <v>547</v>
      </c>
      <c r="D380" s="5" t="s">
        <v>7</v>
      </c>
      <c r="E380" s="6">
        <v>33411</v>
      </c>
      <c r="F380" s="5" t="s">
        <v>8</v>
      </c>
      <c r="G380" s="5" t="s">
        <v>804</v>
      </c>
      <c r="H380" s="7">
        <v>35</v>
      </c>
      <c r="I380" s="7">
        <v>19</v>
      </c>
      <c r="J380" s="7">
        <v>20</v>
      </c>
      <c r="K380" s="7">
        <v>10</v>
      </c>
      <c r="L380" s="7">
        <v>10</v>
      </c>
      <c r="M380" s="8">
        <f>IF(COUNTIF(H380:L380,"=0")&gt;=2,0,SUM(H380:L380))</f>
        <v>94</v>
      </c>
    </row>
    <row r="381" spans="1:13" outlineLevel="2" x14ac:dyDescent="0.15">
      <c r="A381" s="4" t="s">
        <v>1109</v>
      </c>
      <c r="B381" s="5" t="s">
        <v>598</v>
      </c>
      <c r="C381" s="5" t="s">
        <v>599</v>
      </c>
      <c r="D381" s="5" t="s">
        <v>17</v>
      </c>
      <c r="E381" s="6">
        <v>33511</v>
      </c>
      <c r="F381" s="5" t="s">
        <v>8</v>
      </c>
      <c r="G381" s="5" t="s">
        <v>804</v>
      </c>
      <c r="H381" s="7">
        <v>29</v>
      </c>
      <c r="I381" s="7">
        <v>19</v>
      </c>
      <c r="J381" s="7">
        <v>18</v>
      </c>
      <c r="K381" s="7">
        <v>10</v>
      </c>
      <c r="L381" s="7">
        <v>0</v>
      </c>
      <c r="M381" s="8">
        <f>IF(COUNTIF(H381:L381,"=0")&gt;=2,0,SUM(H381:L381))</f>
        <v>76</v>
      </c>
    </row>
    <row r="382" spans="1:13" outlineLevel="2" x14ac:dyDescent="0.15">
      <c r="A382" s="4" t="s">
        <v>1134</v>
      </c>
      <c r="B382" s="5" t="s">
        <v>648</v>
      </c>
      <c r="C382" s="5" t="s">
        <v>649</v>
      </c>
      <c r="D382" s="5" t="s">
        <v>7</v>
      </c>
      <c r="E382" s="6">
        <v>33254</v>
      </c>
      <c r="F382" s="5" t="s">
        <v>8</v>
      </c>
      <c r="G382" s="5" t="s">
        <v>805</v>
      </c>
      <c r="H382" s="7">
        <v>32</v>
      </c>
      <c r="I382" s="7">
        <v>19</v>
      </c>
      <c r="J382" s="7">
        <v>20</v>
      </c>
      <c r="K382" s="7">
        <v>10</v>
      </c>
      <c r="L382" s="7">
        <v>9</v>
      </c>
      <c r="M382" s="8">
        <f>IF(COUNTIF(H382:L382,"=0")&gt;=2,0,SUM(H382:L382))</f>
        <v>90</v>
      </c>
    </row>
    <row r="383" spans="1:13" outlineLevel="2" x14ac:dyDescent="0.15">
      <c r="A383" s="4" t="s">
        <v>1161</v>
      </c>
      <c r="B383" s="5" t="s">
        <v>701</v>
      </c>
      <c r="C383" s="5" t="s">
        <v>702</v>
      </c>
      <c r="D383" s="5" t="s">
        <v>7</v>
      </c>
      <c r="E383" s="6">
        <v>33549</v>
      </c>
      <c r="F383" s="5" t="s">
        <v>8</v>
      </c>
      <c r="G383" s="5" t="s">
        <v>805</v>
      </c>
      <c r="H383" s="7">
        <v>12</v>
      </c>
      <c r="I383" s="7">
        <v>20</v>
      </c>
      <c r="J383" s="7">
        <v>11</v>
      </c>
      <c r="K383" s="7">
        <v>10</v>
      </c>
      <c r="L383" s="7">
        <v>8</v>
      </c>
      <c r="M383" s="8">
        <f>IF(COUNTIF(H383:L383,"=0")&gt;=2,0,SUM(H383:L383))</f>
        <v>61</v>
      </c>
    </row>
    <row r="384" spans="1:13" outlineLevel="2" x14ac:dyDescent="0.15">
      <c r="A384" s="4" t="s">
        <v>1176</v>
      </c>
      <c r="B384" s="5" t="s">
        <v>730</v>
      </c>
      <c r="C384" s="5" t="s">
        <v>731</v>
      </c>
      <c r="D384" s="5" t="s">
        <v>7</v>
      </c>
      <c r="E384" s="6">
        <v>33382</v>
      </c>
      <c r="F384" s="5" t="s">
        <v>8</v>
      </c>
      <c r="G384" s="5" t="s">
        <v>806</v>
      </c>
      <c r="H384" s="7">
        <v>15</v>
      </c>
      <c r="I384" s="7">
        <v>18</v>
      </c>
      <c r="J384" s="7">
        <v>17</v>
      </c>
      <c r="K384" s="7">
        <v>8</v>
      </c>
      <c r="L384" s="7">
        <v>9</v>
      </c>
      <c r="M384" s="8">
        <f>IF(COUNTIF(H384:L384,"=0")&gt;=2,0,SUM(H384:L384))</f>
        <v>67</v>
      </c>
    </row>
    <row r="385" spans="1:13" outlineLevel="2" x14ac:dyDescent="0.15">
      <c r="A385" s="4" t="s">
        <v>1183</v>
      </c>
      <c r="B385" s="5" t="s">
        <v>744</v>
      </c>
      <c r="C385" s="5" t="s">
        <v>745</v>
      </c>
      <c r="D385" s="5" t="s">
        <v>7</v>
      </c>
      <c r="E385" s="6">
        <v>33484</v>
      </c>
      <c r="F385" s="5" t="s">
        <v>8</v>
      </c>
      <c r="G385" s="5" t="s">
        <v>806</v>
      </c>
      <c r="H385" s="7">
        <v>33</v>
      </c>
      <c r="I385" s="7">
        <v>17</v>
      </c>
      <c r="J385" s="7">
        <v>11</v>
      </c>
      <c r="K385" s="7">
        <v>6</v>
      </c>
      <c r="L385" s="7">
        <v>5</v>
      </c>
      <c r="M385" s="8">
        <f>IF(COUNTIF(H385:L385,"=0")&gt;=2,0,SUM(H385:L385))</f>
        <v>72</v>
      </c>
    </row>
    <row r="386" spans="1:13" outlineLevel="2" x14ac:dyDescent="0.15">
      <c r="A386" s="4" t="s">
        <v>1197</v>
      </c>
      <c r="B386" s="5" t="s">
        <v>772</v>
      </c>
      <c r="C386" s="5" t="s">
        <v>773</v>
      </c>
      <c r="D386" s="5" t="s">
        <v>7</v>
      </c>
      <c r="E386" s="6">
        <v>33335</v>
      </c>
      <c r="F386" s="5" t="s">
        <v>8</v>
      </c>
      <c r="G386" s="5" t="s">
        <v>806</v>
      </c>
      <c r="H386" s="7">
        <v>31</v>
      </c>
      <c r="I386" s="7">
        <v>19</v>
      </c>
      <c r="J386" s="7">
        <v>20</v>
      </c>
      <c r="K386" s="7">
        <v>10</v>
      </c>
      <c r="L386" s="7">
        <v>9</v>
      </c>
      <c r="M386" s="8">
        <f>IF(COUNTIF(H386:L386,"=0")&gt;=2,0,SUM(H386:L386))</f>
        <v>89</v>
      </c>
    </row>
    <row r="387" spans="1:13" outlineLevel="2" x14ac:dyDescent="0.15">
      <c r="A387" s="4" t="s">
        <v>1202</v>
      </c>
      <c r="B387" s="5" t="s">
        <v>782</v>
      </c>
      <c r="C387" s="5" t="s">
        <v>783</v>
      </c>
      <c r="D387" s="5" t="s">
        <v>17</v>
      </c>
      <c r="E387" s="6">
        <v>33259</v>
      </c>
      <c r="F387" s="5" t="s">
        <v>8</v>
      </c>
      <c r="G387" s="5" t="s">
        <v>806</v>
      </c>
      <c r="H387" s="7">
        <v>21</v>
      </c>
      <c r="I387" s="7">
        <v>15</v>
      </c>
      <c r="J387" s="7">
        <v>11</v>
      </c>
      <c r="K387" s="7">
        <v>2</v>
      </c>
      <c r="L387" s="7">
        <v>9</v>
      </c>
      <c r="M387" s="8">
        <f>IF(COUNTIF(H387:L387,"=0")&gt;=2,0,SUM(H387:L387))</f>
        <v>58</v>
      </c>
    </row>
    <row r="388" spans="1:13" outlineLevel="2" x14ac:dyDescent="0.15">
      <c r="A388" s="4" t="s">
        <v>1208</v>
      </c>
      <c r="B388" s="5" t="s">
        <v>793</v>
      </c>
      <c r="C388" s="5" t="s">
        <v>794</v>
      </c>
      <c r="D388" s="5" t="s">
        <v>7</v>
      </c>
      <c r="E388" s="6">
        <v>33416</v>
      </c>
      <c r="F388" s="5" t="s">
        <v>8</v>
      </c>
      <c r="G388" s="5" t="s">
        <v>806</v>
      </c>
      <c r="H388" s="7">
        <v>19</v>
      </c>
      <c r="I388" s="7">
        <v>18</v>
      </c>
      <c r="J388" s="7">
        <v>13</v>
      </c>
      <c r="K388" s="7">
        <v>6</v>
      </c>
      <c r="L388" s="7">
        <v>1</v>
      </c>
      <c r="M388" s="8">
        <f>IF(COUNTIF(H388:L388,"=0")&gt;=2,0,SUM(H388:L388))</f>
        <v>57</v>
      </c>
    </row>
    <row r="389" spans="1:13" ht="22.5" outlineLevel="1" x14ac:dyDescent="0.15">
      <c r="A389" s="4"/>
      <c r="B389" s="5"/>
      <c r="C389" s="5"/>
      <c r="D389" s="5"/>
      <c r="E389" s="6"/>
      <c r="F389" s="9" t="s">
        <v>1213</v>
      </c>
      <c r="G389" s="5"/>
      <c r="H389" s="7"/>
      <c r="I389" s="7"/>
      <c r="J389" s="7"/>
      <c r="K389" s="7"/>
      <c r="L389" s="7"/>
      <c r="M389" s="8">
        <f>SUBTOTAL(1,M361:M388)</f>
        <v>63.857142857142854</v>
      </c>
    </row>
    <row r="390" spans="1:13" outlineLevel="2" x14ac:dyDescent="0.15">
      <c r="A390" s="4" t="s">
        <v>816</v>
      </c>
      <c r="B390" s="5" t="s">
        <v>9</v>
      </c>
      <c r="C390" s="5" t="s">
        <v>10</v>
      </c>
      <c r="D390" s="5" t="s">
        <v>7</v>
      </c>
      <c r="E390" s="6">
        <v>33280</v>
      </c>
      <c r="F390" s="5" t="s">
        <v>11</v>
      </c>
      <c r="G390" s="5" t="s">
        <v>797</v>
      </c>
      <c r="H390" s="7">
        <v>11</v>
      </c>
      <c r="I390" s="7">
        <v>19</v>
      </c>
      <c r="J390" s="7">
        <v>19</v>
      </c>
      <c r="K390" s="7">
        <v>10</v>
      </c>
      <c r="L390" s="7">
        <v>9</v>
      </c>
      <c r="M390" s="8">
        <f>IF(COUNTIF(H390:L390,"=0")&gt;=2,0,SUM(H390:L390))</f>
        <v>68</v>
      </c>
    </row>
    <row r="391" spans="1:13" outlineLevel="2" x14ac:dyDescent="0.15">
      <c r="A391" s="4" t="s">
        <v>822</v>
      </c>
      <c r="B391" s="5" t="s">
        <v>24</v>
      </c>
      <c r="C391" s="5" t="s">
        <v>25</v>
      </c>
      <c r="D391" s="5" t="s">
        <v>7</v>
      </c>
      <c r="E391" s="6">
        <v>33317</v>
      </c>
      <c r="F391" s="5" t="s">
        <v>11</v>
      </c>
      <c r="G391" s="5" t="s">
        <v>797</v>
      </c>
      <c r="H391" s="7">
        <v>28</v>
      </c>
      <c r="I391" s="7">
        <v>20</v>
      </c>
      <c r="J391" s="7">
        <v>12</v>
      </c>
      <c r="K391" s="7">
        <v>10</v>
      </c>
      <c r="L391" s="7">
        <v>9</v>
      </c>
      <c r="M391" s="8">
        <f>IF(COUNTIF(H391:L391,"=0")&gt;=2,0,SUM(H391:L391))</f>
        <v>79</v>
      </c>
    </row>
    <row r="392" spans="1:13" outlineLevel="2" x14ac:dyDescent="0.15">
      <c r="A392" s="4" t="s">
        <v>841</v>
      </c>
      <c r="B392" s="5" t="s">
        <v>488</v>
      </c>
      <c r="C392" s="5" t="s">
        <v>489</v>
      </c>
      <c r="D392" s="5" t="s">
        <v>7</v>
      </c>
      <c r="E392" s="6">
        <v>33393</v>
      </c>
      <c r="F392" s="5" t="s">
        <v>11</v>
      </c>
      <c r="G392" s="5" t="s">
        <v>797</v>
      </c>
      <c r="H392" s="7">
        <v>29</v>
      </c>
      <c r="I392" s="7">
        <v>19</v>
      </c>
      <c r="J392" s="7">
        <v>18</v>
      </c>
      <c r="K392" s="7">
        <v>10</v>
      </c>
      <c r="L392" s="7">
        <v>10</v>
      </c>
      <c r="M392" s="8">
        <f>IF(COUNTIF(H392:L392,"=0")&gt;=2,0,SUM(H392:L392))</f>
        <v>86</v>
      </c>
    </row>
    <row r="393" spans="1:13" outlineLevel="2" x14ac:dyDescent="0.15">
      <c r="A393" s="4" t="s">
        <v>860</v>
      </c>
      <c r="B393" s="5" t="s">
        <v>526</v>
      </c>
      <c r="C393" s="5" t="s">
        <v>527</v>
      </c>
      <c r="D393" s="5" t="s">
        <v>17</v>
      </c>
      <c r="E393" s="6">
        <v>33310</v>
      </c>
      <c r="F393" s="5" t="s">
        <v>11</v>
      </c>
      <c r="G393" s="5" t="s">
        <v>797</v>
      </c>
      <c r="H393" s="7">
        <v>21</v>
      </c>
      <c r="I393" s="7">
        <v>19</v>
      </c>
      <c r="J393" s="7">
        <v>20</v>
      </c>
      <c r="K393" s="7">
        <v>10</v>
      </c>
      <c r="L393" s="7">
        <v>10</v>
      </c>
      <c r="M393" s="8">
        <f>IF(COUNTIF(H393:L393,"=0")&gt;=2,0,SUM(H393:L393))</f>
        <v>80</v>
      </c>
    </row>
    <row r="394" spans="1:13" outlineLevel="2" x14ac:dyDescent="0.15">
      <c r="A394" s="4" t="s">
        <v>878</v>
      </c>
      <c r="B394" s="5" t="s">
        <v>51</v>
      </c>
      <c r="C394" s="5" t="s">
        <v>52</v>
      </c>
      <c r="D394" s="5" t="s">
        <v>17</v>
      </c>
      <c r="E394" s="6">
        <v>33381</v>
      </c>
      <c r="F394" s="5" t="s">
        <v>11</v>
      </c>
      <c r="G394" s="5" t="s">
        <v>798</v>
      </c>
      <c r="H394" s="7">
        <v>29</v>
      </c>
      <c r="I394" s="7">
        <v>17</v>
      </c>
      <c r="J394" s="7">
        <v>14</v>
      </c>
      <c r="K394" s="7">
        <v>9</v>
      </c>
      <c r="L394" s="7">
        <v>8</v>
      </c>
      <c r="M394" s="8">
        <f>IF(COUNTIF(H394:L394,"=0")&gt;=2,0,SUM(H394:L394))</f>
        <v>77</v>
      </c>
    </row>
    <row r="395" spans="1:13" outlineLevel="2" x14ac:dyDescent="0.15">
      <c r="A395" s="4" t="s">
        <v>887</v>
      </c>
      <c r="B395" s="5" t="s">
        <v>70</v>
      </c>
      <c r="C395" s="5" t="s">
        <v>71</v>
      </c>
      <c r="D395" s="5" t="s">
        <v>7</v>
      </c>
      <c r="E395" s="6">
        <v>33330</v>
      </c>
      <c r="F395" s="5" t="s">
        <v>11</v>
      </c>
      <c r="G395" s="5" t="s">
        <v>798</v>
      </c>
      <c r="H395" s="7">
        <v>23</v>
      </c>
      <c r="I395" s="7">
        <v>11</v>
      </c>
      <c r="J395" s="7">
        <v>12</v>
      </c>
      <c r="K395" s="7">
        <v>4</v>
      </c>
      <c r="L395" s="7">
        <v>0</v>
      </c>
      <c r="M395" s="8">
        <f>IF(COUNTIF(H395:L395,"=0")&gt;=2,0,SUM(H395:L395))</f>
        <v>50</v>
      </c>
    </row>
    <row r="396" spans="1:13" outlineLevel="2" x14ac:dyDescent="0.15">
      <c r="A396" s="4" t="s">
        <v>902</v>
      </c>
      <c r="B396" s="5" t="s">
        <v>100</v>
      </c>
      <c r="C396" s="5" t="s">
        <v>101</v>
      </c>
      <c r="D396" s="5" t="s">
        <v>17</v>
      </c>
      <c r="E396" s="6">
        <v>33507</v>
      </c>
      <c r="F396" s="5" t="s">
        <v>11</v>
      </c>
      <c r="G396" s="5" t="s">
        <v>798</v>
      </c>
      <c r="H396" s="7">
        <v>21</v>
      </c>
      <c r="I396" s="7">
        <v>17</v>
      </c>
      <c r="J396" s="7">
        <v>19</v>
      </c>
      <c r="K396" s="7">
        <v>9</v>
      </c>
      <c r="L396" s="7">
        <v>4</v>
      </c>
      <c r="M396" s="8">
        <f>IF(COUNTIF(H396:L396,"=0")&gt;=2,0,SUM(H396:L396))</f>
        <v>70</v>
      </c>
    </row>
    <row r="397" spans="1:13" outlineLevel="2" x14ac:dyDescent="0.15">
      <c r="A397" s="4" t="s">
        <v>926</v>
      </c>
      <c r="B397" s="5" t="s">
        <v>148</v>
      </c>
      <c r="C397" s="5" t="s">
        <v>149</v>
      </c>
      <c r="D397" s="5" t="s">
        <v>7</v>
      </c>
      <c r="E397" s="6">
        <v>33287</v>
      </c>
      <c r="F397" s="5" t="s">
        <v>11</v>
      </c>
      <c r="G397" s="5" t="s">
        <v>799</v>
      </c>
      <c r="H397" s="7">
        <v>22</v>
      </c>
      <c r="I397" s="7">
        <v>19</v>
      </c>
      <c r="J397" s="7">
        <v>20</v>
      </c>
      <c r="K397" s="7">
        <v>8</v>
      </c>
      <c r="L397" s="7">
        <v>5</v>
      </c>
      <c r="M397" s="8">
        <f>IF(COUNTIF(H397:L397,"=0")&gt;=2,0,SUM(H397:L397))</f>
        <v>74</v>
      </c>
    </row>
    <row r="398" spans="1:13" outlineLevel="2" x14ac:dyDescent="0.15">
      <c r="A398" s="4" t="s">
        <v>949</v>
      </c>
      <c r="B398" s="5" t="s">
        <v>194</v>
      </c>
      <c r="C398" s="5" t="s">
        <v>195</v>
      </c>
      <c r="D398" s="5" t="s">
        <v>17</v>
      </c>
      <c r="E398" s="6">
        <v>33567</v>
      </c>
      <c r="F398" s="5" t="s">
        <v>11</v>
      </c>
      <c r="G398" s="5" t="s">
        <v>800</v>
      </c>
      <c r="H398" s="7">
        <v>32</v>
      </c>
      <c r="I398" s="7">
        <v>18</v>
      </c>
      <c r="J398" s="7">
        <v>17</v>
      </c>
      <c r="K398" s="7">
        <v>10</v>
      </c>
      <c r="L398" s="7">
        <v>8</v>
      </c>
      <c r="M398" s="8">
        <f>IF(COUNTIF(H398:L398,"=0")&gt;=2,0,SUM(H398:L398))</f>
        <v>85</v>
      </c>
    </row>
    <row r="399" spans="1:13" outlineLevel="2" x14ac:dyDescent="0.15">
      <c r="A399" s="4" t="s">
        <v>976</v>
      </c>
      <c r="B399" s="5" t="s">
        <v>248</v>
      </c>
      <c r="C399" s="5" t="s">
        <v>249</v>
      </c>
      <c r="D399" s="5" t="s">
        <v>17</v>
      </c>
      <c r="E399" s="6">
        <v>33562</v>
      </c>
      <c r="F399" s="5" t="s">
        <v>11</v>
      </c>
      <c r="G399" s="5" t="s">
        <v>801</v>
      </c>
      <c r="H399" s="7">
        <v>30</v>
      </c>
      <c r="I399" s="7">
        <v>18</v>
      </c>
      <c r="J399" s="7">
        <v>18</v>
      </c>
      <c r="K399" s="7">
        <v>10</v>
      </c>
      <c r="L399" s="7">
        <v>8</v>
      </c>
      <c r="M399" s="8">
        <f>IF(COUNTIF(H399:L399,"=0")&gt;=2,0,SUM(H399:L399))</f>
        <v>84</v>
      </c>
    </row>
    <row r="400" spans="1:13" outlineLevel="2" x14ac:dyDescent="0.15">
      <c r="A400" s="4" t="s">
        <v>1002</v>
      </c>
      <c r="B400" s="5" t="s">
        <v>300</v>
      </c>
      <c r="C400" s="5" t="s">
        <v>301</v>
      </c>
      <c r="D400" s="5" t="s">
        <v>7</v>
      </c>
      <c r="E400" s="6">
        <v>33413</v>
      </c>
      <c r="F400" s="5" t="s">
        <v>11</v>
      </c>
      <c r="G400" s="5" t="s">
        <v>801</v>
      </c>
      <c r="H400" s="7">
        <v>36</v>
      </c>
      <c r="I400" s="7">
        <v>18</v>
      </c>
      <c r="J400" s="7">
        <v>19</v>
      </c>
      <c r="K400" s="7">
        <v>10</v>
      </c>
      <c r="L400" s="7">
        <v>9</v>
      </c>
      <c r="M400" s="8">
        <f>IF(COUNTIF(H400:L400,"=0")&gt;=2,0,SUM(H400:L400))</f>
        <v>92</v>
      </c>
    </row>
    <row r="401" spans="1:13" ht="22.5" outlineLevel="1" x14ac:dyDescent="0.15">
      <c r="A401" s="10"/>
      <c r="B401" s="11"/>
      <c r="C401" s="11"/>
      <c r="D401" s="11"/>
      <c r="E401" s="12"/>
      <c r="F401" s="15" t="s">
        <v>1214</v>
      </c>
      <c r="G401" s="11"/>
      <c r="H401" s="13"/>
      <c r="I401" s="13"/>
      <c r="J401" s="13"/>
      <c r="K401" s="13"/>
      <c r="L401" s="13"/>
      <c r="M401" s="14">
        <f>SUBTOTAL(1,M390:M400)</f>
        <v>76.818181818181813</v>
      </c>
    </row>
    <row r="402" spans="1:13" ht="22.5" x14ac:dyDescent="0.15">
      <c r="A402" s="10"/>
      <c r="B402" s="11"/>
      <c r="C402" s="11"/>
      <c r="D402" s="11"/>
      <c r="E402" s="12"/>
      <c r="F402" s="15" t="s">
        <v>1215</v>
      </c>
      <c r="G402" s="11"/>
      <c r="H402" s="13"/>
      <c r="I402" s="13"/>
      <c r="J402" s="13"/>
      <c r="K402" s="13"/>
      <c r="L402" s="13"/>
      <c r="M402" s="14">
        <f>SUBTOTAL(1,M3:M400)</f>
        <v>71.142131979695435</v>
      </c>
    </row>
  </sheetData>
  <sortState ref="A3:M396">
    <sortCondition ref="F3:F396"/>
  </sortState>
  <phoneticPr fontId="7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Q13" sqref="Q13"/>
    </sheetView>
  </sheetViews>
  <sheetFormatPr defaultRowHeight="14.25" x14ac:dyDescent="0.15"/>
  <cols>
    <col min="1" max="1" width="12.75" bestFit="1" customWidth="1"/>
  </cols>
  <sheetData>
    <row r="1" spans="1:2" x14ac:dyDescent="0.15">
      <c r="A1" s="16" t="str">
        <f>Sheet2!F20</f>
        <v>北京 平均值</v>
      </c>
      <c r="B1" s="16">
        <f>Sheet2!M20</f>
        <v>65.529411764705884</v>
      </c>
    </row>
    <row r="2" spans="1:2" x14ac:dyDescent="0.15">
      <c r="A2" s="16" t="str">
        <f>Sheet2!F39</f>
        <v>河南 平均值</v>
      </c>
      <c r="B2" s="16">
        <f>Sheet2!M39</f>
        <v>64.944444444444443</v>
      </c>
    </row>
    <row r="3" spans="1:2" x14ac:dyDescent="0.15">
      <c r="A3" s="16" t="str">
        <f>Sheet2!F360</f>
        <v>江苏 平均值</v>
      </c>
      <c r="B3" s="16">
        <f>Sheet2!M360</f>
        <v>72.231250000000003</v>
      </c>
    </row>
    <row r="4" spans="1:2" x14ac:dyDescent="0.15">
      <c r="A4" s="16" t="str">
        <f>Sheet2!F389</f>
        <v>山东 平均值</v>
      </c>
      <c r="B4" s="16">
        <f>Sheet2!M389</f>
        <v>63.857142857142854</v>
      </c>
    </row>
    <row r="5" spans="1:2" x14ac:dyDescent="0.15">
      <c r="A5" s="16" t="str">
        <f>Sheet2!F401</f>
        <v>上海 平均值</v>
      </c>
      <c r="B5" s="16">
        <f>Sheet2!M401</f>
        <v>76.818181818181813</v>
      </c>
    </row>
    <row r="6" spans="1:2" x14ac:dyDescent="0.15">
      <c r="A6" s="16" t="str">
        <f>Sheet2!F402</f>
        <v>总计平均值</v>
      </c>
      <c r="B6" s="16">
        <f>Sheet2!M402</f>
        <v>71.142131979695435</v>
      </c>
    </row>
  </sheetData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Sheet1!Criteria</vt:lpstr>
      <vt:lpstr>Sheet1!提取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SD</cp:lastModifiedBy>
  <dcterms:created xsi:type="dcterms:W3CDTF">2014-03-02T03:24:38Z</dcterms:created>
  <dcterms:modified xsi:type="dcterms:W3CDTF">2018-10-22T08:12:21Z</dcterms:modified>
</cp:coreProperties>
</file>