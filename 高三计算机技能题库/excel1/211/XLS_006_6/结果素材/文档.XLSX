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蔬菜销售统计表" sheetId="2" r:id="rId2"/>
    <sheet name="Sheet3" sheetId="3" r:id="rId3"/>
    <sheet name="筛选" sheetId="4" r:id="rId4"/>
    <sheet name="排序" sheetId="5" r:id="rId5"/>
    <sheet name="图表" sheetId="7" r:id="rId6"/>
  </sheets>
  <definedNames>
    <definedName name="_xlnm.Criteria" localSheetId="3">筛选!$A$1:$B$2</definedName>
    <definedName name="_xlnm.Extract" localSheetId="3">筛选!$A$6:$I$6</definedName>
  </definedNames>
  <calcPr calcId="144525"/>
</workbook>
</file>

<file path=xl/calcChain.xml><?xml version="1.0" encoding="utf-8"?>
<calcChain xmlns="http://schemas.openxmlformats.org/spreadsheetml/2006/main">
  <c r="G13" i="5" l="1"/>
  <c r="G3" i="5"/>
  <c r="G7" i="5"/>
  <c r="G5" i="5"/>
  <c r="G6" i="5"/>
  <c r="G15" i="5"/>
  <c r="G14" i="5"/>
  <c r="G10" i="5"/>
  <c r="G4" i="5"/>
  <c r="G8" i="5"/>
  <c r="G17" i="5"/>
  <c r="G12" i="5"/>
  <c r="G16" i="5"/>
  <c r="G9" i="5"/>
  <c r="G11" i="5"/>
  <c r="B20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3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18" i="2" s="1"/>
  <c r="G4" i="2"/>
  <c r="G3" i="2"/>
  <c r="G1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G18" i="5" l="1"/>
</calcChain>
</file>

<file path=xl/sharedStrings.xml><?xml version="1.0" encoding="utf-8"?>
<sst xmlns="http://schemas.openxmlformats.org/spreadsheetml/2006/main" count="173" uniqueCount="36">
  <si>
    <t>产地</t>
    <phoneticPr fontId="1" type="noConversion"/>
  </si>
  <si>
    <t>蔬菜名称</t>
    <phoneticPr fontId="1" type="noConversion"/>
  </si>
  <si>
    <t>圆白菜</t>
    <phoneticPr fontId="1" type="noConversion"/>
  </si>
  <si>
    <t>青椒</t>
    <phoneticPr fontId="1" type="noConversion"/>
  </si>
  <si>
    <t>紫皮洋葱</t>
    <phoneticPr fontId="1" type="noConversion"/>
  </si>
  <si>
    <t>江苏</t>
    <phoneticPr fontId="1" type="noConversion"/>
  </si>
  <si>
    <t>胡萝卜</t>
    <phoneticPr fontId="1" type="noConversion"/>
  </si>
  <si>
    <t>土豆</t>
    <phoneticPr fontId="1" type="noConversion"/>
  </si>
  <si>
    <t>上海青菜</t>
    <phoneticPr fontId="1" type="noConversion"/>
  </si>
  <si>
    <t>荠菜</t>
    <phoneticPr fontId="1" type="noConversion"/>
  </si>
  <si>
    <t>胡葱</t>
    <phoneticPr fontId="1" type="noConversion"/>
  </si>
  <si>
    <t>山东</t>
    <phoneticPr fontId="1" type="noConversion"/>
  </si>
  <si>
    <t>安徽</t>
    <phoneticPr fontId="1" type="noConversion"/>
  </si>
  <si>
    <t>河南</t>
    <phoneticPr fontId="1" type="noConversion"/>
  </si>
  <si>
    <t>金花菜</t>
    <phoneticPr fontId="1" type="noConversion"/>
  </si>
  <si>
    <t>莲藕</t>
    <phoneticPr fontId="1" type="noConversion"/>
  </si>
  <si>
    <t>豆苗</t>
    <phoneticPr fontId="1" type="noConversion"/>
  </si>
  <si>
    <t>紫甘蓝</t>
    <phoneticPr fontId="1" type="noConversion"/>
  </si>
  <si>
    <t>白萝卜</t>
    <phoneticPr fontId="1" type="noConversion"/>
  </si>
  <si>
    <t>蒜苗</t>
    <phoneticPr fontId="1" type="noConversion"/>
  </si>
  <si>
    <t>蚕豆</t>
    <phoneticPr fontId="1" type="noConversion"/>
  </si>
  <si>
    <t>3月销量（吨）</t>
    <phoneticPr fontId="1" type="noConversion"/>
  </si>
  <si>
    <t>4月销量（吨）</t>
    <phoneticPr fontId="1" type="noConversion"/>
  </si>
  <si>
    <t>5月销量（吨）</t>
    <phoneticPr fontId="1" type="noConversion"/>
  </si>
  <si>
    <t>6月销量（吨）</t>
    <phoneticPr fontId="1" type="noConversion"/>
  </si>
  <si>
    <t>销售总量</t>
    <phoneticPr fontId="1" type="noConversion"/>
  </si>
  <si>
    <t>总销量(吨)</t>
    <phoneticPr fontId="1" type="noConversion"/>
  </si>
  <si>
    <t>江苏</t>
    <phoneticPr fontId="1" type="noConversion"/>
  </si>
  <si>
    <t>南城蔬菜批发市场销售统计表</t>
  </si>
  <si>
    <t>销售最高月份</t>
  </si>
  <si>
    <t>所占比</t>
  </si>
  <si>
    <t>安徽5月</t>
  </si>
  <si>
    <t>产地</t>
    <phoneticPr fontId="3" type="noConversion"/>
  </si>
  <si>
    <t>总销量(吨)</t>
    <phoneticPr fontId="3" type="noConversion"/>
  </si>
  <si>
    <t>江苏</t>
    <phoneticPr fontId="3" type="noConversion"/>
  </si>
  <si>
    <t>&gt;=50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</si>
</sst>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b/>
      <sz val="16"/>
      <color rgb="FFFF0000"/>
      <name val="黑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销售总量统计图</a:t>
            </a:r>
            <a:endParaRPr lang="en-US" altLang="zh-CN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总销量(吨)</c:v>
                </c:pt>
              </c:strCache>
            </c:strRef>
          </c:tx>
          <c:invertIfNegative val="0"/>
          <c:cat>
            <c:strRef>
              <c:f>Sheet1!$A$3:$A$17</c:f>
              <c:strCache>
                <c:ptCount val="15"/>
                <c:pt idx="0">
                  <c:v>圆白菜</c:v>
                </c:pt>
                <c:pt idx="1">
                  <c:v>青椒</c:v>
                </c:pt>
                <c:pt idx="2">
                  <c:v>紫皮洋葱</c:v>
                </c:pt>
                <c:pt idx="3">
                  <c:v>胡萝卜</c:v>
                </c:pt>
                <c:pt idx="4">
                  <c:v>土豆</c:v>
                </c:pt>
                <c:pt idx="5">
                  <c:v>上海青菜</c:v>
                </c:pt>
                <c:pt idx="6">
                  <c:v>荠菜</c:v>
                </c:pt>
                <c:pt idx="7">
                  <c:v>胡葱</c:v>
                </c:pt>
                <c:pt idx="8">
                  <c:v>金花菜</c:v>
                </c:pt>
                <c:pt idx="9">
                  <c:v>莲藕</c:v>
                </c:pt>
                <c:pt idx="10">
                  <c:v>豆苗</c:v>
                </c:pt>
                <c:pt idx="11">
                  <c:v>紫甘蓝</c:v>
                </c:pt>
                <c:pt idx="12">
                  <c:v>白萝卜</c:v>
                </c:pt>
                <c:pt idx="13">
                  <c:v>蒜苗</c:v>
                </c:pt>
                <c:pt idx="14">
                  <c:v>蚕豆</c:v>
                </c:pt>
              </c:strCache>
            </c:strRef>
          </c:cat>
          <c:val>
            <c:numRef>
              <c:f>Sheet1!$G$3:$G$17</c:f>
              <c:numCache>
                <c:formatCode>General</c:formatCode>
                <c:ptCount val="15"/>
                <c:pt idx="0">
                  <c:v>53.2</c:v>
                </c:pt>
                <c:pt idx="1">
                  <c:v>42.3</c:v>
                </c:pt>
                <c:pt idx="2">
                  <c:v>56.3</c:v>
                </c:pt>
                <c:pt idx="3">
                  <c:v>58</c:v>
                </c:pt>
                <c:pt idx="4">
                  <c:v>87.600000000000009</c:v>
                </c:pt>
                <c:pt idx="5">
                  <c:v>102.2</c:v>
                </c:pt>
                <c:pt idx="6">
                  <c:v>22.4</c:v>
                </c:pt>
                <c:pt idx="7">
                  <c:v>50.7</c:v>
                </c:pt>
                <c:pt idx="8">
                  <c:v>34.5</c:v>
                </c:pt>
                <c:pt idx="9">
                  <c:v>46.6</c:v>
                </c:pt>
                <c:pt idx="10">
                  <c:v>31.700000000000003</c:v>
                </c:pt>
                <c:pt idx="11">
                  <c:v>23.9</c:v>
                </c:pt>
                <c:pt idx="12">
                  <c:v>71.599999999999994</c:v>
                </c:pt>
                <c:pt idx="13">
                  <c:v>22</c:v>
                </c:pt>
                <c:pt idx="14">
                  <c:v>19.899999999999999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603968"/>
        <c:axId val="81626240"/>
        <c:axId val="0"/>
      </c:bar3DChart>
      <c:catAx>
        <c:axId val="81603968"/>
        <c:scaling>
          <c:orientation val="minMax"/>
        </c:scaling>
        <c:delete val="0"/>
        <c:axPos val="b"/>
        <c:majorTickMark val="out"/>
        <c:minorTickMark val="none"/>
        <c:tickLblPos val="nextTo"/>
        <c:crossAx val="81626240"/>
        <c:crosses val="autoZero"/>
        <c:auto val="1"/>
        <c:lblAlgn val="ctr"/>
        <c:lblOffset val="100"/>
        <c:noMultiLvlLbl val="0"/>
      </c:catAx>
      <c:valAx>
        <c:axId val="8162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60396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975" cy="607670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8"/>
  <sheetViews>
    <sheetView tabSelected="1" workbookViewId="0">
      <selection activeCell="B22" sqref="B22"/>
    </sheetView>
  </sheetViews>
  <sheetFormatPr defaultRowHeight="14.25" x14ac:dyDescent="0.15"/>
  <cols>
    <col min="3" max="6" width="13.875" bestFit="1" customWidth="1"/>
    <col min="7" max="7" width="11.625" bestFit="1" customWidth="1"/>
    <col min="8" max="8" width="12.75" bestFit="1" customWidth="1"/>
  </cols>
  <sheetData>
    <row r="1" spans="1:7" ht="20.25" x14ac:dyDescent="0.25">
      <c r="A1" s="11" t="s">
        <v>28</v>
      </c>
      <c r="B1" s="11"/>
      <c r="C1" s="11"/>
      <c r="D1" s="11"/>
      <c r="E1" s="11"/>
      <c r="F1" s="11"/>
    </row>
    <row r="2" spans="1:7" x14ac:dyDescent="0.15">
      <c r="A2" t="s">
        <v>1</v>
      </c>
      <c r="B2" t="s">
        <v>0</v>
      </c>
      <c r="C2" t="s">
        <v>21</v>
      </c>
      <c r="D2" t="s">
        <v>22</v>
      </c>
      <c r="E2" t="s">
        <v>23</v>
      </c>
      <c r="F2" t="s">
        <v>24</v>
      </c>
      <c r="G2" t="s">
        <v>26</v>
      </c>
    </row>
    <row r="3" spans="1:7" x14ac:dyDescent="0.15">
      <c r="A3" t="s">
        <v>2</v>
      </c>
      <c r="B3" t="s">
        <v>13</v>
      </c>
      <c r="C3">
        <v>11.5</v>
      </c>
      <c r="D3">
        <v>16.8</v>
      </c>
      <c r="E3">
        <v>13.4</v>
      </c>
      <c r="F3">
        <v>11.5</v>
      </c>
      <c r="G3">
        <f>C3+D3+E3+F3</f>
        <v>53.2</v>
      </c>
    </row>
    <row r="4" spans="1:7" x14ac:dyDescent="0.15">
      <c r="A4" t="s">
        <v>3</v>
      </c>
      <c r="B4" t="s">
        <v>11</v>
      </c>
      <c r="C4">
        <v>9.8000000000000007</v>
      </c>
      <c r="D4">
        <v>8.6</v>
      </c>
      <c r="E4">
        <v>11.2</v>
      </c>
      <c r="F4">
        <v>12.7</v>
      </c>
      <c r="G4">
        <f t="shared" ref="G4:G17" si="0">C4+D4+E4+F4</f>
        <v>42.3</v>
      </c>
    </row>
    <row r="5" spans="1:7" x14ac:dyDescent="0.15">
      <c r="A5" t="s">
        <v>4</v>
      </c>
      <c r="B5" t="s">
        <v>12</v>
      </c>
      <c r="C5">
        <v>15.6</v>
      </c>
      <c r="D5">
        <v>13.7</v>
      </c>
      <c r="E5">
        <v>12.1</v>
      </c>
      <c r="F5">
        <v>14.9</v>
      </c>
      <c r="G5">
        <f t="shared" si="0"/>
        <v>56.3</v>
      </c>
    </row>
    <row r="6" spans="1:7" x14ac:dyDescent="0.15">
      <c r="A6" t="s">
        <v>6</v>
      </c>
      <c r="B6" t="s">
        <v>13</v>
      </c>
      <c r="C6">
        <v>11.6</v>
      </c>
      <c r="D6">
        <v>21.3</v>
      </c>
      <c r="E6">
        <v>6.9</v>
      </c>
      <c r="F6">
        <v>18.2</v>
      </c>
      <c r="G6">
        <f t="shared" si="0"/>
        <v>58</v>
      </c>
    </row>
    <row r="7" spans="1:7" x14ac:dyDescent="0.15">
      <c r="A7" t="s">
        <v>7</v>
      </c>
      <c r="B7" t="s">
        <v>12</v>
      </c>
      <c r="C7">
        <v>20.5</v>
      </c>
      <c r="D7">
        <v>25.7</v>
      </c>
      <c r="E7">
        <v>19.600000000000001</v>
      </c>
      <c r="F7">
        <v>21.8</v>
      </c>
      <c r="G7">
        <f t="shared" si="0"/>
        <v>87.600000000000009</v>
      </c>
    </row>
    <row r="8" spans="1:7" x14ac:dyDescent="0.15">
      <c r="A8" t="s">
        <v>8</v>
      </c>
      <c r="B8" t="s">
        <v>5</v>
      </c>
      <c r="C8">
        <v>25.9</v>
      </c>
      <c r="D8">
        <v>21.6</v>
      </c>
      <c r="E8">
        <v>28.4</v>
      </c>
      <c r="F8">
        <v>26.3</v>
      </c>
      <c r="G8">
        <f t="shared" si="0"/>
        <v>102.2</v>
      </c>
    </row>
    <row r="9" spans="1:7" x14ac:dyDescent="0.15">
      <c r="A9" t="s">
        <v>9</v>
      </c>
      <c r="B9" t="s">
        <v>5</v>
      </c>
      <c r="C9">
        <v>5.6</v>
      </c>
      <c r="D9">
        <v>6.3</v>
      </c>
      <c r="E9">
        <v>7.4</v>
      </c>
      <c r="F9">
        <v>3.1</v>
      </c>
      <c r="G9">
        <f t="shared" si="0"/>
        <v>22.4</v>
      </c>
    </row>
    <row r="10" spans="1:7" x14ac:dyDescent="0.15">
      <c r="A10" t="s">
        <v>10</v>
      </c>
      <c r="B10" t="s">
        <v>11</v>
      </c>
      <c r="C10">
        <v>10.5</v>
      </c>
      <c r="D10">
        <v>12.9</v>
      </c>
      <c r="E10">
        <v>13.1</v>
      </c>
      <c r="F10">
        <v>14.2</v>
      </c>
      <c r="G10">
        <f t="shared" si="0"/>
        <v>50.7</v>
      </c>
    </row>
    <row r="11" spans="1:7" x14ac:dyDescent="0.15">
      <c r="A11" t="s">
        <v>14</v>
      </c>
      <c r="B11" t="s">
        <v>12</v>
      </c>
      <c r="C11">
        <v>8.9</v>
      </c>
      <c r="D11">
        <v>9.1</v>
      </c>
      <c r="E11">
        <v>7.9</v>
      </c>
      <c r="F11">
        <v>8.6</v>
      </c>
      <c r="G11">
        <f t="shared" si="0"/>
        <v>34.5</v>
      </c>
    </row>
    <row r="12" spans="1:7" x14ac:dyDescent="0.15">
      <c r="A12" t="s">
        <v>15</v>
      </c>
      <c r="B12" t="s">
        <v>12</v>
      </c>
      <c r="C12">
        <v>9.6</v>
      </c>
      <c r="D12">
        <v>11.5</v>
      </c>
      <c r="E12">
        <v>12.4</v>
      </c>
      <c r="F12">
        <v>13.1</v>
      </c>
      <c r="G12">
        <f t="shared" si="0"/>
        <v>46.6</v>
      </c>
    </row>
    <row r="13" spans="1:7" x14ac:dyDescent="0.15">
      <c r="A13" t="s">
        <v>16</v>
      </c>
      <c r="B13" t="s">
        <v>5</v>
      </c>
      <c r="C13">
        <v>7.5</v>
      </c>
      <c r="D13">
        <v>8.1</v>
      </c>
      <c r="E13">
        <v>8.5</v>
      </c>
      <c r="F13">
        <v>7.6</v>
      </c>
      <c r="G13">
        <f t="shared" si="0"/>
        <v>31.700000000000003</v>
      </c>
    </row>
    <row r="14" spans="1:7" x14ac:dyDescent="0.15">
      <c r="A14" t="s">
        <v>17</v>
      </c>
      <c r="B14" t="s">
        <v>5</v>
      </c>
      <c r="C14">
        <v>5.6</v>
      </c>
      <c r="D14">
        <v>6.3</v>
      </c>
      <c r="E14">
        <v>4.9000000000000004</v>
      </c>
      <c r="F14">
        <v>7.1</v>
      </c>
      <c r="G14">
        <f t="shared" si="0"/>
        <v>23.9</v>
      </c>
    </row>
    <row r="15" spans="1:7" x14ac:dyDescent="0.15">
      <c r="A15" t="s">
        <v>18</v>
      </c>
      <c r="B15" t="s">
        <v>27</v>
      </c>
      <c r="C15">
        <v>19.5</v>
      </c>
      <c r="D15">
        <v>17.399999999999999</v>
      </c>
      <c r="E15">
        <v>18.2</v>
      </c>
      <c r="F15">
        <v>16.5</v>
      </c>
      <c r="G15">
        <f t="shared" si="0"/>
        <v>71.599999999999994</v>
      </c>
    </row>
    <row r="16" spans="1:7" x14ac:dyDescent="0.15">
      <c r="A16" t="s">
        <v>19</v>
      </c>
      <c r="B16" t="s">
        <v>5</v>
      </c>
      <c r="C16">
        <v>3.6</v>
      </c>
      <c r="D16">
        <v>4.5</v>
      </c>
      <c r="E16">
        <v>6.5</v>
      </c>
      <c r="F16">
        <v>7.4</v>
      </c>
      <c r="G16">
        <f t="shared" si="0"/>
        <v>22</v>
      </c>
    </row>
    <row r="17" spans="1:7" x14ac:dyDescent="0.15">
      <c r="A17" t="s">
        <v>20</v>
      </c>
      <c r="B17" t="s">
        <v>12</v>
      </c>
      <c r="C17">
        <v>3.1</v>
      </c>
      <c r="D17">
        <v>4.5</v>
      </c>
      <c r="E17">
        <v>5.4</v>
      </c>
      <c r="F17">
        <v>6.9</v>
      </c>
      <c r="G17">
        <f t="shared" si="0"/>
        <v>19.899999999999999</v>
      </c>
    </row>
    <row r="18" spans="1:7" x14ac:dyDescent="0.15">
      <c r="A18" t="s">
        <v>25</v>
      </c>
      <c r="G18">
        <f>SUM(G3:G17)</f>
        <v>722.9</v>
      </c>
    </row>
  </sheetData>
  <mergeCells count="1">
    <mergeCell ref="A1:F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0"/>
  <sheetViews>
    <sheetView workbookViewId="0">
      <selection activeCell="A2" sqref="A2:I17"/>
    </sheetView>
  </sheetViews>
  <sheetFormatPr defaultRowHeight="14.25" x14ac:dyDescent="0.15"/>
  <sheetData>
    <row r="1" spans="1:9" ht="20.25" x14ac:dyDescent="0.25">
      <c r="A1" s="11" t="s">
        <v>28</v>
      </c>
      <c r="B1" s="11"/>
      <c r="C1" s="11"/>
      <c r="D1" s="11"/>
      <c r="E1" s="11"/>
      <c r="F1" s="11"/>
    </row>
    <row r="2" spans="1:9" x14ac:dyDescent="0.15">
      <c r="A2" t="s">
        <v>1</v>
      </c>
      <c r="B2" t="s">
        <v>0</v>
      </c>
      <c r="C2" t="s">
        <v>21</v>
      </c>
      <c r="D2" t="s">
        <v>22</v>
      </c>
      <c r="E2" t="s">
        <v>23</v>
      </c>
      <c r="F2" t="s">
        <v>24</v>
      </c>
      <c r="G2" t="s">
        <v>26</v>
      </c>
      <c r="H2" t="s">
        <v>29</v>
      </c>
      <c r="I2" t="s">
        <v>30</v>
      </c>
    </row>
    <row r="3" spans="1:9" x14ac:dyDescent="0.15">
      <c r="A3" t="s">
        <v>2</v>
      </c>
      <c r="B3" t="s">
        <v>13</v>
      </c>
      <c r="C3">
        <v>11.5</v>
      </c>
      <c r="D3">
        <v>16.8</v>
      </c>
      <c r="E3">
        <v>13.4</v>
      </c>
      <c r="F3">
        <v>11.5</v>
      </c>
      <c r="G3">
        <f>C3+D3+E3+F3</f>
        <v>53.2</v>
      </c>
      <c r="H3">
        <f>MAX(C3:F3)</f>
        <v>16.8</v>
      </c>
      <c r="I3" s="1">
        <f>G3/$G$18</f>
        <v>7.3592474754461207E-2</v>
      </c>
    </row>
    <row r="4" spans="1:9" x14ac:dyDescent="0.15">
      <c r="A4" t="s">
        <v>3</v>
      </c>
      <c r="B4" t="s">
        <v>11</v>
      </c>
      <c r="C4">
        <v>9.8000000000000007</v>
      </c>
      <c r="D4">
        <v>8.6</v>
      </c>
      <c r="E4">
        <v>11.2</v>
      </c>
      <c r="F4">
        <v>12.7</v>
      </c>
      <c r="G4">
        <f t="shared" ref="G4:G17" si="0">C4+D4+E4+F4</f>
        <v>42.3</v>
      </c>
      <c r="H4">
        <f t="shared" ref="H4:H17" si="1">MAX(C4:F4)</f>
        <v>12.7</v>
      </c>
      <c r="I4" s="1">
        <f t="shared" ref="I4:I17" si="2">G4/$G$18</f>
        <v>5.8514317332964444E-2</v>
      </c>
    </row>
    <row r="5" spans="1:9" x14ac:dyDescent="0.15">
      <c r="A5" t="s">
        <v>4</v>
      </c>
      <c r="B5" t="s">
        <v>12</v>
      </c>
      <c r="C5">
        <v>15.6</v>
      </c>
      <c r="D5">
        <v>13.7</v>
      </c>
      <c r="E5">
        <v>12.1</v>
      </c>
      <c r="F5">
        <v>14.9</v>
      </c>
      <c r="G5">
        <f t="shared" si="0"/>
        <v>56.3</v>
      </c>
      <c r="H5">
        <f t="shared" si="1"/>
        <v>15.6</v>
      </c>
      <c r="I5" s="1">
        <f t="shared" si="2"/>
        <v>7.7880758057822658E-2</v>
      </c>
    </row>
    <row r="6" spans="1:9" x14ac:dyDescent="0.15">
      <c r="A6" t="s">
        <v>6</v>
      </c>
      <c r="B6" t="s">
        <v>13</v>
      </c>
      <c r="C6">
        <v>11.6</v>
      </c>
      <c r="D6">
        <v>21.3</v>
      </c>
      <c r="E6">
        <v>6.9</v>
      </c>
      <c r="F6">
        <v>18.2</v>
      </c>
      <c r="G6">
        <f t="shared" si="0"/>
        <v>58</v>
      </c>
      <c r="H6">
        <f t="shared" si="1"/>
        <v>21.3</v>
      </c>
      <c r="I6" s="1">
        <f t="shared" si="2"/>
        <v>8.0232397288698298E-2</v>
      </c>
    </row>
    <row r="7" spans="1:9" x14ac:dyDescent="0.15">
      <c r="A7" t="s">
        <v>7</v>
      </c>
      <c r="B7" t="s">
        <v>12</v>
      </c>
      <c r="C7">
        <v>20.5</v>
      </c>
      <c r="D7">
        <v>25.7</v>
      </c>
      <c r="E7">
        <v>19.600000000000001</v>
      </c>
      <c r="F7">
        <v>21.8</v>
      </c>
      <c r="G7">
        <f t="shared" si="0"/>
        <v>87.600000000000009</v>
      </c>
      <c r="H7">
        <f t="shared" si="1"/>
        <v>25.7</v>
      </c>
      <c r="I7" s="1">
        <f t="shared" si="2"/>
        <v>0.12117858624982709</v>
      </c>
    </row>
    <row r="8" spans="1:9" x14ac:dyDescent="0.15">
      <c r="A8" t="s">
        <v>8</v>
      </c>
      <c r="B8" t="s">
        <v>5</v>
      </c>
      <c r="C8">
        <v>25.9</v>
      </c>
      <c r="D8">
        <v>21.6</v>
      </c>
      <c r="E8">
        <v>28.4</v>
      </c>
      <c r="F8">
        <v>26.3</v>
      </c>
      <c r="G8">
        <f t="shared" si="0"/>
        <v>102.2</v>
      </c>
      <c r="H8">
        <f t="shared" si="1"/>
        <v>28.4</v>
      </c>
      <c r="I8" s="1">
        <f t="shared" si="2"/>
        <v>0.14137501729146495</v>
      </c>
    </row>
    <row r="9" spans="1:9" x14ac:dyDescent="0.15">
      <c r="A9" t="s">
        <v>9</v>
      </c>
      <c r="B9" t="s">
        <v>5</v>
      </c>
      <c r="C9">
        <v>5.6</v>
      </c>
      <c r="D9">
        <v>6.3</v>
      </c>
      <c r="E9">
        <v>7.4</v>
      </c>
      <c r="F9">
        <v>3.1</v>
      </c>
      <c r="G9">
        <f t="shared" si="0"/>
        <v>22.4</v>
      </c>
      <c r="H9">
        <f t="shared" si="1"/>
        <v>7.4</v>
      </c>
      <c r="I9" s="1">
        <f t="shared" si="2"/>
        <v>3.0986305159773134E-2</v>
      </c>
    </row>
    <row r="10" spans="1:9" x14ac:dyDescent="0.15">
      <c r="A10" t="s">
        <v>10</v>
      </c>
      <c r="B10" t="s">
        <v>11</v>
      </c>
      <c r="C10">
        <v>10.5</v>
      </c>
      <c r="D10">
        <v>12.9</v>
      </c>
      <c r="E10">
        <v>13.1</v>
      </c>
      <c r="F10">
        <v>14.2</v>
      </c>
      <c r="G10">
        <f t="shared" si="0"/>
        <v>50.7</v>
      </c>
      <c r="H10">
        <f t="shared" si="1"/>
        <v>14.2</v>
      </c>
      <c r="I10" s="1">
        <f t="shared" si="2"/>
        <v>7.0134181767879375E-2</v>
      </c>
    </row>
    <row r="11" spans="1:9" x14ac:dyDescent="0.15">
      <c r="A11" t="s">
        <v>14</v>
      </c>
      <c r="B11" t="s">
        <v>12</v>
      </c>
      <c r="C11">
        <v>8.9</v>
      </c>
      <c r="D11">
        <v>9.1</v>
      </c>
      <c r="E11">
        <v>7.9</v>
      </c>
      <c r="F11">
        <v>8.6</v>
      </c>
      <c r="G11">
        <f t="shared" si="0"/>
        <v>34.5</v>
      </c>
      <c r="H11">
        <f t="shared" si="1"/>
        <v>9.1</v>
      </c>
      <c r="I11" s="1">
        <f t="shared" si="2"/>
        <v>4.772444321482916E-2</v>
      </c>
    </row>
    <row r="12" spans="1:9" x14ac:dyDescent="0.15">
      <c r="A12" t="s">
        <v>15</v>
      </c>
      <c r="B12" t="s">
        <v>12</v>
      </c>
      <c r="C12">
        <v>9.6</v>
      </c>
      <c r="D12">
        <v>11.5</v>
      </c>
      <c r="E12">
        <v>12.4</v>
      </c>
      <c r="F12">
        <v>13.1</v>
      </c>
      <c r="G12">
        <f t="shared" si="0"/>
        <v>46.6</v>
      </c>
      <c r="H12">
        <f t="shared" si="1"/>
        <v>13.1</v>
      </c>
      <c r="I12" s="1">
        <f t="shared" si="2"/>
        <v>6.4462581269885189E-2</v>
      </c>
    </row>
    <row r="13" spans="1:9" x14ac:dyDescent="0.15">
      <c r="A13" t="s">
        <v>16</v>
      </c>
      <c r="B13" t="s">
        <v>5</v>
      </c>
      <c r="C13">
        <v>7.5</v>
      </c>
      <c r="D13">
        <v>8.1</v>
      </c>
      <c r="E13">
        <v>8.5</v>
      </c>
      <c r="F13">
        <v>7.6</v>
      </c>
      <c r="G13">
        <f t="shared" si="0"/>
        <v>31.700000000000003</v>
      </c>
      <c r="H13">
        <f t="shared" si="1"/>
        <v>8.5</v>
      </c>
      <c r="I13" s="1">
        <f t="shared" si="2"/>
        <v>4.3851155069857525E-2</v>
      </c>
    </row>
    <row r="14" spans="1:9" x14ac:dyDescent="0.15">
      <c r="A14" t="s">
        <v>17</v>
      </c>
      <c r="B14" t="s">
        <v>5</v>
      </c>
      <c r="C14">
        <v>5.6</v>
      </c>
      <c r="D14">
        <v>6.3</v>
      </c>
      <c r="E14">
        <v>4.9000000000000004</v>
      </c>
      <c r="F14">
        <v>7.1</v>
      </c>
      <c r="G14">
        <f t="shared" si="0"/>
        <v>23.9</v>
      </c>
      <c r="H14">
        <f t="shared" si="1"/>
        <v>7.1</v>
      </c>
      <c r="I14" s="1">
        <f t="shared" si="2"/>
        <v>3.3061280951722227E-2</v>
      </c>
    </row>
    <row r="15" spans="1:9" x14ac:dyDescent="0.15">
      <c r="A15" t="s">
        <v>18</v>
      </c>
      <c r="B15" t="s">
        <v>5</v>
      </c>
      <c r="C15">
        <v>19.5</v>
      </c>
      <c r="D15">
        <v>17.399999999999999</v>
      </c>
      <c r="E15">
        <v>18.2</v>
      </c>
      <c r="F15">
        <v>16.5</v>
      </c>
      <c r="G15">
        <f t="shared" si="0"/>
        <v>71.599999999999994</v>
      </c>
      <c r="H15">
        <f t="shared" si="1"/>
        <v>19.5</v>
      </c>
      <c r="I15" s="1">
        <f t="shared" si="2"/>
        <v>9.904551113570341E-2</v>
      </c>
    </row>
    <row r="16" spans="1:9" x14ac:dyDescent="0.15">
      <c r="A16" t="s">
        <v>19</v>
      </c>
      <c r="B16" t="s">
        <v>5</v>
      </c>
      <c r="C16">
        <v>3.6</v>
      </c>
      <c r="D16">
        <v>4.5</v>
      </c>
      <c r="E16">
        <v>6.5</v>
      </c>
      <c r="F16">
        <v>7.4</v>
      </c>
      <c r="G16">
        <f t="shared" si="0"/>
        <v>22</v>
      </c>
      <c r="H16">
        <f t="shared" si="1"/>
        <v>7.4</v>
      </c>
      <c r="I16" s="1">
        <f t="shared" si="2"/>
        <v>3.0432978281920046E-2</v>
      </c>
    </row>
    <row r="17" spans="1:9" x14ac:dyDescent="0.15">
      <c r="A17" t="s">
        <v>20</v>
      </c>
      <c r="B17" t="s">
        <v>12</v>
      </c>
      <c r="C17">
        <v>3.1</v>
      </c>
      <c r="D17">
        <v>4.5</v>
      </c>
      <c r="E17">
        <v>5.4</v>
      </c>
      <c r="F17">
        <v>6.9</v>
      </c>
      <c r="G17">
        <f t="shared" si="0"/>
        <v>19.899999999999999</v>
      </c>
      <c r="H17">
        <f t="shared" si="1"/>
        <v>6.9</v>
      </c>
      <c r="I17" s="1">
        <f t="shared" si="2"/>
        <v>2.7528012173191313E-2</v>
      </c>
    </row>
    <row r="18" spans="1:9" x14ac:dyDescent="0.15">
      <c r="A18" t="s">
        <v>25</v>
      </c>
      <c r="G18">
        <f>SUM(G3:G17)</f>
        <v>722.9</v>
      </c>
    </row>
    <row r="20" spans="1:9" x14ac:dyDescent="0.15">
      <c r="A20" t="s">
        <v>31</v>
      </c>
      <c r="B20">
        <f>SUMIF(B3:B17,"安徽",E3:E17)</f>
        <v>57.4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7"/>
  <sheetViews>
    <sheetView workbookViewId="0">
      <selection sqref="A1:F16"/>
    </sheetView>
  </sheetViews>
  <sheetFormatPr defaultRowHeight="14.25" x14ac:dyDescent="0.15"/>
  <sheetData>
    <row r="1" spans="1:6" ht="15" thickTop="1" x14ac:dyDescent="0.15">
      <c r="A1" s="2" t="s">
        <v>1</v>
      </c>
      <c r="B1" s="3" t="s">
        <v>0</v>
      </c>
      <c r="C1" s="3" t="s">
        <v>21</v>
      </c>
      <c r="D1" s="3" t="s">
        <v>22</v>
      </c>
      <c r="E1" s="3" t="s">
        <v>23</v>
      </c>
      <c r="F1" s="4" t="s">
        <v>24</v>
      </c>
    </row>
    <row r="2" spans="1:6" x14ac:dyDescent="0.15">
      <c r="A2" s="5" t="s">
        <v>2</v>
      </c>
      <c r="B2" s="6" t="s">
        <v>13</v>
      </c>
      <c r="C2" s="6">
        <v>11.5</v>
      </c>
      <c r="D2" s="6">
        <v>16.8</v>
      </c>
      <c r="E2" s="6">
        <v>13.4</v>
      </c>
      <c r="F2" s="7">
        <v>11.5</v>
      </c>
    </row>
    <row r="3" spans="1:6" x14ac:dyDescent="0.15">
      <c r="A3" s="5" t="s">
        <v>3</v>
      </c>
      <c r="B3" s="6" t="s">
        <v>11</v>
      </c>
      <c r="C3" s="6">
        <v>9.8000000000000007</v>
      </c>
      <c r="D3" s="6">
        <v>8.6</v>
      </c>
      <c r="E3" s="6">
        <v>11.2</v>
      </c>
      <c r="F3" s="7">
        <v>12.7</v>
      </c>
    </row>
    <row r="4" spans="1:6" x14ac:dyDescent="0.15">
      <c r="A4" s="5" t="s">
        <v>4</v>
      </c>
      <c r="B4" s="6" t="s">
        <v>12</v>
      </c>
      <c r="C4" s="6">
        <v>15.6</v>
      </c>
      <c r="D4" s="6">
        <v>13.7</v>
      </c>
      <c r="E4" s="6">
        <v>12.1</v>
      </c>
      <c r="F4" s="7">
        <v>14.9</v>
      </c>
    </row>
    <row r="5" spans="1:6" x14ac:dyDescent="0.15">
      <c r="A5" s="5" t="s">
        <v>6</v>
      </c>
      <c r="B5" s="6" t="s">
        <v>13</v>
      </c>
      <c r="C5" s="6">
        <v>11.6</v>
      </c>
      <c r="D5" s="6">
        <v>21.3</v>
      </c>
      <c r="E5" s="6">
        <v>6.9</v>
      </c>
      <c r="F5" s="7">
        <v>18.2</v>
      </c>
    </row>
    <row r="6" spans="1:6" x14ac:dyDescent="0.15">
      <c r="A6" s="5" t="s">
        <v>7</v>
      </c>
      <c r="B6" s="6" t="s">
        <v>12</v>
      </c>
      <c r="C6" s="6">
        <v>20.5</v>
      </c>
      <c r="D6" s="6">
        <v>25.7</v>
      </c>
      <c r="E6" s="6">
        <v>19.600000000000001</v>
      </c>
      <c r="F6" s="7">
        <v>21.8</v>
      </c>
    </row>
    <row r="7" spans="1:6" x14ac:dyDescent="0.15">
      <c r="A7" s="5" t="s">
        <v>8</v>
      </c>
      <c r="B7" s="6" t="s">
        <v>5</v>
      </c>
      <c r="C7" s="6">
        <v>25.9</v>
      </c>
      <c r="D7" s="6">
        <v>21.6</v>
      </c>
      <c r="E7" s="6">
        <v>28.4</v>
      </c>
      <c r="F7" s="7">
        <v>26.3</v>
      </c>
    </row>
    <row r="8" spans="1:6" x14ac:dyDescent="0.15">
      <c r="A8" s="5" t="s">
        <v>9</v>
      </c>
      <c r="B8" s="6" t="s">
        <v>5</v>
      </c>
      <c r="C8" s="6">
        <v>5.6</v>
      </c>
      <c r="D8" s="6">
        <v>6.3</v>
      </c>
      <c r="E8" s="6">
        <v>7.4</v>
      </c>
      <c r="F8" s="7">
        <v>3.1</v>
      </c>
    </row>
    <row r="9" spans="1:6" x14ac:dyDescent="0.15">
      <c r="A9" s="5" t="s">
        <v>10</v>
      </c>
      <c r="B9" s="6" t="s">
        <v>11</v>
      </c>
      <c r="C9" s="6">
        <v>10.5</v>
      </c>
      <c r="D9" s="6">
        <v>12.9</v>
      </c>
      <c r="E9" s="6">
        <v>13.1</v>
      </c>
      <c r="F9" s="7">
        <v>14.2</v>
      </c>
    </row>
    <row r="10" spans="1:6" x14ac:dyDescent="0.15">
      <c r="A10" s="5" t="s">
        <v>14</v>
      </c>
      <c r="B10" s="6" t="s">
        <v>12</v>
      </c>
      <c r="C10" s="6">
        <v>8.9</v>
      </c>
      <c r="D10" s="6">
        <v>9.1</v>
      </c>
      <c r="E10" s="6">
        <v>7.9</v>
      </c>
      <c r="F10" s="7">
        <v>8.6</v>
      </c>
    </row>
    <row r="11" spans="1:6" x14ac:dyDescent="0.15">
      <c r="A11" s="5" t="s">
        <v>15</v>
      </c>
      <c r="B11" s="6" t="s">
        <v>12</v>
      </c>
      <c r="C11" s="6">
        <v>9.6</v>
      </c>
      <c r="D11" s="6">
        <v>11.5</v>
      </c>
      <c r="E11" s="6">
        <v>12.4</v>
      </c>
      <c r="F11" s="7">
        <v>13.1</v>
      </c>
    </row>
    <row r="12" spans="1:6" x14ac:dyDescent="0.15">
      <c r="A12" s="5" t="s">
        <v>16</v>
      </c>
      <c r="B12" s="6" t="s">
        <v>5</v>
      </c>
      <c r="C12" s="6">
        <v>7.5</v>
      </c>
      <c r="D12" s="6">
        <v>8.1</v>
      </c>
      <c r="E12" s="6">
        <v>8.5</v>
      </c>
      <c r="F12" s="7">
        <v>7.6</v>
      </c>
    </row>
    <row r="13" spans="1:6" x14ac:dyDescent="0.15">
      <c r="A13" s="5" t="s">
        <v>17</v>
      </c>
      <c r="B13" s="6" t="s">
        <v>5</v>
      </c>
      <c r="C13" s="6">
        <v>5.6</v>
      </c>
      <c r="D13" s="6">
        <v>6.3</v>
      </c>
      <c r="E13" s="6">
        <v>4.9000000000000004</v>
      </c>
      <c r="F13" s="7">
        <v>7.1</v>
      </c>
    </row>
    <row r="14" spans="1:6" x14ac:dyDescent="0.15">
      <c r="A14" s="5" t="s">
        <v>18</v>
      </c>
      <c r="B14" s="6" t="s">
        <v>11</v>
      </c>
      <c r="C14" s="6">
        <v>19.5</v>
      </c>
      <c r="D14" s="6">
        <v>17.399999999999999</v>
      </c>
      <c r="E14" s="6">
        <v>18.2</v>
      </c>
      <c r="F14" s="7">
        <v>16.5</v>
      </c>
    </row>
    <row r="15" spans="1:6" x14ac:dyDescent="0.15">
      <c r="A15" s="5" t="s">
        <v>19</v>
      </c>
      <c r="B15" s="6" t="s">
        <v>5</v>
      </c>
      <c r="C15" s="6">
        <v>3.6</v>
      </c>
      <c r="D15" s="6">
        <v>4.5</v>
      </c>
      <c r="E15" s="6">
        <v>6.5</v>
      </c>
      <c r="F15" s="7">
        <v>7.4</v>
      </c>
    </row>
    <row r="16" spans="1:6" ht="15" thickBot="1" x14ac:dyDescent="0.2">
      <c r="A16" s="8" t="s">
        <v>20</v>
      </c>
      <c r="B16" s="9" t="s">
        <v>12</v>
      </c>
      <c r="C16" s="9">
        <v>3.1</v>
      </c>
      <c r="D16" s="9">
        <v>4.5</v>
      </c>
      <c r="E16" s="9">
        <v>5.4</v>
      </c>
      <c r="F16" s="10">
        <v>6.9</v>
      </c>
    </row>
    <row r="17" ht="15" thickTop="1" x14ac:dyDescent="0.15"/>
  </sheetData>
  <phoneticPr fontId="1" type="noConversion"/>
  <conditionalFormatting sqref="C2:F16">
    <cfRule type="cellIs" dxfId="0" priority="1" operator="greaterThan">
      <formula>15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&amp;L&amp;"隶书,加粗"&amp;10销售一览表</oddHeader>
    <oddFooter>&amp;R&amp;N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F11" sqref="F11"/>
    </sheetView>
  </sheetViews>
  <sheetFormatPr defaultRowHeight="14.25" x14ac:dyDescent="0.15"/>
  <sheetData>
    <row r="1" spans="1:9" x14ac:dyDescent="0.15">
      <c r="A1" t="s">
        <v>32</v>
      </c>
      <c r="B1" t="s">
        <v>33</v>
      </c>
    </row>
    <row r="2" spans="1:9" x14ac:dyDescent="0.15">
      <c r="A2" t="s">
        <v>34</v>
      </c>
      <c r="B2" t="s">
        <v>35</v>
      </c>
    </row>
    <row r="6" spans="1:9" x14ac:dyDescent="0.15">
      <c r="A6" t="s">
        <v>1</v>
      </c>
      <c r="B6" t="s">
        <v>0</v>
      </c>
      <c r="C6" t="s">
        <v>21</v>
      </c>
      <c r="D6" t="s">
        <v>22</v>
      </c>
      <c r="E6" t="s">
        <v>23</v>
      </c>
      <c r="F6" t="s">
        <v>24</v>
      </c>
      <c r="G6" t="s">
        <v>26</v>
      </c>
      <c r="H6" t="s">
        <v>29</v>
      </c>
      <c r="I6" t="s">
        <v>30</v>
      </c>
    </row>
    <row r="7" spans="1:9" x14ac:dyDescent="0.15">
      <c r="A7" t="s">
        <v>8</v>
      </c>
      <c r="B7" t="s">
        <v>5</v>
      </c>
      <c r="C7">
        <v>25.9</v>
      </c>
      <c r="D7">
        <v>21.6</v>
      </c>
      <c r="E7">
        <v>28.4</v>
      </c>
      <c r="F7">
        <v>26.3</v>
      </c>
      <c r="G7">
        <v>102.2</v>
      </c>
      <c r="H7">
        <v>28.4</v>
      </c>
      <c r="I7" s="1">
        <v>0.14137501729146495</v>
      </c>
    </row>
    <row r="8" spans="1:9" x14ac:dyDescent="0.15">
      <c r="A8" t="s">
        <v>18</v>
      </c>
      <c r="B8" t="s">
        <v>5</v>
      </c>
      <c r="C8">
        <v>19.5</v>
      </c>
      <c r="D8">
        <v>17.399999999999999</v>
      </c>
      <c r="E8">
        <v>18.2</v>
      </c>
      <c r="F8">
        <v>16.5</v>
      </c>
      <c r="G8">
        <v>71.599999999999994</v>
      </c>
      <c r="H8">
        <v>19.5</v>
      </c>
      <c r="I8" s="1">
        <v>9.904551113570341E-2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E14" sqref="E14"/>
    </sheetView>
  </sheetViews>
  <sheetFormatPr defaultRowHeight="14.25" x14ac:dyDescent="0.15"/>
  <sheetData>
    <row r="1" spans="1:7" ht="20.25" x14ac:dyDescent="0.25">
      <c r="A1" s="11" t="s">
        <v>28</v>
      </c>
      <c r="B1" s="11"/>
      <c r="C1" s="11"/>
      <c r="D1" s="11"/>
      <c r="E1" s="11"/>
      <c r="F1" s="11"/>
    </row>
    <row r="2" spans="1:7" x14ac:dyDescent="0.15">
      <c r="A2" t="s">
        <v>1</v>
      </c>
      <c r="B2" t="s">
        <v>0</v>
      </c>
      <c r="C2" t="s">
        <v>21</v>
      </c>
      <c r="D2" t="s">
        <v>22</v>
      </c>
      <c r="E2" t="s">
        <v>23</v>
      </c>
      <c r="F2" t="s">
        <v>24</v>
      </c>
      <c r="G2" t="s">
        <v>26</v>
      </c>
    </row>
    <row r="3" spans="1:7" x14ac:dyDescent="0.15">
      <c r="A3" t="s">
        <v>19</v>
      </c>
      <c r="B3" t="s">
        <v>5</v>
      </c>
      <c r="C3">
        <v>3.6</v>
      </c>
      <c r="D3">
        <v>4.5</v>
      </c>
      <c r="E3">
        <v>6.5</v>
      </c>
      <c r="F3">
        <v>7.4</v>
      </c>
      <c r="G3">
        <f>C3+D3+E3+F3</f>
        <v>22</v>
      </c>
    </row>
    <row r="4" spans="1:7" x14ac:dyDescent="0.15">
      <c r="A4" t="s">
        <v>9</v>
      </c>
      <c r="B4" t="s">
        <v>5</v>
      </c>
      <c r="C4">
        <v>5.6</v>
      </c>
      <c r="D4">
        <v>6.3</v>
      </c>
      <c r="E4">
        <v>7.4</v>
      </c>
      <c r="F4">
        <v>3.1</v>
      </c>
      <c r="G4">
        <f>C4+D4+E4+F4</f>
        <v>22.4</v>
      </c>
    </row>
    <row r="5" spans="1:7" x14ac:dyDescent="0.15">
      <c r="A5" t="s">
        <v>17</v>
      </c>
      <c r="B5" t="s">
        <v>5</v>
      </c>
      <c r="C5">
        <v>5.6</v>
      </c>
      <c r="D5">
        <v>6.3</v>
      </c>
      <c r="E5">
        <v>4.9000000000000004</v>
      </c>
      <c r="F5">
        <v>7.1</v>
      </c>
      <c r="G5">
        <f>C5+D5+E5+F5</f>
        <v>23.9</v>
      </c>
    </row>
    <row r="6" spans="1:7" x14ac:dyDescent="0.15">
      <c r="A6" t="s">
        <v>16</v>
      </c>
      <c r="B6" t="s">
        <v>5</v>
      </c>
      <c r="C6">
        <v>7.5</v>
      </c>
      <c r="D6">
        <v>8.1</v>
      </c>
      <c r="E6">
        <v>8.5</v>
      </c>
      <c r="F6">
        <v>7.6</v>
      </c>
      <c r="G6">
        <f>C6+D6+E6+F6</f>
        <v>31.700000000000003</v>
      </c>
    </row>
    <row r="7" spans="1:7" x14ac:dyDescent="0.15">
      <c r="A7" t="s">
        <v>18</v>
      </c>
      <c r="B7" t="s">
        <v>5</v>
      </c>
      <c r="C7">
        <v>19.5</v>
      </c>
      <c r="D7">
        <v>17.399999999999999</v>
      </c>
      <c r="E7">
        <v>18.2</v>
      </c>
      <c r="F7">
        <v>16.5</v>
      </c>
      <c r="G7">
        <f>C7+D7+E7+F7</f>
        <v>71.599999999999994</v>
      </c>
    </row>
    <row r="8" spans="1:7" x14ac:dyDescent="0.15">
      <c r="A8" t="s">
        <v>8</v>
      </c>
      <c r="B8" t="s">
        <v>5</v>
      </c>
      <c r="C8">
        <v>25.9</v>
      </c>
      <c r="D8">
        <v>21.6</v>
      </c>
      <c r="E8">
        <v>28.4</v>
      </c>
      <c r="F8">
        <v>26.3</v>
      </c>
      <c r="G8">
        <f>C8+D8+E8+F8</f>
        <v>102.2</v>
      </c>
    </row>
    <row r="9" spans="1:7" x14ac:dyDescent="0.15">
      <c r="A9" t="s">
        <v>3</v>
      </c>
      <c r="B9" t="s">
        <v>11</v>
      </c>
      <c r="C9">
        <v>9.8000000000000007</v>
      </c>
      <c r="D9">
        <v>8.6</v>
      </c>
      <c r="E9">
        <v>11.2</v>
      </c>
      <c r="F9">
        <v>12.7</v>
      </c>
      <c r="G9">
        <f>C9+D9+E9+F9</f>
        <v>42.3</v>
      </c>
    </row>
    <row r="10" spans="1:7" x14ac:dyDescent="0.15">
      <c r="A10" t="s">
        <v>10</v>
      </c>
      <c r="B10" t="s">
        <v>11</v>
      </c>
      <c r="C10">
        <v>10.5</v>
      </c>
      <c r="D10">
        <v>12.9</v>
      </c>
      <c r="E10">
        <v>13.1</v>
      </c>
      <c r="F10">
        <v>14.2</v>
      </c>
      <c r="G10">
        <f>C10+D10+E10+F10</f>
        <v>50.7</v>
      </c>
    </row>
    <row r="11" spans="1:7" x14ac:dyDescent="0.15">
      <c r="A11" t="s">
        <v>2</v>
      </c>
      <c r="B11" t="s">
        <v>13</v>
      </c>
      <c r="C11">
        <v>11.5</v>
      </c>
      <c r="D11">
        <v>16.8</v>
      </c>
      <c r="E11">
        <v>13.4</v>
      </c>
      <c r="F11">
        <v>11.5</v>
      </c>
      <c r="G11">
        <f>C11+D11+E11+F11</f>
        <v>53.2</v>
      </c>
    </row>
    <row r="12" spans="1:7" x14ac:dyDescent="0.15">
      <c r="A12" t="s">
        <v>6</v>
      </c>
      <c r="B12" t="s">
        <v>13</v>
      </c>
      <c r="C12">
        <v>11.6</v>
      </c>
      <c r="D12">
        <v>21.3</v>
      </c>
      <c r="E12">
        <v>6.9</v>
      </c>
      <c r="F12">
        <v>18.2</v>
      </c>
      <c r="G12">
        <f>C12+D12+E12+F12</f>
        <v>58</v>
      </c>
    </row>
    <row r="13" spans="1:7" x14ac:dyDescent="0.15">
      <c r="A13" t="s">
        <v>20</v>
      </c>
      <c r="B13" t="s">
        <v>12</v>
      </c>
      <c r="C13">
        <v>3.1</v>
      </c>
      <c r="D13">
        <v>4.5</v>
      </c>
      <c r="E13">
        <v>5.4</v>
      </c>
      <c r="F13">
        <v>6.9</v>
      </c>
      <c r="G13">
        <f>C13+D13+E13+F13</f>
        <v>19.899999999999999</v>
      </c>
    </row>
    <row r="14" spans="1:7" x14ac:dyDescent="0.15">
      <c r="A14" t="s">
        <v>14</v>
      </c>
      <c r="B14" t="s">
        <v>12</v>
      </c>
      <c r="C14">
        <v>8.9</v>
      </c>
      <c r="D14">
        <v>9.1</v>
      </c>
      <c r="E14">
        <v>7.9</v>
      </c>
      <c r="F14">
        <v>8.6</v>
      </c>
      <c r="G14">
        <f>C14+D14+E14+F14</f>
        <v>34.5</v>
      </c>
    </row>
    <row r="15" spans="1:7" x14ac:dyDescent="0.15">
      <c r="A15" t="s">
        <v>15</v>
      </c>
      <c r="B15" t="s">
        <v>12</v>
      </c>
      <c r="C15">
        <v>9.6</v>
      </c>
      <c r="D15">
        <v>11.5</v>
      </c>
      <c r="E15">
        <v>12.4</v>
      </c>
      <c r="F15">
        <v>13.1</v>
      </c>
      <c r="G15">
        <f>C15+D15+E15+F15</f>
        <v>46.6</v>
      </c>
    </row>
    <row r="16" spans="1:7" x14ac:dyDescent="0.15">
      <c r="A16" t="s">
        <v>4</v>
      </c>
      <c r="B16" t="s">
        <v>12</v>
      </c>
      <c r="C16">
        <v>15.6</v>
      </c>
      <c r="D16">
        <v>13.7</v>
      </c>
      <c r="E16">
        <v>12.1</v>
      </c>
      <c r="F16">
        <v>14.9</v>
      </c>
      <c r="G16">
        <f>C16+D16+E16+F16</f>
        <v>56.3</v>
      </c>
    </row>
    <row r="17" spans="1:7" x14ac:dyDescent="0.15">
      <c r="A17" t="s">
        <v>7</v>
      </c>
      <c r="B17" t="s">
        <v>12</v>
      </c>
      <c r="C17">
        <v>20.5</v>
      </c>
      <c r="D17">
        <v>25.7</v>
      </c>
      <c r="E17">
        <v>19.600000000000001</v>
      </c>
      <c r="F17">
        <v>21.8</v>
      </c>
      <c r="G17">
        <f>C17+D17+E17+F17</f>
        <v>87.600000000000009</v>
      </c>
    </row>
    <row r="18" spans="1:7" x14ac:dyDescent="0.15">
      <c r="A18" t="s">
        <v>25</v>
      </c>
      <c r="G18">
        <f>SUM(G3:G17)</f>
        <v>722.9</v>
      </c>
    </row>
  </sheetData>
  <sortState ref="A3:G18">
    <sortCondition ref="B3:B18" customList="江苏,山东,河南,安徽"/>
    <sortCondition ref="G3:G18"/>
  </sortState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5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Sheet1</vt:lpstr>
      <vt:lpstr>蔬菜销售统计表</vt:lpstr>
      <vt:lpstr>Sheet3</vt:lpstr>
      <vt:lpstr>筛选</vt:lpstr>
      <vt:lpstr>排序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2018-09-11T01:32:03Z</dcterms:modified>
</cp:coreProperties>
</file>