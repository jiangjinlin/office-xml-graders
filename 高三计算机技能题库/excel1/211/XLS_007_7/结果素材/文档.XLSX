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25" yWindow="3450" windowWidth="20730" windowHeight="10695" activeTab="4"/>
  </bookViews>
  <sheets>
    <sheet name="部分学生成绩统计表" sheetId="1" r:id="rId1"/>
    <sheet name="Sheet2" sheetId="2" r:id="rId2"/>
    <sheet name="Sheet3" sheetId="3" r:id="rId3"/>
    <sheet name="分类汇总" sheetId="4" r:id="rId4"/>
    <sheet name="图表" sheetId="5" r:id="rId5"/>
  </sheets>
  <calcPr calcId="144525"/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" i="3"/>
  <c r="F30" i="4"/>
  <c r="E30" i="4"/>
  <c r="D30" i="4"/>
  <c r="F29" i="4"/>
  <c r="E29" i="4"/>
  <c r="D29" i="4"/>
  <c r="F18" i="4"/>
  <c r="E18" i="4"/>
  <c r="D18" i="4"/>
  <c r="F10" i="4"/>
  <c r="E10" i="4"/>
  <c r="D10" i="4"/>
  <c r="B12" i="4"/>
  <c r="B22" i="4"/>
  <c r="B9" i="4"/>
  <c r="B7" i="4"/>
  <c r="B20" i="4"/>
  <c r="B21" i="4"/>
  <c r="B14" i="4"/>
  <c r="B5" i="4"/>
  <c r="B25" i="4"/>
  <c r="B3" i="4"/>
  <c r="B24" i="4"/>
  <c r="B13" i="4"/>
  <c r="B4" i="4"/>
  <c r="B17" i="4"/>
  <c r="B16" i="4"/>
  <c r="B8" i="4"/>
  <c r="B23" i="4"/>
  <c r="B15" i="4"/>
  <c r="B6" i="4"/>
  <c r="B27" i="4"/>
  <c r="B28" i="4"/>
  <c r="B11" i="4"/>
  <c r="B19" i="4"/>
  <c r="B26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3" i="2"/>
</calcChain>
</file>

<file path=xl/sharedStrings.xml><?xml version="1.0" encoding="utf-8"?>
<sst xmlns="http://schemas.openxmlformats.org/spreadsheetml/2006/main" count="129" uniqueCount="38">
  <si>
    <t>准考证号</t>
  </si>
  <si>
    <t>姓名</t>
  </si>
  <si>
    <t>平时成绩</t>
  </si>
  <si>
    <t>期中成绩</t>
  </si>
  <si>
    <t>期末成绩</t>
  </si>
  <si>
    <t>白莉娜</t>
  </si>
  <si>
    <t>陈明丽</t>
  </si>
  <si>
    <t>陈思聪</t>
  </si>
  <si>
    <t>冯亦刚</t>
  </si>
  <si>
    <t>顾末</t>
  </si>
  <si>
    <t>何丽丽</t>
  </si>
  <si>
    <t>李卫国</t>
  </si>
  <si>
    <t>李向群</t>
  </si>
  <si>
    <t>李志明</t>
  </si>
  <si>
    <t>刘寒冰</t>
  </si>
  <si>
    <t>刘军</t>
  </si>
  <si>
    <t>马晓龙</t>
  </si>
  <si>
    <t>马志明</t>
  </si>
  <si>
    <t>宋邵青</t>
  </si>
  <si>
    <t>王明</t>
  </si>
  <si>
    <t>王永</t>
  </si>
  <si>
    <t>许德</t>
  </si>
  <si>
    <t>阎燕</t>
  </si>
  <si>
    <t>尹向平</t>
  </si>
  <si>
    <t>张克钦</t>
  </si>
  <si>
    <t>张丽</t>
  </si>
  <si>
    <t>章程</t>
  </si>
  <si>
    <t>赵宣</t>
  </si>
  <si>
    <t>朱万山</t>
  </si>
  <si>
    <t>政治成绩抽样统计表</t>
  </si>
  <si>
    <t>班级</t>
    <phoneticPr fontId="1" type="noConversion"/>
  </si>
  <si>
    <t>总分</t>
    <phoneticPr fontId="1" type="noConversion"/>
  </si>
  <si>
    <t>排名</t>
    <phoneticPr fontId="1" type="noConversion"/>
  </si>
  <si>
    <t>1032 平均值</t>
  </si>
  <si>
    <t>1041 平均值</t>
  </si>
  <si>
    <t>1051 平均值</t>
  </si>
  <si>
    <t>总计平均值</t>
  </si>
  <si>
    <t>等第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</si>
</sst>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2"/>
      <name val="宋体"/>
      <charset val="134"/>
    </font>
    <font>
      <sz val="9"/>
      <name val="宋体"/>
      <charset val="134"/>
    </font>
    <font>
      <b/>
      <i/>
      <sz val="16"/>
      <color rgb="FF0070C0"/>
      <name val="隶书"/>
      <family val="3"/>
      <charset val="134"/>
    </font>
    <font>
      <sz val="10"/>
      <name val="黑体"/>
      <family val="3"/>
      <charset val="134"/>
    </font>
    <font>
      <sz val="9"/>
      <name val="宋体"/>
      <family val="3"/>
      <charset val="134"/>
    </font>
    <font>
      <b/>
      <sz val="1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lightVertical"/>
    </fill>
  </fills>
  <borders count="2">
    <border>
      <left/>
      <right/>
      <top/>
      <bottom/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排名情况统计图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Sheet3!$G$2</c:f>
              <c:strCache>
                <c:ptCount val="1"/>
                <c:pt idx="0">
                  <c:v>排名</c:v>
                </c:pt>
              </c:strCache>
            </c:strRef>
          </c:tx>
          <c:invertIfNegative val="0"/>
          <c:cat>
            <c:strRef>
              <c:f>Sheet3!$B$3:$B$26</c:f>
              <c:strCache>
                <c:ptCount val="24"/>
                <c:pt idx="0">
                  <c:v>白莉娜</c:v>
                </c:pt>
                <c:pt idx="1">
                  <c:v>陈明丽</c:v>
                </c:pt>
                <c:pt idx="2">
                  <c:v>陈思聪</c:v>
                </c:pt>
                <c:pt idx="3">
                  <c:v>冯亦刚</c:v>
                </c:pt>
                <c:pt idx="4">
                  <c:v>顾末</c:v>
                </c:pt>
                <c:pt idx="5">
                  <c:v>何丽丽</c:v>
                </c:pt>
                <c:pt idx="6">
                  <c:v>李卫国</c:v>
                </c:pt>
                <c:pt idx="7">
                  <c:v>李向群</c:v>
                </c:pt>
                <c:pt idx="8">
                  <c:v>李志明</c:v>
                </c:pt>
                <c:pt idx="9">
                  <c:v>刘寒冰</c:v>
                </c:pt>
                <c:pt idx="10">
                  <c:v>刘军</c:v>
                </c:pt>
                <c:pt idx="11">
                  <c:v>马晓龙</c:v>
                </c:pt>
                <c:pt idx="12">
                  <c:v>马志明</c:v>
                </c:pt>
                <c:pt idx="13">
                  <c:v>宋邵青</c:v>
                </c:pt>
                <c:pt idx="14">
                  <c:v>王明</c:v>
                </c:pt>
                <c:pt idx="15">
                  <c:v>王永</c:v>
                </c:pt>
                <c:pt idx="16">
                  <c:v>许德</c:v>
                </c:pt>
                <c:pt idx="17">
                  <c:v>阎燕</c:v>
                </c:pt>
                <c:pt idx="18">
                  <c:v>尹向平</c:v>
                </c:pt>
                <c:pt idx="19">
                  <c:v>张克钦</c:v>
                </c:pt>
                <c:pt idx="20">
                  <c:v>张丽</c:v>
                </c:pt>
                <c:pt idx="21">
                  <c:v>章程</c:v>
                </c:pt>
                <c:pt idx="22">
                  <c:v>赵宣</c:v>
                </c:pt>
                <c:pt idx="23">
                  <c:v>朱万山</c:v>
                </c:pt>
              </c:strCache>
            </c:strRef>
          </c:cat>
          <c:val>
            <c:numRef>
              <c:f>Sheet3!$G$3:$G$26</c:f>
              <c:numCache>
                <c:formatCode>General</c:formatCode>
                <c:ptCount val="24"/>
                <c:pt idx="0">
                  <c:v>24</c:v>
                </c:pt>
                <c:pt idx="1">
                  <c:v>12</c:v>
                </c:pt>
                <c:pt idx="2">
                  <c:v>1</c:v>
                </c:pt>
                <c:pt idx="3">
                  <c:v>22</c:v>
                </c:pt>
                <c:pt idx="4">
                  <c:v>20</c:v>
                </c:pt>
                <c:pt idx="5">
                  <c:v>13</c:v>
                </c:pt>
                <c:pt idx="6">
                  <c:v>16</c:v>
                </c:pt>
                <c:pt idx="7">
                  <c:v>3</c:v>
                </c:pt>
                <c:pt idx="8">
                  <c:v>17</c:v>
                </c:pt>
                <c:pt idx="9">
                  <c:v>18</c:v>
                </c:pt>
                <c:pt idx="10">
                  <c:v>21</c:v>
                </c:pt>
                <c:pt idx="11">
                  <c:v>3</c:v>
                </c:pt>
                <c:pt idx="12">
                  <c:v>14</c:v>
                </c:pt>
                <c:pt idx="13">
                  <c:v>6</c:v>
                </c:pt>
                <c:pt idx="14">
                  <c:v>9</c:v>
                </c:pt>
                <c:pt idx="15">
                  <c:v>11</c:v>
                </c:pt>
                <c:pt idx="16">
                  <c:v>2</c:v>
                </c:pt>
                <c:pt idx="17">
                  <c:v>15</c:v>
                </c:pt>
                <c:pt idx="18">
                  <c:v>3</c:v>
                </c:pt>
                <c:pt idx="19">
                  <c:v>7</c:v>
                </c:pt>
                <c:pt idx="20">
                  <c:v>19</c:v>
                </c:pt>
                <c:pt idx="21">
                  <c:v>23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14368"/>
        <c:axId val="84320256"/>
      </c:barChart>
      <c:catAx>
        <c:axId val="84314368"/>
        <c:scaling>
          <c:orientation val="minMax"/>
        </c:scaling>
        <c:delete val="0"/>
        <c:axPos val="l"/>
        <c:majorTickMark val="out"/>
        <c:minorTickMark val="none"/>
        <c:tickLblPos val="nextTo"/>
        <c:crossAx val="84320256"/>
        <c:crosses val="autoZero"/>
        <c:auto val="1"/>
        <c:lblAlgn val="ctr"/>
        <c:lblOffset val="100"/>
        <c:noMultiLvlLbl val="0"/>
      </c:catAx>
      <c:valAx>
        <c:axId val="843202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8431436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918" cy="607670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7" sqref="G7"/>
    </sheetView>
  </sheetViews>
  <sheetFormatPr defaultRowHeight="14.25" x14ac:dyDescent="0.15"/>
  <cols>
    <col min="1" max="1" width="12.75" bestFit="1" customWidth="1"/>
  </cols>
  <sheetData>
    <row r="1" spans="1:5" ht="20.25" x14ac:dyDescent="0.15">
      <c r="A1" s="7" t="s">
        <v>29</v>
      </c>
      <c r="B1" s="7"/>
      <c r="C1" s="7"/>
      <c r="D1" s="7"/>
      <c r="E1" s="7"/>
    </row>
    <row r="2" spans="1:5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1">
        <v>20071051039</v>
      </c>
      <c r="B3" s="1" t="s">
        <v>5</v>
      </c>
      <c r="C3" s="1">
        <v>65</v>
      </c>
      <c r="D3" s="1">
        <v>72</v>
      </c>
      <c r="E3" s="1">
        <v>69</v>
      </c>
    </row>
    <row r="4" spans="1:5" x14ac:dyDescent="0.15">
      <c r="A4" s="1">
        <v>20071051026</v>
      </c>
      <c r="B4" s="1" t="s">
        <v>6</v>
      </c>
      <c r="C4" s="1">
        <v>66</v>
      </c>
      <c r="D4" s="1">
        <v>71</v>
      </c>
      <c r="E4" s="1">
        <v>83</v>
      </c>
    </row>
    <row r="5" spans="1:5" x14ac:dyDescent="0.15">
      <c r="A5" s="1">
        <v>20071041029</v>
      </c>
      <c r="B5" s="1" t="s">
        <v>7</v>
      </c>
      <c r="C5" s="1">
        <v>73</v>
      </c>
      <c r="D5" s="1">
        <v>84</v>
      </c>
      <c r="E5" s="1">
        <v>83</v>
      </c>
    </row>
    <row r="6" spans="1:5" x14ac:dyDescent="0.15">
      <c r="A6" s="1">
        <v>20071051036</v>
      </c>
      <c r="B6" s="1" t="s">
        <v>8</v>
      </c>
      <c r="C6" s="1">
        <v>79</v>
      </c>
      <c r="D6" s="1">
        <v>72</v>
      </c>
      <c r="E6" s="1">
        <v>66</v>
      </c>
    </row>
    <row r="7" spans="1:5" x14ac:dyDescent="0.15">
      <c r="A7" s="1">
        <v>20071051038</v>
      </c>
      <c r="B7" s="1" t="s">
        <v>9</v>
      </c>
      <c r="C7" s="1">
        <v>65</v>
      </c>
      <c r="D7" s="1">
        <v>82</v>
      </c>
      <c r="E7" s="1">
        <v>69</v>
      </c>
    </row>
    <row r="8" spans="1:5" x14ac:dyDescent="0.15">
      <c r="A8" s="1">
        <v>20071032051</v>
      </c>
      <c r="B8" s="1" t="s">
        <v>10</v>
      </c>
      <c r="C8" s="1">
        <v>72</v>
      </c>
      <c r="D8" s="1">
        <v>81</v>
      </c>
      <c r="E8" s="1">
        <v>74</v>
      </c>
    </row>
    <row r="9" spans="1:5" x14ac:dyDescent="0.15">
      <c r="A9" s="1">
        <v>20071041042</v>
      </c>
      <c r="B9" s="1" t="s">
        <v>11</v>
      </c>
      <c r="C9" s="1">
        <v>67</v>
      </c>
      <c r="D9" s="1">
        <v>78</v>
      </c>
      <c r="E9" s="1">
        <v>74</v>
      </c>
    </row>
    <row r="10" spans="1:5" x14ac:dyDescent="0.15">
      <c r="A10" s="1">
        <v>20071051031</v>
      </c>
      <c r="B10" s="1" t="s">
        <v>12</v>
      </c>
      <c r="C10" s="1">
        <v>77</v>
      </c>
      <c r="D10" s="1">
        <v>83</v>
      </c>
      <c r="E10" s="1">
        <v>80</v>
      </c>
    </row>
    <row r="11" spans="1:5" x14ac:dyDescent="0.15">
      <c r="A11" s="1">
        <v>20071032008</v>
      </c>
      <c r="B11" s="1" t="s">
        <v>13</v>
      </c>
      <c r="C11" s="1">
        <v>69</v>
      </c>
      <c r="D11" s="1">
        <v>83</v>
      </c>
      <c r="E11" s="1">
        <v>70</v>
      </c>
    </row>
    <row r="12" spans="1:5" x14ac:dyDescent="0.15">
      <c r="A12" s="1">
        <v>20071041051</v>
      </c>
      <c r="B12" s="1" t="s">
        <v>14</v>
      </c>
      <c r="C12" s="1">
        <v>69</v>
      </c>
      <c r="D12" s="1">
        <v>77</v>
      </c>
      <c r="E12" s="1">
        <v>72</v>
      </c>
    </row>
    <row r="13" spans="1:5" x14ac:dyDescent="0.15">
      <c r="A13" s="1">
        <v>20071041017</v>
      </c>
      <c r="B13" s="1" t="s">
        <v>15</v>
      </c>
      <c r="C13" s="1">
        <v>65</v>
      </c>
      <c r="D13" s="1">
        <v>73</v>
      </c>
      <c r="E13" s="1">
        <v>72</v>
      </c>
    </row>
    <row r="14" spans="1:5" x14ac:dyDescent="0.15">
      <c r="A14" s="1">
        <v>20071032012</v>
      </c>
      <c r="B14" s="1" t="s">
        <v>16</v>
      </c>
      <c r="C14" s="1">
        <v>82</v>
      </c>
      <c r="D14" s="1">
        <v>78</v>
      </c>
      <c r="E14" s="1">
        <v>81</v>
      </c>
    </row>
    <row r="15" spans="1:5" x14ac:dyDescent="0.15">
      <c r="A15" s="1">
        <v>20071041013</v>
      </c>
      <c r="B15" s="1" t="s">
        <v>17</v>
      </c>
      <c r="C15" s="1">
        <v>72</v>
      </c>
      <c r="D15" s="1">
        <v>75</v>
      </c>
      <c r="E15" s="1">
        <v>77</v>
      </c>
    </row>
    <row r="16" spans="1:5" x14ac:dyDescent="0.15">
      <c r="A16" s="1">
        <v>20071051037</v>
      </c>
      <c r="B16" s="1" t="s">
        <v>18</v>
      </c>
      <c r="C16" s="1">
        <v>74</v>
      </c>
      <c r="D16" s="1">
        <v>81</v>
      </c>
      <c r="E16" s="1">
        <v>80</v>
      </c>
    </row>
    <row r="17" spans="1:5" x14ac:dyDescent="0.15">
      <c r="A17" s="1">
        <v>20071032016</v>
      </c>
      <c r="B17" s="1" t="s">
        <v>19</v>
      </c>
      <c r="C17" s="1">
        <v>72</v>
      </c>
      <c r="D17" s="1">
        <v>72</v>
      </c>
      <c r="E17" s="1">
        <v>83</v>
      </c>
    </row>
    <row r="18" spans="1:5" x14ac:dyDescent="0.15">
      <c r="A18" s="1">
        <v>20071051016</v>
      </c>
      <c r="B18" s="1" t="s">
        <v>20</v>
      </c>
      <c r="C18" s="1">
        <v>77</v>
      </c>
      <c r="D18" s="1">
        <v>79</v>
      </c>
      <c r="E18" s="1">
        <v>74</v>
      </c>
    </row>
    <row r="19" spans="1:5" x14ac:dyDescent="0.15">
      <c r="A19" s="1">
        <v>20071032041</v>
      </c>
      <c r="B19" s="1" t="s">
        <v>21</v>
      </c>
      <c r="C19" s="1">
        <v>78</v>
      </c>
      <c r="D19" s="1">
        <v>83</v>
      </c>
      <c r="E19" s="1">
        <v>81</v>
      </c>
    </row>
    <row r="20" spans="1:5" x14ac:dyDescent="0.15">
      <c r="A20" s="1">
        <v>20071041039</v>
      </c>
      <c r="B20" s="1" t="s">
        <v>22</v>
      </c>
      <c r="C20" s="1">
        <v>68</v>
      </c>
      <c r="D20" s="1">
        <v>76</v>
      </c>
      <c r="E20" s="1">
        <v>75</v>
      </c>
    </row>
    <row r="21" spans="1:5" x14ac:dyDescent="0.15">
      <c r="A21" s="1">
        <v>20071051042</v>
      </c>
      <c r="B21" s="1" t="s">
        <v>23</v>
      </c>
      <c r="C21" s="1">
        <v>72</v>
      </c>
      <c r="D21" s="1">
        <v>83</v>
      </c>
      <c r="E21" s="1">
        <v>82</v>
      </c>
    </row>
    <row r="22" spans="1:5" x14ac:dyDescent="0.15">
      <c r="A22" s="1">
        <v>20071051043</v>
      </c>
      <c r="B22" s="1" t="s">
        <v>24</v>
      </c>
      <c r="C22" s="1">
        <v>79</v>
      </c>
      <c r="D22" s="1">
        <v>72</v>
      </c>
      <c r="E22" s="1">
        <v>83</v>
      </c>
    </row>
    <row r="23" spans="1:5" x14ac:dyDescent="0.15">
      <c r="A23" s="1">
        <v>20071032023</v>
      </c>
      <c r="B23" s="1" t="s">
        <v>25</v>
      </c>
      <c r="C23" s="1">
        <v>66</v>
      </c>
      <c r="D23" s="1">
        <v>76</v>
      </c>
      <c r="E23" s="1">
        <v>73</v>
      </c>
    </row>
    <row r="24" spans="1:5" x14ac:dyDescent="0.15">
      <c r="A24" s="1">
        <v>20071032043</v>
      </c>
      <c r="B24" s="1" t="s">
        <v>26</v>
      </c>
      <c r="C24" s="1">
        <v>76</v>
      </c>
      <c r="D24" s="1">
        <v>73</v>
      </c>
      <c r="E24" s="1">
        <v>65</v>
      </c>
    </row>
    <row r="25" spans="1:5" x14ac:dyDescent="0.15">
      <c r="A25" s="1">
        <v>20071051007</v>
      </c>
      <c r="B25" s="1" t="s">
        <v>27</v>
      </c>
      <c r="C25" s="1">
        <v>76</v>
      </c>
      <c r="D25" s="1">
        <v>70</v>
      </c>
      <c r="E25" s="1">
        <v>82</v>
      </c>
    </row>
    <row r="26" spans="1:5" x14ac:dyDescent="0.15">
      <c r="A26" s="1">
        <v>20071041052</v>
      </c>
      <c r="B26" s="1" t="s">
        <v>28</v>
      </c>
      <c r="C26" s="1">
        <v>73</v>
      </c>
      <c r="D26" s="1">
        <v>81</v>
      </c>
      <c r="E26" s="1">
        <v>80</v>
      </c>
    </row>
  </sheetData>
  <mergeCells count="1">
    <mergeCell ref="A1:E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workbookViewId="0">
      <selection sqref="A1:F26"/>
    </sheetView>
  </sheetViews>
  <sheetFormatPr defaultRowHeight="14.25" x14ac:dyDescent="0.15"/>
  <cols>
    <col min="1" max="1" width="11.25" bestFit="1" customWidth="1"/>
  </cols>
  <sheetData>
    <row r="1" spans="1:6" ht="21" thickBot="1" x14ac:dyDescent="0.2">
      <c r="A1" s="8" t="s">
        <v>29</v>
      </c>
      <c r="B1" s="8"/>
      <c r="C1" s="8"/>
      <c r="D1" s="8"/>
      <c r="E1" s="8"/>
      <c r="F1" s="8"/>
    </row>
    <row r="2" spans="1:6" ht="15.75" thickTop="1" thickBot="1" x14ac:dyDescent="0.2">
      <c r="A2" s="2" t="s">
        <v>0</v>
      </c>
      <c r="B2" s="2" t="s">
        <v>30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.75" thickTop="1" thickBot="1" x14ac:dyDescent="0.2">
      <c r="A3" s="2">
        <v>20071051039</v>
      </c>
      <c r="B3" s="2" t="str">
        <f>MID(A3,5,4)</f>
        <v>1051</v>
      </c>
      <c r="C3" s="2" t="s">
        <v>5</v>
      </c>
      <c r="D3" s="2">
        <v>65</v>
      </c>
      <c r="E3" s="2">
        <v>72</v>
      </c>
      <c r="F3" s="2">
        <v>69</v>
      </c>
    </row>
    <row r="4" spans="1:6" ht="15.75" thickTop="1" thickBot="1" x14ac:dyDescent="0.2">
      <c r="A4" s="2">
        <v>20071051026</v>
      </c>
      <c r="B4" s="2" t="str">
        <f t="shared" ref="B4:B26" si="0">MID(A4,5,4)</f>
        <v>1051</v>
      </c>
      <c r="C4" s="2" t="s">
        <v>6</v>
      </c>
      <c r="D4" s="2">
        <v>66</v>
      </c>
      <c r="E4" s="2">
        <v>71</v>
      </c>
      <c r="F4" s="2">
        <v>83</v>
      </c>
    </row>
    <row r="5" spans="1:6" ht="15.75" thickTop="1" thickBot="1" x14ac:dyDescent="0.2">
      <c r="A5" s="2">
        <v>20071041029</v>
      </c>
      <c r="B5" s="2" t="str">
        <f t="shared" si="0"/>
        <v>1041</v>
      </c>
      <c r="C5" s="2" t="s">
        <v>7</v>
      </c>
      <c r="D5" s="2">
        <v>73</v>
      </c>
      <c r="E5" s="2">
        <v>84</v>
      </c>
      <c r="F5" s="2">
        <v>83</v>
      </c>
    </row>
    <row r="6" spans="1:6" ht="15.75" thickTop="1" thickBot="1" x14ac:dyDescent="0.2">
      <c r="A6" s="2">
        <v>20071051036</v>
      </c>
      <c r="B6" s="2" t="str">
        <f t="shared" si="0"/>
        <v>1051</v>
      </c>
      <c r="C6" s="2" t="s">
        <v>8</v>
      </c>
      <c r="D6" s="2">
        <v>79</v>
      </c>
      <c r="E6" s="2">
        <v>72</v>
      </c>
      <c r="F6" s="2">
        <v>66</v>
      </c>
    </row>
    <row r="7" spans="1:6" ht="15.75" thickTop="1" thickBot="1" x14ac:dyDescent="0.2">
      <c r="A7" s="2">
        <v>20071051038</v>
      </c>
      <c r="B7" s="2" t="str">
        <f t="shared" si="0"/>
        <v>1051</v>
      </c>
      <c r="C7" s="2" t="s">
        <v>9</v>
      </c>
      <c r="D7" s="2">
        <v>65</v>
      </c>
      <c r="E7" s="2">
        <v>82</v>
      </c>
      <c r="F7" s="2">
        <v>69</v>
      </c>
    </row>
    <row r="8" spans="1:6" ht="15.75" thickTop="1" thickBot="1" x14ac:dyDescent="0.2">
      <c r="A8" s="2">
        <v>20071032051</v>
      </c>
      <c r="B8" s="2" t="str">
        <f t="shared" si="0"/>
        <v>1032</v>
      </c>
      <c r="C8" s="2" t="s">
        <v>10</v>
      </c>
      <c r="D8" s="2">
        <v>72</v>
      </c>
      <c r="E8" s="2">
        <v>81</v>
      </c>
      <c r="F8" s="2">
        <v>74</v>
      </c>
    </row>
    <row r="9" spans="1:6" ht="15.75" thickTop="1" thickBot="1" x14ac:dyDescent="0.2">
      <c r="A9" s="2">
        <v>20071041042</v>
      </c>
      <c r="B9" s="2" t="str">
        <f t="shared" si="0"/>
        <v>1041</v>
      </c>
      <c r="C9" s="2" t="s">
        <v>11</v>
      </c>
      <c r="D9" s="2">
        <v>67</v>
      </c>
      <c r="E9" s="2">
        <v>78</v>
      </c>
      <c r="F9" s="2">
        <v>74</v>
      </c>
    </row>
    <row r="10" spans="1:6" ht="15.75" thickTop="1" thickBot="1" x14ac:dyDescent="0.2">
      <c r="A10" s="2">
        <v>20071051031</v>
      </c>
      <c r="B10" s="2" t="str">
        <f t="shared" si="0"/>
        <v>1051</v>
      </c>
      <c r="C10" s="2" t="s">
        <v>12</v>
      </c>
      <c r="D10" s="2">
        <v>77</v>
      </c>
      <c r="E10" s="2">
        <v>83</v>
      </c>
      <c r="F10" s="2">
        <v>80</v>
      </c>
    </row>
    <row r="11" spans="1:6" ht="15.75" thickTop="1" thickBot="1" x14ac:dyDescent="0.2">
      <c r="A11" s="2">
        <v>20071032008</v>
      </c>
      <c r="B11" s="2" t="str">
        <f t="shared" si="0"/>
        <v>1032</v>
      </c>
      <c r="C11" s="2" t="s">
        <v>13</v>
      </c>
      <c r="D11" s="2">
        <v>69</v>
      </c>
      <c r="E11" s="2">
        <v>83</v>
      </c>
      <c r="F11" s="2">
        <v>70</v>
      </c>
    </row>
    <row r="12" spans="1:6" ht="15.75" thickTop="1" thickBot="1" x14ac:dyDescent="0.2">
      <c r="A12" s="2">
        <v>20071041051</v>
      </c>
      <c r="B12" s="2" t="str">
        <f t="shared" si="0"/>
        <v>1041</v>
      </c>
      <c r="C12" s="2" t="s">
        <v>14</v>
      </c>
      <c r="D12" s="2">
        <v>69</v>
      </c>
      <c r="E12" s="2">
        <v>77</v>
      </c>
      <c r="F12" s="2">
        <v>72</v>
      </c>
    </row>
    <row r="13" spans="1:6" ht="15.75" thickTop="1" thickBot="1" x14ac:dyDescent="0.2">
      <c r="A13" s="2">
        <v>20071041017</v>
      </c>
      <c r="B13" s="2" t="str">
        <f t="shared" si="0"/>
        <v>1041</v>
      </c>
      <c r="C13" s="2" t="s">
        <v>15</v>
      </c>
      <c r="D13" s="2">
        <v>65</v>
      </c>
      <c r="E13" s="2">
        <v>73</v>
      </c>
      <c r="F13" s="2">
        <v>72</v>
      </c>
    </row>
    <row r="14" spans="1:6" ht="15.75" thickTop="1" thickBot="1" x14ac:dyDescent="0.2">
      <c r="A14" s="2">
        <v>20071032012</v>
      </c>
      <c r="B14" s="2" t="str">
        <f t="shared" si="0"/>
        <v>1032</v>
      </c>
      <c r="C14" s="2" t="s">
        <v>16</v>
      </c>
      <c r="D14" s="2">
        <v>82</v>
      </c>
      <c r="E14" s="2">
        <v>78</v>
      </c>
      <c r="F14" s="2">
        <v>81</v>
      </c>
    </row>
    <row r="15" spans="1:6" ht="15.75" thickTop="1" thickBot="1" x14ac:dyDescent="0.2">
      <c r="A15" s="2">
        <v>20071041013</v>
      </c>
      <c r="B15" s="2" t="str">
        <f t="shared" si="0"/>
        <v>1041</v>
      </c>
      <c r="C15" s="2" t="s">
        <v>17</v>
      </c>
      <c r="D15" s="2">
        <v>72</v>
      </c>
      <c r="E15" s="2">
        <v>75</v>
      </c>
      <c r="F15" s="2">
        <v>77</v>
      </c>
    </row>
    <row r="16" spans="1:6" ht="15.75" thickTop="1" thickBot="1" x14ac:dyDescent="0.2">
      <c r="A16" s="2">
        <v>20071051037</v>
      </c>
      <c r="B16" s="2" t="str">
        <f t="shared" si="0"/>
        <v>1051</v>
      </c>
      <c r="C16" s="2" t="s">
        <v>18</v>
      </c>
      <c r="D16" s="2">
        <v>74</v>
      </c>
      <c r="E16" s="2">
        <v>81</v>
      </c>
      <c r="F16" s="2">
        <v>80</v>
      </c>
    </row>
    <row r="17" spans="1:6" ht="15.75" thickTop="1" thickBot="1" x14ac:dyDescent="0.2">
      <c r="A17" s="2">
        <v>20071032016</v>
      </c>
      <c r="B17" s="2" t="str">
        <f t="shared" si="0"/>
        <v>1032</v>
      </c>
      <c r="C17" s="2" t="s">
        <v>19</v>
      </c>
      <c r="D17" s="2">
        <v>72</v>
      </c>
      <c r="E17" s="2">
        <v>72</v>
      </c>
      <c r="F17" s="2">
        <v>83</v>
      </c>
    </row>
    <row r="18" spans="1:6" ht="15.75" thickTop="1" thickBot="1" x14ac:dyDescent="0.2">
      <c r="A18" s="2">
        <v>20071051016</v>
      </c>
      <c r="B18" s="2" t="str">
        <f t="shared" si="0"/>
        <v>1051</v>
      </c>
      <c r="C18" s="2" t="s">
        <v>20</v>
      </c>
      <c r="D18" s="2">
        <v>77</v>
      </c>
      <c r="E18" s="2">
        <v>79</v>
      </c>
      <c r="F18" s="2">
        <v>74</v>
      </c>
    </row>
    <row r="19" spans="1:6" ht="15.75" thickTop="1" thickBot="1" x14ac:dyDescent="0.2">
      <c r="A19" s="2">
        <v>20071032041</v>
      </c>
      <c r="B19" s="2" t="str">
        <f t="shared" si="0"/>
        <v>1032</v>
      </c>
      <c r="C19" s="2" t="s">
        <v>21</v>
      </c>
      <c r="D19" s="2">
        <v>78</v>
      </c>
      <c r="E19" s="2">
        <v>83</v>
      </c>
      <c r="F19" s="2">
        <v>81</v>
      </c>
    </row>
    <row r="20" spans="1:6" ht="15.75" thickTop="1" thickBot="1" x14ac:dyDescent="0.2">
      <c r="A20" s="2">
        <v>20071041039</v>
      </c>
      <c r="B20" s="2" t="str">
        <f t="shared" si="0"/>
        <v>1041</v>
      </c>
      <c r="C20" s="2" t="s">
        <v>22</v>
      </c>
      <c r="D20" s="2">
        <v>68</v>
      </c>
      <c r="E20" s="2">
        <v>76</v>
      </c>
      <c r="F20" s="2">
        <v>75</v>
      </c>
    </row>
    <row r="21" spans="1:6" ht="15.75" thickTop="1" thickBot="1" x14ac:dyDescent="0.2">
      <c r="A21" s="2">
        <v>20071051042</v>
      </c>
      <c r="B21" s="2" t="str">
        <f t="shared" si="0"/>
        <v>1051</v>
      </c>
      <c r="C21" s="2" t="s">
        <v>23</v>
      </c>
      <c r="D21" s="2">
        <v>72</v>
      </c>
      <c r="E21" s="2">
        <v>83</v>
      </c>
      <c r="F21" s="2">
        <v>82</v>
      </c>
    </row>
    <row r="22" spans="1:6" ht="15.75" thickTop="1" thickBot="1" x14ac:dyDescent="0.2">
      <c r="A22" s="2">
        <v>20071051043</v>
      </c>
      <c r="B22" s="2" t="str">
        <f t="shared" si="0"/>
        <v>1051</v>
      </c>
      <c r="C22" s="2" t="s">
        <v>24</v>
      </c>
      <c r="D22" s="2">
        <v>79</v>
      </c>
      <c r="E22" s="2">
        <v>72</v>
      </c>
      <c r="F22" s="2">
        <v>83</v>
      </c>
    </row>
    <row r="23" spans="1:6" ht="15.75" thickTop="1" thickBot="1" x14ac:dyDescent="0.2">
      <c r="A23" s="2">
        <v>20071032023</v>
      </c>
      <c r="B23" s="2" t="str">
        <f t="shared" si="0"/>
        <v>1032</v>
      </c>
      <c r="C23" s="2" t="s">
        <v>25</v>
      </c>
      <c r="D23" s="2">
        <v>66</v>
      </c>
      <c r="E23" s="2">
        <v>76</v>
      </c>
      <c r="F23" s="2">
        <v>73</v>
      </c>
    </row>
    <row r="24" spans="1:6" ht="15.75" thickTop="1" thickBot="1" x14ac:dyDescent="0.2">
      <c r="A24" s="2">
        <v>20071032043</v>
      </c>
      <c r="B24" s="2" t="str">
        <f t="shared" si="0"/>
        <v>1032</v>
      </c>
      <c r="C24" s="2" t="s">
        <v>26</v>
      </c>
      <c r="D24" s="2">
        <v>76</v>
      </c>
      <c r="E24" s="2">
        <v>73</v>
      </c>
      <c r="F24" s="2">
        <v>65</v>
      </c>
    </row>
    <row r="25" spans="1:6" ht="15.75" thickTop="1" thickBot="1" x14ac:dyDescent="0.2">
      <c r="A25" s="2">
        <v>20071051007</v>
      </c>
      <c r="B25" s="2" t="str">
        <f t="shared" si="0"/>
        <v>1051</v>
      </c>
      <c r="C25" s="2" t="s">
        <v>27</v>
      </c>
      <c r="D25" s="2">
        <v>76</v>
      </c>
      <c r="E25" s="2">
        <v>70</v>
      </c>
      <c r="F25" s="2">
        <v>82</v>
      </c>
    </row>
    <row r="26" spans="1:6" ht="15.75" thickTop="1" thickBot="1" x14ac:dyDescent="0.2">
      <c r="A26" s="2">
        <v>20071041052</v>
      </c>
      <c r="B26" s="2" t="str">
        <f t="shared" si="0"/>
        <v>1041</v>
      </c>
      <c r="C26" s="2" t="s">
        <v>28</v>
      </c>
      <c r="D26" s="2">
        <v>73</v>
      </c>
      <c r="E26" s="2">
        <v>81</v>
      </c>
      <c r="F26" s="2">
        <v>80</v>
      </c>
    </row>
    <row r="27" spans="1:6" ht="15" thickTop="1" x14ac:dyDescent="0.15"/>
  </sheetData>
  <mergeCells count="1">
    <mergeCell ref="A1:F1"/>
  </mergeCells>
  <phoneticPr fontId="1" type="noConversion"/>
  <conditionalFormatting sqref="D3:F26">
    <cfRule type="cellIs" dxfId="1" priority="1" operator="greaterThanOrEqual">
      <formula>80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firstPageNumber="2" orientation="portrait" useFirstPageNumber="1" r:id="rId1"/>
  <headerFooter alignWithMargins="0">
    <oddHeader>&amp;L&amp;"隶书,加粗"&amp;9 &amp;U10级部分班级抽测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3" workbookViewId="0">
      <selection activeCell="Q16" sqref="Q16"/>
    </sheetView>
  </sheetViews>
  <sheetFormatPr defaultRowHeight="14.25" x14ac:dyDescent="0.15"/>
  <cols>
    <col min="1" max="1" width="11.25" bestFit="1" customWidth="1"/>
  </cols>
  <sheetData>
    <row r="1" spans="1:8" ht="20.25" x14ac:dyDescent="0.15">
      <c r="A1" s="7" t="s">
        <v>29</v>
      </c>
      <c r="B1" s="7"/>
      <c r="C1" s="7"/>
      <c r="D1" s="7"/>
      <c r="E1" s="7"/>
    </row>
    <row r="2" spans="1: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 t="s">
        <v>32</v>
      </c>
      <c r="H2" s="1" t="s">
        <v>37</v>
      </c>
    </row>
    <row r="3" spans="1:8" x14ac:dyDescent="0.15">
      <c r="A3" s="1">
        <v>20071051039</v>
      </c>
      <c r="B3" s="1" t="s">
        <v>5</v>
      </c>
      <c r="C3" s="1">
        <v>65</v>
      </c>
      <c r="D3" s="1">
        <v>72</v>
      </c>
      <c r="E3" s="1">
        <v>69</v>
      </c>
      <c r="F3" s="3">
        <f>C3*0.2+D3*0.3+E3*0.5</f>
        <v>69.099999999999994</v>
      </c>
      <c r="G3">
        <f>RANK($F3,F$3:F$26)</f>
        <v>24</v>
      </c>
      <c r="H3" t="str">
        <f>IF(AND(E3&gt;=80,F3&gt;=80),"优秀","合格")</f>
        <v>合格</v>
      </c>
    </row>
    <row r="4" spans="1:8" x14ac:dyDescent="0.15">
      <c r="A4" s="1">
        <v>20071051026</v>
      </c>
      <c r="B4" s="1" t="s">
        <v>6</v>
      </c>
      <c r="C4" s="1">
        <v>66</v>
      </c>
      <c r="D4" s="1">
        <v>71</v>
      </c>
      <c r="E4" s="1">
        <v>83</v>
      </c>
      <c r="F4" s="3">
        <f t="shared" ref="F4:F26" si="0">C4*0.2+D4*0.3+E4*0.5</f>
        <v>76</v>
      </c>
      <c r="G4">
        <f t="shared" ref="G4:G26" si="1">RANK($F4,F$3:F$26)</f>
        <v>12</v>
      </c>
      <c r="H4" t="str">
        <f t="shared" ref="H4:H26" si="2">IF(AND(E4&gt;=80,F4&gt;=80),"优秀","合格")</f>
        <v>合格</v>
      </c>
    </row>
    <row r="5" spans="1:8" x14ac:dyDescent="0.15">
      <c r="A5" s="1">
        <v>20071041029</v>
      </c>
      <c r="B5" s="1" t="s">
        <v>7</v>
      </c>
      <c r="C5" s="1">
        <v>73</v>
      </c>
      <c r="D5" s="1">
        <v>84</v>
      </c>
      <c r="E5" s="1">
        <v>83</v>
      </c>
      <c r="F5" s="3">
        <f t="shared" si="0"/>
        <v>81.3</v>
      </c>
      <c r="G5">
        <f t="shared" si="1"/>
        <v>1</v>
      </c>
      <c r="H5" t="str">
        <f t="shared" si="2"/>
        <v>优秀</v>
      </c>
    </row>
    <row r="6" spans="1:8" x14ac:dyDescent="0.15">
      <c r="A6" s="1">
        <v>20071051036</v>
      </c>
      <c r="B6" s="1" t="s">
        <v>8</v>
      </c>
      <c r="C6" s="1">
        <v>79</v>
      </c>
      <c r="D6" s="1">
        <v>72</v>
      </c>
      <c r="E6" s="1">
        <v>66</v>
      </c>
      <c r="F6" s="3">
        <f t="shared" si="0"/>
        <v>70.400000000000006</v>
      </c>
      <c r="G6">
        <f t="shared" si="1"/>
        <v>22</v>
      </c>
      <c r="H6" t="str">
        <f t="shared" si="2"/>
        <v>合格</v>
      </c>
    </row>
    <row r="7" spans="1:8" x14ac:dyDescent="0.15">
      <c r="A7" s="1">
        <v>20071051038</v>
      </c>
      <c r="B7" s="1" t="s">
        <v>9</v>
      </c>
      <c r="C7" s="1">
        <v>65</v>
      </c>
      <c r="D7" s="1">
        <v>82</v>
      </c>
      <c r="E7" s="1">
        <v>69</v>
      </c>
      <c r="F7" s="3">
        <f t="shared" si="0"/>
        <v>72.099999999999994</v>
      </c>
      <c r="G7">
        <f t="shared" si="1"/>
        <v>20</v>
      </c>
      <c r="H7" t="str">
        <f t="shared" si="2"/>
        <v>合格</v>
      </c>
    </row>
    <row r="8" spans="1:8" x14ac:dyDescent="0.15">
      <c r="A8" s="1">
        <v>20071032051</v>
      </c>
      <c r="B8" s="1" t="s">
        <v>10</v>
      </c>
      <c r="C8" s="1">
        <v>72</v>
      </c>
      <c r="D8" s="1">
        <v>81</v>
      </c>
      <c r="E8" s="1">
        <v>74</v>
      </c>
      <c r="F8" s="3">
        <f t="shared" si="0"/>
        <v>75.7</v>
      </c>
      <c r="G8">
        <f t="shared" si="1"/>
        <v>13</v>
      </c>
      <c r="H8" t="str">
        <f t="shared" si="2"/>
        <v>合格</v>
      </c>
    </row>
    <row r="9" spans="1:8" x14ac:dyDescent="0.15">
      <c r="A9" s="1">
        <v>20071041042</v>
      </c>
      <c r="B9" s="1" t="s">
        <v>11</v>
      </c>
      <c r="C9" s="1">
        <v>67</v>
      </c>
      <c r="D9" s="1">
        <v>78</v>
      </c>
      <c r="E9" s="1">
        <v>74</v>
      </c>
      <c r="F9" s="3">
        <f t="shared" si="0"/>
        <v>73.8</v>
      </c>
      <c r="G9">
        <f t="shared" si="1"/>
        <v>16</v>
      </c>
      <c r="H9" t="str">
        <f t="shared" si="2"/>
        <v>合格</v>
      </c>
    </row>
    <row r="10" spans="1:8" x14ac:dyDescent="0.15">
      <c r="A10" s="1">
        <v>20071051031</v>
      </c>
      <c r="B10" s="1" t="s">
        <v>12</v>
      </c>
      <c r="C10" s="1">
        <v>77</v>
      </c>
      <c r="D10" s="1">
        <v>83</v>
      </c>
      <c r="E10" s="1">
        <v>80</v>
      </c>
      <c r="F10" s="3">
        <f t="shared" si="0"/>
        <v>80.3</v>
      </c>
      <c r="G10">
        <f t="shared" si="1"/>
        <v>3</v>
      </c>
      <c r="H10" t="str">
        <f t="shared" si="2"/>
        <v>优秀</v>
      </c>
    </row>
    <row r="11" spans="1:8" x14ac:dyDescent="0.15">
      <c r="A11" s="1">
        <v>20071032008</v>
      </c>
      <c r="B11" s="1" t="s">
        <v>13</v>
      </c>
      <c r="C11" s="1">
        <v>69</v>
      </c>
      <c r="D11" s="1">
        <v>83</v>
      </c>
      <c r="E11" s="1">
        <v>70</v>
      </c>
      <c r="F11" s="3">
        <f t="shared" si="0"/>
        <v>73.7</v>
      </c>
      <c r="G11">
        <f t="shared" si="1"/>
        <v>17</v>
      </c>
      <c r="H11" t="str">
        <f t="shared" si="2"/>
        <v>合格</v>
      </c>
    </row>
    <row r="12" spans="1:8" x14ac:dyDescent="0.15">
      <c r="A12" s="1">
        <v>20071041051</v>
      </c>
      <c r="B12" s="1" t="s">
        <v>14</v>
      </c>
      <c r="C12" s="1">
        <v>69</v>
      </c>
      <c r="D12" s="1">
        <v>77</v>
      </c>
      <c r="E12" s="1">
        <v>72</v>
      </c>
      <c r="F12" s="3">
        <f t="shared" si="0"/>
        <v>72.900000000000006</v>
      </c>
      <c r="G12">
        <f t="shared" si="1"/>
        <v>18</v>
      </c>
      <c r="H12" t="str">
        <f t="shared" si="2"/>
        <v>合格</v>
      </c>
    </row>
    <row r="13" spans="1:8" x14ac:dyDescent="0.15">
      <c r="A13" s="1">
        <v>20071041017</v>
      </c>
      <c r="B13" s="1" t="s">
        <v>15</v>
      </c>
      <c r="C13" s="1">
        <v>65</v>
      </c>
      <c r="D13" s="1">
        <v>73</v>
      </c>
      <c r="E13" s="1">
        <v>72</v>
      </c>
      <c r="F13" s="3">
        <f t="shared" si="0"/>
        <v>70.900000000000006</v>
      </c>
      <c r="G13">
        <f t="shared" si="1"/>
        <v>21</v>
      </c>
      <c r="H13" t="str">
        <f t="shared" si="2"/>
        <v>合格</v>
      </c>
    </row>
    <row r="14" spans="1:8" x14ac:dyDescent="0.15">
      <c r="A14" s="1">
        <v>20071032012</v>
      </c>
      <c r="B14" s="1" t="s">
        <v>16</v>
      </c>
      <c r="C14" s="1">
        <v>82</v>
      </c>
      <c r="D14" s="1">
        <v>78</v>
      </c>
      <c r="E14" s="1">
        <v>81</v>
      </c>
      <c r="F14" s="3">
        <f t="shared" si="0"/>
        <v>80.3</v>
      </c>
      <c r="G14">
        <f t="shared" si="1"/>
        <v>3</v>
      </c>
      <c r="H14" t="str">
        <f t="shared" si="2"/>
        <v>优秀</v>
      </c>
    </row>
    <row r="15" spans="1:8" x14ac:dyDescent="0.15">
      <c r="A15" s="1">
        <v>20071041013</v>
      </c>
      <c r="B15" s="1" t="s">
        <v>17</v>
      </c>
      <c r="C15" s="1">
        <v>72</v>
      </c>
      <c r="D15" s="1">
        <v>75</v>
      </c>
      <c r="E15" s="1">
        <v>77</v>
      </c>
      <c r="F15" s="3">
        <f t="shared" si="0"/>
        <v>75.400000000000006</v>
      </c>
      <c r="G15">
        <f t="shared" si="1"/>
        <v>14</v>
      </c>
      <c r="H15" t="str">
        <f t="shared" si="2"/>
        <v>合格</v>
      </c>
    </row>
    <row r="16" spans="1:8" x14ac:dyDescent="0.15">
      <c r="A16" s="1">
        <v>20071051037</v>
      </c>
      <c r="B16" s="1" t="s">
        <v>18</v>
      </c>
      <c r="C16" s="1">
        <v>74</v>
      </c>
      <c r="D16" s="1">
        <v>81</v>
      </c>
      <c r="E16" s="1">
        <v>80</v>
      </c>
      <c r="F16" s="3">
        <f t="shared" si="0"/>
        <v>79.099999999999994</v>
      </c>
      <c r="G16">
        <f t="shared" si="1"/>
        <v>6</v>
      </c>
      <c r="H16" t="str">
        <f t="shared" si="2"/>
        <v>合格</v>
      </c>
    </row>
    <row r="17" spans="1:8" x14ac:dyDescent="0.15">
      <c r="A17" s="1">
        <v>20071032016</v>
      </c>
      <c r="B17" s="1" t="s">
        <v>19</v>
      </c>
      <c r="C17" s="1">
        <v>72</v>
      </c>
      <c r="D17" s="1">
        <v>72</v>
      </c>
      <c r="E17" s="1">
        <v>83</v>
      </c>
      <c r="F17" s="3">
        <f t="shared" si="0"/>
        <v>77.5</v>
      </c>
      <c r="G17">
        <f t="shared" si="1"/>
        <v>9</v>
      </c>
      <c r="H17" t="str">
        <f t="shared" si="2"/>
        <v>合格</v>
      </c>
    </row>
    <row r="18" spans="1:8" x14ac:dyDescent="0.15">
      <c r="A18" s="1">
        <v>20071051016</v>
      </c>
      <c r="B18" s="1" t="s">
        <v>20</v>
      </c>
      <c r="C18" s="1">
        <v>77</v>
      </c>
      <c r="D18" s="1">
        <v>79</v>
      </c>
      <c r="E18" s="1">
        <v>74</v>
      </c>
      <c r="F18" s="3">
        <f t="shared" si="0"/>
        <v>76.099999999999994</v>
      </c>
      <c r="G18">
        <f t="shared" si="1"/>
        <v>11</v>
      </c>
      <c r="H18" t="str">
        <f t="shared" si="2"/>
        <v>合格</v>
      </c>
    </row>
    <row r="19" spans="1:8" x14ac:dyDescent="0.15">
      <c r="A19" s="1">
        <v>20071032041</v>
      </c>
      <c r="B19" s="1" t="s">
        <v>21</v>
      </c>
      <c r="C19" s="1">
        <v>78</v>
      </c>
      <c r="D19" s="1">
        <v>83</v>
      </c>
      <c r="E19" s="1">
        <v>81</v>
      </c>
      <c r="F19" s="3">
        <f t="shared" si="0"/>
        <v>81</v>
      </c>
      <c r="G19">
        <f t="shared" si="1"/>
        <v>2</v>
      </c>
      <c r="H19" t="str">
        <f t="shared" si="2"/>
        <v>优秀</v>
      </c>
    </row>
    <row r="20" spans="1:8" x14ac:dyDescent="0.15">
      <c r="A20" s="1">
        <v>20071041039</v>
      </c>
      <c r="B20" s="1" t="s">
        <v>22</v>
      </c>
      <c r="C20" s="1">
        <v>68</v>
      </c>
      <c r="D20" s="1">
        <v>76</v>
      </c>
      <c r="E20" s="1">
        <v>75</v>
      </c>
      <c r="F20" s="3">
        <f t="shared" si="0"/>
        <v>73.900000000000006</v>
      </c>
      <c r="G20">
        <f t="shared" si="1"/>
        <v>15</v>
      </c>
      <c r="H20" t="str">
        <f t="shared" si="2"/>
        <v>合格</v>
      </c>
    </row>
    <row r="21" spans="1:8" x14ac:dyDescent="0.15">
      <c r="A21" s="1">
        <v>20071051042</v>
      </c>
      <c r="B21" s="1" t="s">
        <v>23</v>
      </c>
      <c r="C21" s="1">
        <v>72</v>
      </c>
      <c r="D21" s="1">
        <v>83</v>
      </c>
      <c r="E21" s="1">
        <v>82</v>
      </c>
      <c r="F21" s="3">
        <f t="shared" si="0"/>
        <v>80.3</v>
      </c>
      <c r="G21">
        <f t="shared" si="1"/>
        <v>3</v>
      </c>
      <c r="H21" t="str">
        <f t="shared" si="2"/>
        <v>优秀</v>
      </c>
    </row>
    <row r="22" spans="1:8" x14ac:dyDescent="0.15">
      <c r="A22" s="1">
        <v>20071051043</v>
      </c>
      <c r="B22" s="1" t="s">
        <v>24</v>
      </c>
      <c r="C22" s="1">
        <v>79</v>
      </c>
      <c r="D22" s="1">
        <v>72</v>
      </c>
      <c r="E22" s="1">
        <v>83</v>
      </c>
      <c r="F22" s="3">
        <f t="shared" si="0"/>
        <v>78.900000000000006</v>
      </c>
      <c r="G22">
        <f t="shared" si="1"/>
        <v>7</v>
      </c>
      <c r="H22" t="str">
        <f t="shared" si="2"/>
        <v>合格</v>
      </c>
    </row>
    <row r="23" spans="1:8" x14ac:dyDescent="0.15">
      <c r="A23" s="1">
        <v>20071032023</v>
      </c>
      <c r="B23" s="1" t="s">
        <v>25</v>
      </c>
      <c r="C23" s="1">
        <v>66</v>
      </c>
      <c r="D23" s="1">
        <v>76</v>
      </c>
      <c r="E23" s="1">
        <v>73</v>
      </c>
      <c r="F23" s="3">
        <f t="shared" si="0"/>
        <v>72.5</v>
      </c>
      <c r="G23">
        <f t="shared" si="1"/>
        <v>19</v>
      </c>
      <c r="H23" t="str">
        <f t="shared" si="2"/>
        <v>合格</v>
      </c>
    </row>
    <row r="24" spans="1:8" x14ac:dyDescent="0.15">
      <c r="A24" s="1">
        <v>20071032043</v>
      </c>
      <c r="B24" s="1" t="s">
        <v>26</v>
      </c>
      <c r="C24" s="1">
        <v>76</v>
      </c>
      <c r="D24" s="1">
        <v>73</v>
      </c>
      <c r="E24" s="1">
        <v>65</v>
      </c>
      <c r="F24" s="3">
        <f t="shared" si="0"/>
        <v>69.599999999999994</v>
      </c>
      <c r="G24">
        <f t="shared" si="1"/>
        <v>23</v>
      </c>
      <c r="H24" t="str">
        <f t="shared" si="2"/>
        <v>合格</v>
      </c>
    </row>
    <row r="25" spans="1:8" x14ac:dyDescent="0.15">
      <c r="A25" s="1">
        <v>20071051007</v>
      </c>
      <c r="B25" s="1" t="s">
        <v>27</v>
      </c>
      <c r="C25" s="1">
        <v>76</v>
      </c>
      <c r="D25" s="1">
        <v>70</v>
      </c>
      <c r="E25" s="1">
        <v>82</v>
      </c>
      <c r="F25" s="3">
        <f t="shared" si="0"/>
        <v>77.2</v>
      </c>
      <c r="G25">
        <f t="shared" si="1"/>
        <v>10</v>
      </c>
      <c r="H25" t="str">
        <f t="shared" si="2"/>
        <v>合格</v>
      </c>
    </row>
    <row r="26" spans="1:8" x14ac:dyDescent="0.15">
      <c r="A26" s="1">
        <v>20071041052</v>
      </c>
      <c r="B26" s="1" t="s">
        <v>28</v>
      </c>
      <c r="C26" s="1">
        <v>73</v>
      </c>
      <c r="D26" s="1">
        <v>81</v>
      </c>
      <c r="E26" s="1">
        <v>80</v>
      </c>
      <c r="F26" s="3">
        <f t="shared" si="0"/>
        <v>78.900000000000006</v>
      </c>
      <c r="G26">
        <f t="shared" si="1"/>
        <v>7</v>
      </c>
      <c r="H26" t="str">
        <f t="shared" si="2"/>
        <v>合格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N6" sqref="N6"/>
    </sheetView>
  </sheetViews>
  <sheetFormatPr defaultRowHeight="14.25" outlineLevelRow="2" x14ac:dyDescent="0.15"/>
  <sheetData>
    <row r="1" spans="1:6" ht="21" thickBot="1" x14ac:dyDescent="0.2">
      <c r="A1" s="8" t="s">
        <v>29</v>
      </c>
      <c r="B1" s="8"/>
      <c r="C1" s="8"/>
      <c r="D1" s="8"/>
      <c r="E1" s="8"/>
      <c r="F1" s="8"/>
    </row>
    <row r="2" spans="1:6" ht="15.75" thickTop="1" thickBot="1" x14ac:dyDescent="0.2">
      <c r="A2" s="2" t="s">
        <v>0</v>
      </c>
      <c r="B2" s="2" t="s">
        <v>30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.75" outlineLevel="2" thickTop="1" thickBot="1" x14ac:dyDescent="0.2">
      <c r="A3" s="2">
        <v>20071032016</v>
      </c>
      <c r="B3" s="2" t="str">
        <f t="shared" ref="B3:B9" si="0">MID(A3,5,4)</f>
        <v>1032</v>
      </c>
      <c r="C3" s="2" t="s">
        <v>19</v>
      </c>
      <c r="D3" s="2">
        <v>72</v>
      </c>
      <c r="E3" s="2">
        <v>72</v>
      </c>
      <c r="F3" s="2">
        <v>83</v>
      </c>
    </row>
    <row r="4" spans="1:6" ht="15.75" outlineLevel="2" thickTop="1" thickBot="1" x14ac:dyDescent="0.2">
      <c r="A4" s="2">
        <v>20071032012</v>
      </c>
      <c r="B4" s="2" t="str">
        <f t="shared" si="0"/>
        <v>1032</v>
      </c>
      <c r="C4" s="2" t="s">
        <v>16</v>
      </c>
      <c r="D4" s="2">
        <v>82</v>
      </c>
      <c r="E4" s="2">
        <v>78</v>
      </c>
      <c r="F4" s="2">
        <v>81</v>
      </c>
    </row>
    <row r="5" spans="1:6" ht="15.75" outlineLevel="2" thickTop="1" thickBot="1" x14ac:dyDescent="0.2">
      <c r="A5" s="2">
        <v>20071032041</v>
      </c>
      <c r="B5" s="2" t="str">
        <f t="shared" si="0"/>
        <v>1032</v>
      </c>
      <c r="C5" s="2" t="s">
        <v>21</v>
      </c>
      <c r="D5" s="2">
        <v>78</v>
      </c>
      <c r="E5" s="2">
        <v>83</v>
      </c>
      <c r="F5" s="2">
        <v>81</v>
      </c>
    </row>
    <row r="6" spans="1:6" ht="15.75" outlineLevel="2" thickTop="1" thickBot="1" x14ac:dyDescent="0.2">
      <c r="A6" s="2">
        <v>20071032051</v>
      </c>
      <c r="B6" s="2" t="str">
        <f t="shared" si="0"/>
        <v>1032</v>
      </c>
      <c r="C6" s="2" t="s">
        <v>10</v>
      </c>
      <c r="D6" s="2">
        <v>72</v>
      </c>
      <c r="E6" s="2">
        <v>81</v>
      </c>
      <c r="F6" s="2">
        <v>74</v>
      </c>
    </row>
    <row r="7" spans="1:6" ht="15.75" outlineLevel="2" thickTop="1" thickBot="1" x14ac:dyDescent="0.2">
      <c r="A7" s="2">
        <v>20071032023</v>
      </c>
      <c r="B7" s="2" t="str">
        <f t="shared" si="0"/>
        <v>1032</v>
      </c>
      <c r="C7" s="2" t="s">
        <v>25</v>
      </c>
      <c r="D7" s="2">
        <v>66</v>
      </c>
      <c r="E7" s="2">
        <v>76</v>
      </c>
      <c r="F7" s="2">
        <v>73</v>
      </c>
    </row>
    <row r="8" spans="1:6" ht="15.75" outlineLevel="2" thickTop="1" thickBot="1" x14ac:dyDescent="0.2">
      <c r="A8" s="2">
        <v>20071032008</v>
      </c>
      <c r="B8" s="2" t="str">
        <f t="shared" si="0"/>
        <v>1032</v>
      </c>
      <c r="C8" s="2" t="s">
        <v>13</v>
      </c>
      <c r="D8" s="2">
        <v>69</v>
      </c>
      <c r="E8" s="2">
        <v>83</v>
      </c>
      <c r="F8" s="2">
        <v>70</v>
      </c>
    </row>
    <row r="9" spans="1:6" ht="15.75" outlineLevel="2" thickTop="1" thickBot="1" x14ac:dyDescent="0.2">
      <c r="A9" s="2">
        <v>20071032043</v>
      </c>
      <c r="B9" s="2" t="str">
        <f t="shared" si="0"/>
        <v>1032</v>
      </c>
      <c r="C9" s="2" t="s">
        <v>26</v>
      </c>
      <c r="D9" s="2">
        <v>76</v>
      </c>
      <c r="E9" s="2">
        <v>73</v>
      </c>
      <c r="F9" s="2">
        <v>65</v>
      </c>
    </row>
    <row r="10" spans="1:6" ht="15.75" outlineLevel="1" thickTop="1" thickBot="1" x14ac:dyDescent="0.2">
      <c r="A10" s="2"/>
      <c r="B10" s="4" t="s">
        <v>33</v>
      </c>
      <c r="C10" s="2"/>
      <c r="D10" s="2">
        <f>SUBTOTAL(1,D3:D9)</f>
        <v>73.571428571428569</v>
      </c>
      <c r="E10" s="2">
        <f>SUBTOTAL(1,E3:E9)</f>
        <v>78</v>
      </c>
      <c r="F10" s="2">
        <f>SUBTOTAL(1,F3:F9)</f>
        <v>75.285714285714292</v>
      </c>
    </row>
    <row r="11" spans="1:6" ht="15.75" outlineLevel="2" thickTop="1" thickBot="1" x14ac:dyDescent="0.2">
      <c r="A11" s="2">
        <v>20071041029</v>
      </c>
      <c r="B11" s="2" t="str">
        <f t="shared" ref="B11:B17" si="1">MID(A11,5,4)</f>
        <v>1041</v>
      </c>
      <c r="C11" s="2" t="s">
        <v>7</v>
      </c>
      <c r="D11" s="2">
        <v>73</v>
      </c>
      <c r="E11" s="2">
        <v>84</v>
      </c>
      <c r="F11" s="2">
        <v>83</v>
      </c>
    </row>
    <row r="12" spans="1:6" ht="15.75" outlineLevel="2" thickTop="1" thickBot="1" x14ac:dyDescent="0.2">
      <c r="A12" s="2">
        <v>20071041052</v>
      </c>
      <c r="B12" s="2" t="str">
        <f t="shared" si="1"/>
        <v>1041</v>
      </c>
      <c r="C12" s="2" t="s">
        <v>28</v>
      </c>
      <c r="D12" s="2">
        <v>73</v>
      </c>
      <c r="E12" s="2">
        <v>81</v>
      </c>
      <c r="F12" s="2">
        <v>80</v>
      </c>
    </row>
    <row r="13" spans="1:6" ht="15.75" outlineLevel="2" thickTop="1" thickBot="1" x14ac:dyDescent="0.2">
      <c r="A13" s="2">
        <v>20071041013</v>
      </c>
      <c r="B13" s="2" t="str">
        <f t="shared" si="1"/>
        <v>1041</v>
      </c>
      <c r="C13" s="2" t="s">
        <v>17</v>
      </c>
      <c r="D13" s="2">
        <v>72</v>
      </c>
      <c r="E13" s="2">
        <v>75</v>
      </c>
      <c r="F13" s="2">
        <v>77</v>
      </c>
    </row>
    <row r="14" spans="1:6" ht="15.75" outlineLevel="2" thickTop="1" thickBot="1" x14ac:dyDescent="0.2">
      <c r="A14" s="2">
        <v>20071041039</v>
      </c>
      <c r="B14" s="2" t="str">
        <f t="shared" si="1"/>
        <v>1041</v>
      </c>
      <c r="C14" s="2" t="s">
        <v>22</v>
      </c>
      <c r="D14" s="2">
        <v>68</v>
      </c>
      <c r="E14" s="2">
        <v>76</v>
      </c>
      <c r="F14" s="2">
        <v>75</v>
      </c>
    </row>
    <row r="15" spans="1:6" ht="15.75" outlineLevel="2" thickTop="1" thickBot="1" x14ac:dyDescent="0.2">
      <c r="A15" s="2">
        <v>20071041042</v>
      </c>
      <c r="B15" s="2" t="str">
        <f t="shared" si="1"/>
        <v>1041</v>
      </c>
      <c r="C15" s="2" t="s">
        <v>11</v>
      </c>
      <c r="D15" s="2">
        <v>67</v>
      </c>
      <c r="E15" s="2">
        <v>78</v>
      </c>
      <c r="F15" s="2">
        <v>74</v>
      </c>
    </row>
    <row r="16" spans="1:6" ht="15.75" outlineLevel="2" thickTop="1" thickBot="1" x14ac:dyDescent="0.2">
      <c r="A16" s="2">
        <v>20071041051</v>
      </c>
      <c r="B16" s="2" t="str">
        <f t="shared" si="1"/>
        <v>1041</v>
      </c>
      <c r="C16" s="2" t="s">
        <v>14</v>
      </c>
      <c r="D16" s="2">
        <v>69</v>
      </c>
      <c r="E16" s="2">
        <v>77</v>
      </c>
      <c r="F16" s="2">
        <v>72</v>
      </c>
    </row>
    <row r="17" spans="1:6" ht="15.75" outlineLevel="2" thickTop="1" thickBot="1" x14ac:dyDescent="0.2">
      <c r="A17" s="2">
        <v>20071041017</v>
      </c>
      <c r="B17" s="2" t="str">
        <f t="shared" si="1"/>
        <v>1041</v>
      </c>
      <c r="C17" s="2" t="s">
        <v>15</v>
      </c>
      <c r="D17" s="2">
        <v>65</v>
      </c>
      <c r="E17" s="2">
        <v>73</v>
      </c>
      <c r="F17" s="2">
        <v>72</v>
      </c>
    </row>
    <row r="18" spans="1:6" ht="15.75" outlineLevel="1" thickTop="1" thickBot="1" x14ac:dyDescent="0.2">
      <c r="A18" s="2"/>
      <c r="B18" s="4" t="s">
        <v>34</v>
      </c>
      <c r="C18" s="2"/>
      <c r="D18" s="2">
        <f>SUBTOTAL(1,D11:D17)</f>
        <v>69.571428571428569</v>
      </c>
      <c r="E18" s="2">
        <f>SUBTOTAL(1,E11:E17)</f>
        <v>77.714285714285708</v>
      </c>
      <c r="F18" s="2">
        <f>SUBTOTAL(1,F11:F17)</f>
        <v>76.142857142857139</v>
      </c>
    </row>
    <row r="19" spans="1:6" ht="15.75" outlineLevel="2" thickTop="1" thickBot="1" x14ac:dyDescent="0.2">
      <c r="A19" s="2">
        <v>20071051026</v>
      </c>
      <c r="B19" s="2" t="str">
        <f t="shared" ref="B19:B28" si="2">MID(A19,5,4)</f>
        <v>1051</v>
      </c>
      <c r="C19" s="2" t="s">
        <v>6</v>
      </c>
      <c r="D19" s="2">
        <v>66</v>
      </c>
      <c r="E19" s="2">
        <v>71</v>
      </c>
      <c r="F19" s="2">
        <v>83</v>
      </c>
    </row>
    <row r="20" spans="1:6" ht="15.75" outlineLevel="2" thickTop="1" thickBot="1" x14ac:dyDescent="0.2">
      <c r="A20" s="2">
        <v>20071051043</v>
      </c>
      <c r="B20" s="2" t="str">
        <f t="shared" si="2"/>
        <v>1051</v>
      </c>
      <c r="C20" s="2" t="s">
        <v>24</v>
      </c>
      <c r="D20" s="2">
        <v>79</v>
      </c>
      <c r="E20" s="2">
        <v>72</v>
      </c>
      <c r="F20" s="2">
        <v>83</v>
      </c>
    </row>
    <row r="21" spans="1:6" ht="15.75" outlineLevel="2" thickTop="1" thickBot="1" x14ac:dyDescent="0.2">
      <c r="A21" s="2">
        <v>20071051042</v>
      </c>
      <c r="B21" s="2" t="str">
        <f t="shared" si="2"/>
        <v>1051</v>
      </c>
      <c r="C21" s="2" t="s">
        <v>23</v>
      </c>
      <c r="D21" s="2">
        <v>72</v>
      </c>
      <c r="E21" s="2">
        <v>83</v>
      </c>
      <c r="F21" s="2">
        <v>82</v>
      </c>
    </row>
    <row r="22" spans="1:6" ht="15.75" outlineLevel="2" thickTop="1" thickBot="1" x14ac:dyDescent="0.2">
      <c r="A22" s="2">
        <v>20071051007</v>
      </c>
      <c r="B22" s="2" t="str">
        <f t="shared" si="2"/>
        <v>1051</v>
      </c>
      <c r="C22" s="2" t="s">
        <v>27</v>
      </c>
      <c r="D22" s="2">
        <v>76</v>
      </c>
      <c r="E22" s="2">
        <v>70</v>
      </c>
      <c r="F22" s="2">
        <v>82</v>
      </c>
    </row>
    <row r="23" spans="1:6" ht="15.75" outlineLevel="2" thickTop="1" thickBot="1" x14ac:dyDescent="0.2">
      <c r="A23" s="2">
        <v>20071051031</v>
      </c>
      <c r="B23" s="2" t="str">
        <f t="shared" si="2"/>
        <v>1051</v>
      </c>
      <c r="C23" s="2" t="s">
        <v>12</v>
      </c>
      <c r="D23" s="2">
        <v>77</v>
      </c>
      <c r="E23" s="2">
        <v>83</v>
      </c>
      <c r="F23" s="2">
        <v>80</v>
      </c>
    </row>
    <row r="24" spans="1:6" ht="15.75" outlineLevel="2" thickTop="1" thickBot="1" x14ac:dyDescent="0.2">
      <c r="A24" s="2">
        <v>20071051037</v>
      </c>
      <c r="B24" s="2" t="str">
        <f t="shared" si="2"/>
        <v>1051</v>
      </c>
      <c r="C24" s="2" t="s">
        <v>18</v>
      </c>
      <c r="D24" s="2">
        <v>74</v>
      </c>
      <c r="E24" s="2">
        <v>81</v>
      </c>
      <c r="F24" s="2">
        <v>80</v>
      </c>
    </row>
    <row r="25" spans="1:6" ht="15.75" outlineLevel="2" thickTop="1" thickBot="1" x14ac:dyDescent="0.2">
      <c r="A25" s="2">
        <v>20071051016</v>
      </c>
      <c r="B25" s="2" t="str">
        <f t="shared" si="2"/>
        <v>1051</v>
      </c>
      <c r="C25" s="2" t="s">
        <v>20</v>
      </c>
      <c r="D25" s="2">
        <v>77</v>
      </c>
      <c r="E25" s="2">
        <v>79</v>
      </c>
      <c r="F25" s="2">
        <v>74</v>
      </c>
    </row>
    <row r="26" spans="1:6" ht="15.75" outlineLevel="2" thickTop="1" thickBot="1" x14ac:dyDescent="0.2">
      <c r="A26" s="2">
        <v>20071051039</v>
      </c>
      <c r="B26" s="2" t="str">
        <f t="shared" si="2"/>
        <v>1051</v>
      </c>
      <c r="C26" s="2" t="s">
        <v>5</v>
      </c>
      <c r="D26" s="2">
        <v>65</v>
      </c>
      <c r="E26" s="2">
        <v>72</v>
      </c>
      <c r="F26" s="2">
        <v>69</v>
      </c>
    </row>
    <row r="27" spans="1:6" ht="15.75" outlineLevel="2" thickTop="1" thickBot="1" x14ac:dyDescent="0.2">
      <c r="A27" s="2">
        <v>20071051038</v>
      </c>
      <c r="B27" s="2" t="str">
        <f t="shared" si="2"/>
        <v>1051</v>
      </c>
      <c r="C27" s="2" t="s">
        <v>9</v>
      </c>
      <c r="D27" s="2">
        <v>65</v>
      </c>
      <c r="E27" s="2">
        <v>82</v>
      </c>
      <c r="F27" s="2">
        <v>69</v>
      </c>
    </row>
    <row r="28" spans="1:6" ht="15.75" outlineLevel="2" thickTop="1" thickBot="1" x14ac:dyDescent="0.2">
      <c r="A28" s="2">
        <v>20071051036</v>
      </c>
      <c r="B28" s="2" t="str">
        <f t="shared" si="2"/>
        <v>1051</v>
      </c>
      <c r="C28" s="2" t="s">
        <v>8</v>
      </c>
      <c r="D28" s="2">
        <v>79</v>
      </c>
      <c r="E28" s="2">
        <v>72</v>
      </c>
      <c r="F28" s="2">
        <v>66</v>
      </c>
    </row>
    <row r="29" spans="1:6" ht="15" outlineLevel="1" thickTop="1" x14ac:dyDescent="0.15">
      <c r="A29" s="5"/>
      <c r="B29" s="6" t="s">
        <v>35</v>
      </c>
      <c r="C29" s="5"/>
      <c r="D29" s="5">
        <f>SUBTOTAL(1,D19:D28)</f>
        <v>73</v>
      </c>
      <c r="E29" s="5">
        <f>SUBTOTAL(1,E19:E28)</f>
        <v>76.5</v>
      </c>
      <c r="F29" s="5">
        <f>SUBTOTAL(1,F19:F28)</f>
        <v>76.8</v>
      </c>
    </row>
    <row r="30" spans="1:6" x14ac:dyDescent="0.15">
      <c r="A30" s="5"/>
      <c r="B30" s="6" t="s">
        <v>36</v>
      </c>
      <c r="C30" s="5"/>
      <c r="D30" s="5">
        <f>SUBTOTAL(1,D3:D28)</f>
        <v>72.166666666666671</v>
      </c>
      <c r="E30" s="5">
        <f>SUBTOTAL(1,E3:E28)</f>
        <v>77.291666666666671</v>
      </c>
      <c r="F30" s="5">
        <f>SUBTOTAL(1,F3:F28)</f>
        <v>76.166666666666671</v>
      </c>
    </row>
  </sheetData>
  <sortState ref="A3:F26">
    <sortCondition ref="B3:B26"/>
    <sortCondition descending="1" ref="F3:F26"/>
  </sortState>
  <mergeCells count="1">
    <mergeCell ref="A1:F1"/>
  </mergeCells>
  <phoneticPr fontId="4" type="noConversion"/>
  <conditionalFormatting sqref="D3:F30">
    <cfRule type="cellIs" dxfId="0" priority="1" operator="greaterThanOrEqual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图表</vt:lpstr>
      </vt:variant>
      <vt:variant>
        <vt:i4>1</vt:i4>
      </vt:variant>
    </vt:vector>
  </HeadingPairs>
  <TitlesOfParts>
    <vt:vector size="5" baseType="lpstr">
      <vt:lpstr>部分学生成绩统计表</vt:lpstr>
      <vt:lpstr>Sheet2</vt:lpstr>
      <vt:lpstr>Sheet3</vt:lpstr>
      <vt:lpstr>分类汇总</vt:lpstr>
      <vt:lpstr>图表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2017-02-25T06:05:22Z</dcterms:created>
  <dcterms:modified xsi:type="dcterms:W3CDTF">2018-09-21T08:47:18Z</dcterms:modified>
</cp:coreProperties>
</file>