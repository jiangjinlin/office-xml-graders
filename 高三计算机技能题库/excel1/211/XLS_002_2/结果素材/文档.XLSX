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/>
  </bookViews>
  <sheets>
    <sheet name="影片产量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筛选!$B$5:$I$5</definedName>
  </definedNames>
  <calcPr calcId="144525"/>
</workbook>
</file>

<file path=xl/calcChain.xml><?xml version="1.0" encoding="utf-8"?>
<calcChain xmlns="http://schemas.openxmlformats.org/spreadsheetml/2006/main">
  <c r="F69" i="4" l="1"/>
  <c r="E69" i="4"/>
  <c r="D69" i="4"/>
  <c r="F68" i="4"/>
  <c r="E68" i="4"/>
  <c r="D68" i="4"/>
  <c r="F66" i="4"/>
  <c r="E66" i="4"/>
  <c r="D66" i="4"/>
  <c r="F64" i="4"/>
  <c r="E64" i="4"/>
  <c r="D64" i="4"/>
  <c r="F62" i="4"/>
  <c r="E62" i="4"/>
  <c r="D62" i="4"/>
  <c r="F60" i="4"/>
  <c r="E60" i="4"/>
  <c r="D60" i="4"/>
  <c r="F58" i="4"/>
  <c r="E58" i="4"/>
  <c r="D58" i="4"/>
  <c r="F56" i="4"/>
  <c r="E56" i="4"/>
  <c r="D56" i="4"/>
  <c r="F54" i="4"/>
  <c r="E54" i="4"/>
  <c r="D54" i="4"/>
  <c r="F52" i="4"/>
  <c r="E52" i="4"/>
  <c r="D52" i="4"/>
  <c r="F50" i="4"/>
  <c r="E50" i="4"/>
  <c r="D50" i="4"/>
  <c r="F48" i="4"/>
  <c r="E48" i="4"/>
  <c r="D48" i="4"/>
  <c r="F46" i="4"/>
  <c r="E46" i="4"/>
  <c r="D46" i="4"/>
  <c r="F44" i="4"/>
  <c r="E44" i="4"/>
  <c r="D44" i="4"/>
  <c r="F42" i="4"/>
  <c r="E42" i="4"/>
  <c r="D42" i="4"/>
  <c r="F40" i="4"/>
  <c r="E40" i="4"/>
  <c r="D40" i="4"/>
  <c r="F38" i="4"/>
  <c r="E38" i="4"/>
  <c r="D38" i="4"/>
  <c r="F36" i="4"/>
  <c r="E36" i="4"/>
  <c r="D36" i="4"/>
  <c r="F34" i="4"/>
  <c r="E34" i="4"/>
  <c r="D34" i="4"/>
  <c r="F32" i="4"/>
  <c r="E32" i="4"/>
  <c r="D32" i="4"/>
  <c r="F30" i="4"/>
  <c r="E30" i="4"/>
  <c r="D30" i="4"/>
  <c r="F28" i="4"/>
  <c r="E28" i="4"/>
  <c r="D28" i="4"/>
  <c r="F26" i="4"/>
  <c r="E26" i="4"/>
  <c r="D26" i="4"/>
  <c r="F24" i="4"/>
  <c r="E24" i="4"/>
  <c r="D24" i="4"/>
  <c r="F22" i="4"/>
  <c r="E22" i="4"/>
  <c r="D22" i="4"/>
  <c r="F20" i="4"/>
  <c r="E20" i="4"/>
  <c r="D20" i="4"/>
  <c r="F18" i="4"/>
  <c r="E18" i="4"/>
  <c r="D18" i="4"/>
  <c r="F16" i="4"/>
  <c r="E16" i="4"/>
  <c r="D16" i="4"/>
  <c r="F14" i="4"/>
  <c r="E14" i="4"/>
  <c r="D14" i="4"/>
  <c r="F12" i="4"/>
  <c r="E12" i="4"/>
  <c r="D12" i="4"/>
  <c r="F10" i="4"/>
  <c r="E10" i="4"/>
  <c r="D10" i="4"/>
  <c r="F8" i="4"/>
  <c r="E8" i="4"/>
  <c r="D8" i="4"/>
  <c r="F6" i="4"/>
  <c r="E6" i="4"/>
  <c r="D6" i="4"/>
  <c r="F4" i="4"/>
  <c r="E4" i="4"/>
  <c r="D4" i="4"/>
  <c r="G65" i="4"/>
  <c r="G63" i="4"/>
  <c r="G61" i="4"/>
  <c r="G59" i="4"/>
  <c r="G67" i="4"/>
  <c r="G57" i="4"/>
  <c r="G55" i="4"/>
  <c r="G53" i="4"/>
  <c r="G51" i="4"/>
  <c r="G49" i="4"/>
  <c r="G47" i="4"/>
  <c r="G43" i="4"/>
  <c r="G41" i="4"/>
  <c r="G39" i="4"/>
  <c r="G35" i="4"/>
  <c r="G33" i="4"/>
  <c r="G31" i="4"/>
  <c r="G45" i="4"/>
  <c r="G29" i="4"/>
  <c r="G27" i="4"/>
  <c r="G25" i="4"/>
  <c r="G23" i="4"/>
  <c r="G21" i="4"/>
  <c r="G37" i="4"/>
  <c r="H37" i="4" s="1"/>
  <c r="G19" i="4"/>
  <c r="G17" i="4"/>
  <c r="G15" i="4"/>
  <c r="G13" i="4"/>
  <c r="G11" i="4"/>
  <c r="G5" i="4"/>
  <c r="G9" i="4"/>
  <c r="G7" i="4"/>
  <c r="H7" i="4" s="1"/>
  <c r="G3" i="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H13" i="4" l="1"/>
  <c r="H27" i="4"/>
  <c r="H33" i="4"/>
  <c r="H43" i="4"/>
  <c r="H53" i="4"/>
  <c r="H59" i="4"/>
  <c r="H9" i="4"/>
  <c r="H15" i="4"/>
  <c r="H21" i="4"/>
  <c r="H29" i="4"/>
  <c r="H35" i="4"/>
  <c r="H47" i="4"/>
  <c r="H55" i="4"/>
  <c r="H61" i="4"/>
  <c r="H5" i="4"/>
  <c r="H17" i="4"/>
  <c r="H23" i="4"/>
  <c r="H45" i="4"/>
  <c r="H39" i="4"/>
  <c r="H49" i="4"/>
  <c r="H57" i="4"/>
  <c r="H63" i="4"/>
  <c r="H3" i="4"/>
  <c r="H11" i="4"/>
  <c r="H19" i="4"/>
  <c r="H25" i="4"/>
  <c r="H31" i="4"/>
  <c r="H41" i="4"/>
  <c r="H51" i="4"/>
  <c r="H67" i="4"/>
  <c r="H65" i="4"/>
</calcChain>
</file>

<file path=xl/sharedStrings.xml><?xml version="1.0" encoding="utf-8"?>
<sst xmlns="http://schemas.openxmlformats.org/spreadsheetml/2006/main" count="176" uniqueCount="61">
  <si>
    <t>年份</t>
  </si>
  <si>
    <t>故事片数量</t>
  </si>
  <si>
    <t>动画片数量</t>
  </si>
  <si>
    <t>科教片数量</t>
  </si>
  <si>
    <t>纪录片数量</t>
  </si>
  <si>
    <t>影片产量总和</t>
  </si>
  <si>
    <t>排名</t>
  </si>
  <si>
    <t>电影厂总数</t>
    <phoneticPr fontId="1" type="noConversion"/>
  </si>
  <si>
    <t>4</t>
    <phoneticPr fontId="1" type="noConversion"/>
  </si>
  <si>
    <t>16</t>
    <phoneticPr fontId="1" type="noConversion"/>
  </si>
  <si>
    <t>11</t>
    <phoneticPr fontId="1" type="noConversion"/>
  </si>
  <si>
    <t>15</t>
    <phoneticPr fontId="1" type="noConversion"/>
  </si>
  <si>
    <t>12</t>
    <phoneticPr fontId="1" type="noConversion"/>
  </si>
  <si>
    <t>17</t>
    <phoneticPr fontId="1" type="noConversion"/>
  </si>
  <si>
    <t>19</t>
    <phoneticPr fontId="1" type="noConversion"/>
  </si>
  <si>
    <t>22</t>
    <phoneticPr fontId="1" type="noConversion"/>
  </si>
  <si>
    <t>20</t>
    <phoneticPr fontId="1" type="noConversion"/>
  </si>
  <si>
    <t>30</t>
    <phoneticPr fontId="1" type="noConversion"/>
  </si>
  <si>
    <t>31</t>
    <phoneticPr fontId="1" type="noConversion"/>
  </si>
  <si>
    <t>27</t>
    <phoneticPr fontId="1" type="noConversion"/>
  </si>
  <si>
    <t>32</t>
    <phoneticPr fontId="1" type="noConversion"/>
  </si>
  <si>
    <t>国产电影产量统计</t>
  </si>
  <si>
    <t>排名</t>
    <phoneticPr fontId="1" type="noConversion"/>
  </si>
  <si>
    <t>故事片数量</t>
    <phoneticPr fontId="4" type="noConversion"/>
  </si>
  <si>
    <t>纪录片数量</t>
    <phoneticPr fontId="4" type="noConversion"/>
  </si>
  <si>
    <t>&gt;100</t>
    <phoneticPr fontId="4" type="noConversion"/>
  </si>
  <si>
    <t>&gt;300</t>
    <phoneticPr fontId="4" type="noConversion"/>
  </si>
  <si>
    <t>1952 最大值</t>
  </si>
  <si>
    <t>1957 最大值</t>
  </si>
  <si>
    <t>1962 最大值</t>
  </si>
  <si>
    <t>1965 最大值</t>
  </si>
  <si>
    <t>1975 最大值</t>
  </si>
  <si>
    <t>1978 最大值</t>
  </si>
  <si>
    <t>1979 最大值</t>
  </si>
  <si>
    <t>1980 最大值</t>
  </si>
  <si>
    <t>1981 最大值</t>
  </si>
  <si>
    <t>1982 最大值</t>
  </si>
  <si>
    <t>1983 最大值</t>
  </si>
  <si>
    <t>1984 最大值</t>
  </si>
  <si>
    <t>1985 最大值</t>
  </si>
  <si>
    <t>1986 最大值</t>
  </si>
  <si>
    <t>1987 最大值</t>
  </si>
  <si>
    <t>1988 最大值</t>
  </si>
  <si>
    <t>1989 最大值</t>
  </si>
  <si>
    <t>1990 最大值</t>
  </si>
  <si>
    <t>1991 最大值</t>
  </si>
  <si>
    <t>1992 最大值</t>
  </si>
  <si>
    <t>1993 最大值</t>
  </si>
  <si>
    <t>1994 最大值</t>
  </si>
  <si>
    <t>1995 最大值</t>
  </si>
  <si>
    <t>1996 最大值</t>
  </si>
  <si>
    <t>1997 最大值</t>
  </si>
  <si>
    <t>1998 最大值</t>
  </si>
  <si>
    <t>2000 最大值</t>
  </si>
  <si>
    <t>2001 最大值</t>
  </si>
  <si>
    <t>2002 最大值</t>
  </si>
  <si>
    <t>2003 最大值</t>
  </si>
  <si>
    <t>2004 最大值</t>
  </si>
  <si>
    <t>2005 最大值</t>
  </si>
  <si>
    <t>2006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</si>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</sst>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charset val="134"/>
    </font>
    <font>
      <b/>
      <i/>
      <sz val="16"/>
      <color rgb="FFFF0000"/>
      <name val="隶书"/>
      <family val="3"/>
      <charset val="134"/>
    </font>
    <font>
      <sz val="11"/>
      <name val="黑体"/>
      <family val="3"/>
      <charset val="134"/>
    </font>
    <font>
      <sz val="9"/>
      <name val="宋体"/>
      <family val="3"/>
      <charset val="134"/>
    </font>
    <font>
      <b/>
      <sz val="1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ck">
        <color rgb="FFFF000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国产电影总产量统计图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影片产量总和</c:v>
                </c:pt>
              </c:strCache>
            </c:strRef>
          </c:tx>
          <c:invertIfNegative val="0"/>
          <c:val>
            <c:numRef>
              <c:f>Sheet2!$G$3:$G$35</c:f>
              <c:numCache>
                <c:formatCode>General</c:formatCode>
                <c:ptCount val="33"/>
                <c:pt idx="0">
                  <c:v>204</c:v>
                </c:pt>
                <c:pt idx="1">
                  <c:v>278</c:v>
                </c:pt>
                <c:pt idx="2">
                  <c:v>691</c:v>
                </c:pt>
                <c:pt idx="3">
                  <c:v>401</c:v>
                </c:pt>
                <c:pt idx="4">
                  <c:v>565</c:v>
                </c:pt>
                <c:pt idx="5">
                  <c:v>563</c:v>
                </c:pt>
                <c:pt idx="6">
                  <c:v>756</c:v>
                </c:pt>
                <c:pt idx="7">
                  <c:v>693</c:v>
                </c:pt>
                <c:pt idx="8">
                  <c:v>690</c:v>
                </c:pt>
                <c:pt idx="9">
                  <c:v>807</c:v>
                </c:pt>
                <c:pt idx="10">
                  <c:v>688</c:v>
                </c:pt>
                <c:pt idx="11">
                  <c:v>806</c:v>
                </c:pt>
                <c:pt idx="12">
                  <c:v>905</c:v>
                </c:pt>
                <c:pt idx="13">
                  <c:v>948</c:v>
                </c:pt>
                <c:pt idx="14">
                  <c:v>980</c:v>
                </c:pt>
                <c:pt idx="15">
                  <c:v>384</c:v>
                </c:pt>
                <c:pt idx="16">
                  <c:v>891</c:v>
                </c:pt>
                <c:pt idx="17">
                  <c:v>890</c:v>
                </c:pt>
                <c:pt idx="18">
                  <c:v>782</c:v>
                </c:pt>
                <c:pt idx="19">
                  <c:v>810</c:v>
                </c:pt>
                <c:pt idx="20">
                  <c:v>887</c:v>
                </c:pt>
                <c:pt idx="21">
                  <c:v>753</c:v>
                </c:pt>
                <c:pt idx="22">
                  <c:v>334</c:v>
                </c:pt>
                <c:pt idx="23">
                  <c:v>240</c:v>
                </c:pt>
                <c:pt idx="24">
                  <c:v>245</c:v>
                </c:pt>
                <c:pt idx="25">
                  <c:v>175</c:v>
                </c:pt>
                <c:pt idx="26">
                  <c:v>151</c:v>
                </c:pt>
                <c:pt idx="27">
                  <c:v>154</c:v>
                </c:pt>
                <c:pt idx="28">
                  <c:v>392</c:v>
                </c:pt>
                <c:pt idx="29">
                  <c:v>169</c:v>
                </c:pt>
                <c:pt idx="30">
                  <c:v>201</c:v>
                </c:pt>
                <c:pt idx="31">
                  <c:v>256</c:v>
                </c:pt>
                <c:pt idx="32">
                  <c:v>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6128"/>
        <c:axId val="78283904"/>
      </c:barChart>
      <c:catAx>
        <c:axId val="62496128"/>
        <c:scaling>
          <c:orientation val="minMax"/>
        </c:scaling>
        <c:delete val="0"/>
        <c:axPos val="l"/>
        <c:majorTickMark val="out"/>
        <c:minorTickMark val="none"/>
        <c:tickLblPos val="nextTo"/>
        <c:crossAx val="78283904"/>
        <c:crosses val="autoZero"/>
        <c:auto val="1"/>
        <c:lblAlgn val="ctr"/>
        <c:lblOffset val="100"/>
        <c:noMultiLvlLbl val="0"/>
      </c:catAx>
      <c:valAx>
        <c:axId val="78283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24961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</xdr:row>
      <xdr:rowOff>142874</xdr:rowOff>
    </xdr:from>
    <xdr:to>
      <xdr:col>13</xdr:col>
      <xdr:colOff>352425</xdr:colOff>
      <xdr:row>23</xdr:row>
      <xdr:rowOff>152399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J10" sqref="J10"/>
    </sheetView>
  </sheetViews>
  <sheetFormatPr defaultRowHeight="14.25" x14ac:dyDescent="0.15"/>
  <cols>
    <col min="1" max="1" width="9.5" bestFit="1" customWidth="1"/>
    <col min="2" max="2" width="11" customWidth="1"/>
    <col min="3" max="3" width="10.5" customWidth="1"/>
    <col min="4" max="4" width="10.75" customWidth="1"/>
    <col min="5" max="5" width="11.875" customWidth="1"/>
    <col min="6" max="6" width="11.5" customWidth="1"/>
    <col min="7" max="7" width="13.875" bestFit="1" customWidth="1"/>
  </cols>
  <sheetData>
    <row r="1" spans="1:8" ht="20.25" x14ac:dyDescent="0.15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15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15">
      <c r="A3" s="3">
        <v>1952</v>
      </c>
      <c r="B3" s="4" t="s">
        <v>8</v>
      </c>
      <c r="C3" s="2">
        <v>4</v>
      </c>
      <c r="D3" s="2">
        <v>2</v>
      </c>
      <c r="E3" s="2">
        <v>41</v>
      </c>
      <c r="F3" s="2">
        <v>157</v>
      </c>
      <c r="G3" s="2"/>
      <c r="H3" s="2"/>
    </row>
    <row r="4" spans="1:8" x14ac:dyDescent="0.15">
      <c r="A4" s="3">
        <v>1962</v>
      </c>
      <c r="B4" s="4" t="s">
        <v>9</v>
      </c>
      <c r="C4" s="2">
        <v>34</v>
      </c>
      <c r="D4" s="2">
        <v>17</v>
      </c>
      <c r="E4" s="2">
        <v>94</v>
      </c>
      <c r="F4" s="2">
        <v>133</v>
      </c>
      <c r="G4" s="2"/>
      <c r="H4" s="2"/>
    </row>
    <row r="5" spans="1:8" x14ac:dyDescent="0.15">
      <c r="A5" s="3">
        <v>1965</v>
      </c>
      <c r="B5" s="4" t="s">
        <v>9</v>
      </c>
      <c r="C5" s="2">
        <v>52</v>
      </c>
      <c r="D5" s="2">
        <v>21</v>
      </c>
      <c r="E5" s="2">
        <v>240</v>
      </c>
      <c r="F5" s="2">
        <v>378</v>
      </c>
      <c r="G5" s="2"/>
      <c r="H5" s="2"/>
    </row>
    <row r="6" spans="1:8" x14ac:dyDescent="0.15">
      <c r="A6" s="3">
        <v>1957</v>
      </c>
      <c r="B6" s="4" t="s">
        <v>10</v>
      </c>
      <c r="C6" s="2">
        <v>40</v>
      </c>
      <c r="D6" s="2">
        <v>5</v>
      </c>
      <c r="E6" s="2">
        <v>84</v>
      </c>
      <c r="F6" s="2">
        <v>272</v>
      </c>
      <c r="G6" s="2"/>
      <c r="H6" s="2"/>
    </row>
    <row r="7" spans="1:8" x14ac:dyDescent="0.15">
      <c r="A7" s="3">
        <v>1975</v>
      </c>
      <c r="B7" s="4" t="s">
        <v>11</v>
      </c>
      <c r="C7" s="2">
        <v>27</v>
      </c>
      <c r="D7" s="2">
        <v>11</v>
      </c>
      <c r="E7" s="2">
        <v>214</v>
      </c>
      <c r="F7" s="2">
        <v>313</v>
      </c>
      <c r="G7" s="2"/>
      <c r="H7" s="2"/>
    </row>
    <row r="8" spans="1:8" x14ac:dyDescent="0.15">
      <c r="A8" s="3">
        <v>1978</v>
      </c>
      <c r="B8" s="4" t="s">
        <v>12</v>
      </c>
      <c r="C8" s="2">
        <v>46</v>
      </c>
      <c r="D8" s="2">
        <v>26</v>
      </c>
      <c r="E8" s="2">
        <v>289</v>
      </c>
      <c r="F8" s="2">
        <v>202</v>
      </c>
      <c r="G8" s="2"/>
      <c r="H8" s="2"/>
    </row>
    <row r="9" spans="1:8" x14ac:dyDescent="0.15">
      <c r="A9" s="3">
        <v>1979</v>
      </c>
      <c r="B9" s="4" t="s">
        <v>13</v>
      </c>
      <c r="C9" s="2">
        <v>65</v>
      </c>
      <c r="D9" s="2">
        <v>25</v>
      </c>
      <c r="E9" s="2">
        <v>349</v>
      </c>
      <c r="F9" s="2">
        <v>317</v>
      </c>
      <c r="G9" s="2"/>
      <c r="H9" s="2"/>
    </row>
    <row r="10" spans="1:8" x14ac:dyDescent="0.15">
      <c r="A10" s="3">
        <v>1980</v>
      </c>
      <c r="B10" s="4" t="s">
        <v>13</v>
      </c>
      <c r="C10" s="2">
        <v>82</v>
      </c>
      <c r="D10" s="2">
        <v>32</v>
      </c>
      <c r="E10" s="2">
        <v>337</v>
      </c>
      <c r="F10" s="2">
        <v>242</v>
      </c>
      <c r="G10" s="2"/>
      <c r="H10" s="2"/>
    </row>
    <row r="11" spans="1:8" x14ac:dyDescent="0.15">
      <c r="A11" s="3">
        <v>1981</v>
      </c>
      <c r="B11" s="4" t="s">
        <v>14</v>
      </c>
      <c r="C11" s="2">
        <v>105</v>
      </c>
      <c r="D11" s="2">
        <v>33</v>
      </c>
      <c r="E11" s="2">
        <v>277</v>
      </c>
      <c r="F11" s="2">
        <v>275</v>
      </c>
      <c r="G11" s="2"/>
      <c r="H11" s="2"/>
    </row>
    <row r="12" spans="1:8" x14ac:dyDescent="0.15">
      <c r="A12" s="3">
        <v>1990</v>
      </c>
      <c r="B12" s="4" t="s">
        <v>15</v>
      </c>
      <c r="C12" s="2">
        <v>134</v>
      </c>
      <c r="D12" s="2">
        <v>51</v>
      </c>
      <c r="E12" s="2">
        <v>326</v>
      </c>
      <c r="F12" s="2">
        <v>296</v>
      </c>
      <c r="G12" s="2"/>
      <c r="H12" s="2"/>
    </row>
    <row r="13" spans="1:8" x14ac:dyDescent="0.15">
      <c r="A13" s="3">
        <v>1982</v>
      </c>
      <c r="B13" s="4" t="s">
        <v>14</v>
      </c>
      <c r="C13" s="2">
        <v>112</v>
      </c>
      <c r="D13" s="2">
        <v>33</v>
      </c>
      <c r="E13" s="2">
        <v>284</v>
      </c>
      <c r="F13" s="2">
        <v>259</v>
      </c>
      <c r="G13" s="2"/>
      <c r="H13" s="2"/>
    </row>
    <row r="14" spans="1:8" x14ac:dyDescent="0.15">
      <c r="A14" s="3">
        <v>1983</v>
      </c>
      <c r="B14" s="4" t="s">
        <v>14</v>
      </c>
      <c r="C14" s="2">
        <v>127</v>
      </c>
      <c r="D14" s="2">
        <v>37</v>
      </c>
      <c r="E14" s="2">
        <v>343</v>
      </c>
      <c r="F14" s="2">
        <v>299</v>
      </c>
      <c r="G14" s="2"/>
      <c r="H14" s="2"/>
    </row>
    <row r="15" spans="1:8" x14ac:dyDescent="0.15">
      <c r="A15" s="3">
        <v>1984</v>
      </c>
      <c r="B15" s="4" t="s">
        <v>16</v>
      </c>
      <c r="C15" s="2">
        <v>144</v>
      </c>
      <c r="D15" s="2">
        <v>37</v>
      </c>
      <c r="E15" s="2">
        <v>387</v>
      </c>
      <c r="F15" s="2">
        <v>337</v>
      </c>
      <c r="G15" s="2"/>
      <c r="H15" s="2"/>
    </row>
    <row r="16" spans="1:8" x14ac:dyDescent="0.15">
      <c r="A16" s="3">
        <v>1985</v>
      </c>
      <c r="B16" s="4" t="s">
        <v>16</v>
      </c>
      <c r="C16" s="2">
        <v>127</v>
      </c>
      <c r="D16" s="2">
        <v>45</v>
      </c>
      <c r="E16" s="2">
        <v>357</v>
      </c>
      <c r="F16" s="2">
        <v>419</v>
      </c>
      <c r="G16" s="2"/>
      <c r="H16" s="2"/>
    </row>
    <row r="17" spans="1:8" x14ac:dyDescent="0.15">
      <c r="A17" s="3">
        <v>1986</v>
      </c>
      <c r="B17" s="4" t="s">
        <v>16</v>
      </c>
      <c r="C17" s="2">
        <v>134</v>
      </c>
      <c r="D17" s="2">
        <v>46</v>
      </c>
      <c r="E17" s="2">
        <v>383</v>
      </c>
      <c r="F17" s="2">
        <v>417</v>
      </c>
      <c r="G17" s="2"/>
      <c r="H17" s="2"/>
    </row>
    <row r="18" spans="1:8" x14ac:dyDescent="0.15">
      <c r="A18" s="3">
        <v>1994</v>
      </c>
      <c r="B18" s="4" t="s">
        <v>15</v>
      </c>
      <c r="C18" s="2">
        <v>148</v>
      </c>
      <c r="D18" s="2">
        <v>32</v>
      </c>
      <c r="E18" s="2">
        <v>182</v>
      </c>
      <c r="F18" s="2">
        <v>22</v>
      </c>
      <c r="G18" s="2"/>
      <c r="H18" s="2"/>
    </row>
    <row r="19" spans="1:8" x14ac:dyDescent="0.15">
      <c r="A19" s="3">
        <v>1987</v>
      </c>
      <c r="B19" s="4" t="s">
        <v>15</v>
      </c>
      <c r="C19" s="2">
        <v>146</v>
      </c>
      <c r="D19" s="2">
        <v>45</v>
      </c>
      <c r="E19" s="2">
        <v>353</v>
      </c>
      <c r="F19" s="2">
        <v>347</v>
      </c>
      <c r="G19" s="2"/>
      <c r="H19" s="2"/>
    </row>
    <row r="20" spans="1:8" x14ac:dyDescent="0.15">
      <c r="A20" s="3">
        <v>1988</v>
      </c>
      <c r="B20" s="4" t="s">
        <v>15</v>
      </c>
      <c r="C20" s="2">
        <v>158</v>
      </c>
      <c r="D20" s="2">
        <v>38</v>
      </c>
      <c r="E20" s="2">
        <v>344</v>
      </c>
      <c r="F20" s="2">
        <v>350</v>
      </c>
      <c r="G20" s="2"/>
      <c r="H20" s="2"/>
    </row>
    <row r="21" spans="1:8" x14ac:dyDescent="0.15">
      <c r="A21" s="3">
        <v>1989</v>
      </c>
      <c r="B21" s="4" t="s">
        <v>15</v>
      </c>
      <c r="C21" s="2">
        <v>136</v>
      </c>
      <c r="D21" s="2">
        <v>53</v>
      </c>
      <c r="E21" s="2">
        <v>334</v>
      </c>
      <c r="F21" s="2">
        <v>259</v>
      </c>
      <c r="G21" s="2"/>
      <c r="H21" s="2"/>
    </row>
    <row r="22" spans="1:8" x14ac:dyDescent="0.15">
      <c r="A22" s="3">
        <v>1991</v>
      </c>
      <c r="B22" s="4" t="s">
        <v>15</v>
      </c>
      <c r="C22" s="2">
        <v>130</v>
      </c>
      <c r="D22" s="2">
        <v>46</v>
      </c>
      <c r="E22" s="2">
        <v>351</v>
      </c>
      <c r="F22" s="2">
        <v>283</v>
      </c>
      <c r="G22" s="2"/>
      <c r="H22" s="2"/>
    </row>
    <row r="23" spans="1:8" x14ac:dyDescent="0.15">
      <c r="A23" s="3">
        <v>1992</v>
      </c>
      <c r="B23" s="4" t="s">
        <v>15</v>
      </c>
      <c r="C23" s="2">
        <v>170</v>
      </c>
      <c r="D23" s="2">
        <v>56</v>
      </c>
      <c r="E23" s="2">
        <v>354</v>
      </c>
      <c r="F23" s="2">
        <v>307</v>
      </c>
      <c r="G23" s="2"/>
      <c r="H23" s="2"/>
    </row>
    <row r="24" spans="1:8" x14ac:dyDescent="0.15">
      <c r="A24" s="3">
        <v>1993</v>
      </c>
      <c r="B24" s="4" t="s">
        <v>15</v>
      </c>
      <c r="C24" s="2">
        <v>154</v>
      </c>
      <c r="D24" s="2">
        <v>47</v>
      </c>
      <c r="E24" s="2">
        <v>252</v>
      </c>
      <c r="F24" s="2">
        <v>300</v>
      </c>
      <c r="G24" s="2"/>
      <c r="H24" s="2"/>
    </row>
    <row r="25" spans="1:8" x14ac:dyDescent="0.15">
      <c r="A25" s="3">
        <v>1995</v>
      </c>
      <c r="B25" s="4" t="s">
        <v>17</v>
      </c>
      <c r="C25" s="2">
        <v>146</v>
      </c>
      <c r="D25" s="2">
        <v>37</v>
      </c>
      <c r="E25" s="2">
        <v>40</v>
      </c>
      <c r="F25" s="2">
        <v>111</v>
      </c>
      <c r="G25" s="2"/>
      <c r="H25" s="2"/>
    </row>
    <row r="26" spans="1:8" x14ac:dyDescent="0.15">
      <c r="A26" s="3">
        <v>1996</v>
      </c>
      <c r="B26" s="4" t="s">
        <v>17</v>
      </c>
      <c r="C26" s="2">
        <v>110</v>
      </c>
      <c r="D26" s="2">
        <v>58</v>
      </c>
      <c r="E26" s="2">
        <v>33</v>
      </c>
      <c r="F26" s="2">
        <v>39</v>
      </c>
      <c r="G26" s="2"/>
      <c r="H26" s="2"/>
    </row>
    <row r="27" spans="1:8" x14ac:dyDescent="0.15">
      <c r="A27" s="3">
        <v>1997</v>
      </c>
      <c r="B27" s="4" t="s">
        <v>18</v>
      </c>
      <c r="C27" s="2">
        <v>88</v>
      </c>
      <c r="D27" s="2">
        <v>28</v>
      </c>
      <c r="E27" s="2">
        <v>34</v>
      </c>
      <c r="F27" s="2">
        <v>95</v>
      </c>
      <c r="G27" s="2"/>
      <c r="H27" s="2"/>
    </row>
    <row r="28" spans="1:8" x14ac:dyDescent="0.15">
      <c r="A28" s="3">
        <v>1998</v>
      </c>
      <c r="B28" s="4" t="s">
        <v>18</v>
      </c>
      <c r="C28" s="2">
        <v>82</v>
      </c>
      <c r="D28" s="2">
        <v>9</v>
      </c>
      <c r="E28" s="2">
        <v>30</v>
      </c>
      <c r="F28" s="2">
        <v>54</v>
      </c>
      <c r="G28" s="2"/>
      <c r="H28" s="2"/>
    </row>
    <row r="29" spans="1:8" x14ac:dyDescent="0.15">
      <c r="A29" s="3">
        <v>2000</v>
      </c>
      <c r="B29" s="4" t="s">
        <v>18</v>
      </c>
      <c r="C29" s="2">
        <v>91</v>
      </c>
      <c r="D29" s="2">
        <v>1</v>
      </c>
      <c r="E29" s="2">
        <v>49</v>
      </c>
      <c r="F29" s="2">
        <v>10</v>
      </c>
      <c r="G29" s="2"/>
      <c r="H29" s="2"/>
    </row>
    <row r="30" spans="1:8" x14ac:dyDescent="0.15">
      <c r="A30" s="3">
        <v>2001</v>
      </c>
      <c r="B30" s="4" t="s">
        <v>19</v>
      </c>
      <c r="C30" s="2">
        <v>88</v>
      </c>
      <c r="D30" s="2">
        <v>1</v>
      </c>
      <c r="E30" s="2">
        <v>56</v>
      </c>
      <c r="F30" s="2">
        <v>9</v>
      </c>
      <c r="G30" s="2"/>
      <c r="H30" s="2"/>
    </row>
    <row r="31" spans="1:8" x14ac:dyDescent="0.15">
      <c r="A31" s="3">
        <v>2006</v>
      </c>
      <c r="B31" s="4" t="s">
        <v>20</v>
      </c>
      <c r="C31" s="2">
        <v>330</v>
      </c>
      <c r="D31" s="2">
        <v>13</v>
      </c>
      <c r="E31" s="2">
        <v>36</v>
      </c>
      <c r="F31" s="2">
        <v>13</v>
      </c>
      <c r="G31" s="2"/>
      <c r="H31" s="2"/>
    </row>
    <row r="32" spans="1:8" x14ac:dyDescent="0.15">
      <c r="A32" s="3">
        <v>2002</v>
      </c>
      <c r="B32" s="4" t="s">
        <v>18</v>
      </c>
      <c r="C32" s="2">
        <v>100</v>
      </c>
      <c r="D32" s="2">
        <v>2</v>
      </c>
      <c r="E32" s="2">
        <v>60</v>
      </c>
      <c r="F32" s="2">
        <v>7</v>
      </c>
      <c r="G32" s="2"/>
      <c r="H32" s="2"/>
    </row>
    <row r="33" spans="1:8" x14ac:dyDescent="0.15">
      <c r="A33" s="3">
        <v>2003</v>
      </c>
      <c r="B33" s="4" t="s">
        <v>18</v>
      </c>
      <c r="C33" s="2">
        <v>140</v>
      </c>
      <c r="D33" s="2">
        <v>2</v>
      </c>
      <c r="E33" s="2">
        <v>53</v>
      </c>
      <c r="F33" s="2">
        <v>6</v>
      </c>
      <c r="G33" s="2"/>
      <c r="H33" s="2"/>
    </row>
    <row r="34" spans="1:8" x14ac:dyDescent="0.15">
      <c r="A34" s="3">
        <v>2004</v>
      </c>
      <c r="B34" s="4" t="s">
        <v>18</v>
      </c>
      <c r="C34" s="2">
        <v>212</v>
      </c>
      <c r="D34" s="2">
        <v>4</v>
      </c>
      <c r="E34" s="2">
        <v>30</v>
      </c>
      <c r="F34" s="2">
        <v>10</v>
      </c>
      <c r="G34" s="2"/>
      <c r="H34" s="2"/>
    </row>
    <row r="35" spans="1:8" x14ac:dyDescent="0.15">
      <c r="A35" s="3">
        <v>2005</v>
      </c>
      <c r="B35" s="4" t="s">
        <v>20</v>
      </c>
      <c r="C35" s="2">
        <v>260</v>
      </c>
      <c r="D35" s="2">
        <v>7</v>
      </c>
      <c r="E35" s="2">
        <v>33</v>
      </c>
      <c r="F35" s="2">
        <v>2</v>
      </c>
      <c r="G35" s="2"/>
      <c r="H35" s="2"/>
    </row>
  </sheetData>
  <mergeCells count="1">
    <mergeCell ref="A1:H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workbookViewId="0">
      <selection activeCell="G2" sqref="G2:G35"/>
    </sheetView>
  </sheetViews>
  <sheetFormatPr defaultRowHeight="14.25" x14ac:dyDescent="0.15"/>
  <cols>
    <col min="1" max="8" width="12.125" customWidth="1"/>
  </cols>
  <sheetData>
    <row r="2" spans="1:8" x14ac:dyDescent="0.15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22</v>
      </c>
    </row>
    <row r="3" spans="1:8" x14ac:dyDescent="0.15">
      <c r="A3" s="3">
        <v>1952</v>
      </c>
      <c r="B3" s="4" t="s">
        <v>8</v>
      </c>
      <c r="C3" s="2">
        <v>4</v>
      </c>
      <c r="D3" s="2">
        <v>2</v>
      </c>
      <c r="E3" s="2">
        <v>41</v>
      </c>
      <c r="F3" s="2">
        <v>157</v>
      </c>
      <c r="G3" s="2">
        <f>SUM(C3:F3)</f>
        <v>204</v>
      </c>
      <c r="H3">
        <f>RANK(G3,G$3:G$35)</f>
        <v>28</v>
      </c>
    </row>
    <row r="4" spans="1:8" x14ac:dyDescent="0.15">
      <c r="A4" s="3">
        <v>1962</v>
      </c>
      <c r="B4" s="4" t="s">
        <v>9</v>
      </c>
      <c r="C4" s="2">
        <v>34</v>
      </c>
      <c r="D4" s="2">
        <v>17</v>
      </c>
      <c r="E4" s="2">
        <v>94</v>
      </c>
      <c r="F4" s="2">
        <v>133</v>
      </c>
      <c r="G4" s="2">
        <f t="shared" ref="G4:G35" si="0">SUM(C4:F4)</f>
        <v>278</v>
      </c>
      <c r="H4">
        <f t="shared" ref="H4:H35" si="1">RANK(G4,G$3:G$35)</f>
        <v>24</v>
      </c>
    </row>
    <row r="5" spans="1:8" x14ac:dyDescent="0.15">
      <c r="A5" s="3">
        <v>1965</v>
      </c>
      <c r="B5" s="4" t="s">
        <v>9</v>
      </c>
      <c r="C5" s="2">
        <v>52</v>
      </c>
      <c r="D5" s="2">
        <v>21</v>
      </c>
      <c r="E5" s="2">
        <v>240</v>
      </c>
      <c r="F5" s="2">
        <v>378</v>
      </c>
      <c r="G5" s="2">
        <f t="shared" si="0"/>
        <v>691</v>
      </c>
      <c r="H5">
        <f t="shared" si="1"/>
        <v>14</v>
      </c>
    </row>
    <row r="6" spans="1:8" x14ac:dyDescent="0.15">
      <c r="A6" s="3">
        <v>1957</v>
      </c>
      <c r="B6" s="4" t="s">
        <v>10</v>
      </c>
      <c r="C6" s="2">
        <v>40</v>
      </c>
      <c r="D6" s="2">
        <v>5</v>
      </c>
      <c r="E6" s="2">
        <v>84</v>
      </c>
      <c r="F6" s="2">
        <v>272</v>
      </c>
      <c r="G6" s="2">
        <f t="shared" si="0"/>
        <v>401</v>
      </c>
      <c r="H6">
        <f t="shared" si="1"/>
        <v>19</v>
      </c>
    </row>
    <row r="7" spans="1:8" x14ac:dyDescent="0.15">
      <c r="A7" s="3">
        <v>1975</v>
      </c>
      <c r="B7" s="4" t="s">
        <v>11</v>
      </c>
      <c r="C7" s="2">
        <v>27</v>
      </c>
      <c r="D7" s="2">
        <v>11</v>
      </c>
      <c r="E7" s="2">
        <v>214</v>
      </c>
      <c r="F7" s="2">
        <v>313</v>
      </c>
      <c r="G7" s="2">
        <f t="shared" si="0"/>
        <v>565</v>
      </c>
      <c r="H7">
        <f t="shared" si="1"/>
        <v>17</v>
      </c>
    </row>
    <row r="8" spans="1:8" x14ac:dyDescent="0.15">
      <c r="A8" s="3">
        <v>1978</v>
      </c>
      <c r="B8" s="4" t="s">
        <v>12</v>
      </c>
      <c r="C8" s="2">
        <v>46</v>
      </c>
      <c r="D8" s="2">
        <v>26</v>
      </c>
      <c r="E8" s="2">
        <v>289</v>
      </c>
      <c r="F8" s="2">
        <v>202</v>
      </c>
      <c r="G8" s="2">
        <f t="shared" si="0"/>
        <v>563</v>
      </c>
      <c r="H8">
        <f t="shared" si="1"/>
        <v>18</v>
      </c>
    </row>
    <row r="9" spans="1:8" x14ac:dyDescent="0.15">
      <c r="A9" s="3">
        <v>1979</v>
      </c>
      <c r="B9" s="4" t="s">
        <v>13</v>
      </c>
      <c r="C9" s="2">
        <v>65</v>
      </c>
      <c r="D9" s="2">
        <v>25</v>
      </c>
      <c r="E9" s="2">
        <v>349</v>
      </c>
      <c r="F9" s="2">
        <v>317</v>
      </c>
      <c r="G9" s="2">
        <f t="shared" si="0"/>
        <v>756</v>
      </c>
      <c r="H9">
        <f t="shared" si="1"/>
        <v>11</v>
      </c>
    </row>
    <row r="10" spans="1:8" x14ac:dyDescent="0.15">
      <c r="A10" s="3">
        <v>1980</v>
      </c>
      <c r="B10" s="4" t="s">
        <v>13</v>
      </c>
      <c r="C10" s="2">
        <v>82</v>
      </c>
      <c r="D10" s="2">
        <v>32</v>
      </c>
      <c r="E10" s="2">
        <v>337</v>
      </c>
      <c r="F10" s="2">
        <v>242</v>
      </c>
      <c r="G10" s="2">
        <f t="shared" si="0"/>
        <v>693</v>
      </c>
      <c r="H10">
        <f t="shared" si="1"/>
        <v>13</v>
      </c>
    </row>
    <row r="11" spans="1:8" x14ac:dyDescent="0.15">
      <c r="A11" s="3">
        <v>1981</v>
      </c>
      <c r="B11" s="4" t="s">
        <v>14</v>
      </c>
      <c r="C11" s="2">
        <v>105</v>
      </c>
      <c r="D11" s="2">
        <v>33</v>
      </c>
      <c r="E11" s="2">
        <v>277</v>
      </c>
      <c r="F11" s="2">
        <v>275</v>
      </c>
      <c r="G11" s="2">
        <f t="shared" si="0"/>
        <v>690</v>
      </c>
      <c r="H11">
        <f t="shared" si="1"/>
        <v>15</v>
      </c>
    </row>
    <row r="12" spans="1:8" x14ac:dyDescent="0.15">
      <c r="A12" s="3">
        <v>1990</v>
      </c>
      <c r="B12" s="4" t="s">
        <v>15</v>
      </c>
      <c r="C12" s="2">
        <v>134</v>
      </c>
      <c r="D12" s="2">
        <v>51</v>
      </c>
      <c r="E12" s="2">
        <v>326</v>
      </c>
      <c r="F12" s="2">
        <v>296</v>
      </c>
      <c r="G12" s="2">
        <f t="shared" si="0"/>
        <v>807</v>
      </c>
      <c r="H12">
        <f t="shared" si="1"/>
        <v>8</v>
      </c>
    </row>
    <row r="13" spans="1:8" x14ac:dyDescent="0.15">
      <c r="A13" s="3">
        <v>1982</v>
      </c>
      <c r="B13" s="4" t="s">
        <v>14</v>
      </c>
      <c r="C13" s="2">
        <v>112</v>
      </c>
      <c r="D13" s="2">
        <v>33</v>
      </c>
      <c r="E13" s="2">
        <v>284</v>
      </c>
      <c r="F13" s="2">
        <v>259</v>
      </c>
      <c r="G13" s="2">
        <f t="shared" si="0"/>
        <v>688</v>
      </c>
      <c r="H13">
        <f t="shared" si="1"/>
        <v>16</v>
      </c>
    </row>
    <row r="14" spans="1:8" x14ac:dyDescent="0.15">
      <c r="A14" s="3">
        <v>1983</v>
      </c>
      <c r="B14" s="4" t="s">
        <v>14</v>
      </c>
      <c r="C14" s="2">
        <v>127</v>
      </c>
      <c r="D14" s="2">
        <v>37</v>
      </c>
      <c r="E14" s="2">
        <v>343</v>
      </c>
      <c r="F14" s="2">
        <v>299</v>
      </c>
      <c r="G14" s="2">
        <f t="shared" si="0"/>
        <v>806</v>
      </c>
      <c r="H14">
        <f t="shared" si="1"/>
        <v>9</v>
      </c>
    </row>
    <row r="15" spans="1:8" x14ac:dyDescent="0.15">
      <c r="A15" s="3">
        <v>1984</v>
      </c>
      <c r="B15" s="4" t="s">
        <v>16</v>
      </c>
      <c r="C15" s="2">
        <v>144</v>
      </c>
      <c r="D15" s="2">
        <v>37</v>
      </c>
      <c r="E15" s="2">
        <v>387</v>
      </c>
      <c r="F15" s="2">
        <v>337</v>
      </c>
      <c r="G15" s="2">
        <f t="shared" si="0"/>
        <v>905</v>
      </c>
      <c r="H15">
        <f t="shared" si="1"/>
        <v>3</v>
      </c>
    </row>
    <row r="16" spans="1:8" x14ac:dyDescent="0.15">
      <c r="A16" s="3">
        <v>1985</v>
      </c>
      <c r="B16" s="4" t="s">
        <v>16</v>
      </c>
      <c r="C16" s="2">
        <v>127</v>
      </c>
      <c r="D16" s="2">
        <v>45</v>
      </c>
      <c r="E16" s="2">
        <v>357</v>
      </c>
      <c r="F16" s="2">
        <v>419</v>
      </c>
      <c r="G16" s="2">
        <f t="shared" si="0"/>
        <v>948</v>
      </c>
      <c r="H16">
        <f t="shared" si="1"/>
        <v>2</v>
      </c>
    </row>
    <row r="17" spans="1:8" x14ac:dyDescent="0.15">
      <c r="A17" s="3">
        <v>1986</v>
      </c>
      <c r="B17" s="4" t="s">
        <v>16</v>
      </c>
      <c r="C17" s="2">
        <v>134</v>
      </c>
      <c r="D17" s="2">
        <v>46</v>
      </c>
      <c r="E17" s="2">
        <v>383</v>
      </c>
      <c r="F17" s="2">
        <v>417</v>
      </c>
      <c r="G17" s="2">
        <f t="shared" si="0"/>
        <v>980</v>
      </c>
      <c r="H17">
        <f t="shared" si="1"/>
        <v>1</v>
      </c>
    </row>
    <row r="18" spans="1:8" x14ac:dyDescent="0.15">
      <c r="A18" s="3">
        <v>1994</v>
      </c>
      <c r="B18" s="4" t="s">
        <v>15</v>
      </c>
      <c r="C18" s="2">
        <v>148</v>
      </c>
      <c r="D18" s="2">
        <v>32</v>
      </c>
      <c r="E18" s="2">
        <v>182</v>
      </c>
      <c r="F18" s="2">
        <v>22</v>
      </c>
      <c r="G18" s="2">
        <f t="shared" si="0"/>
        <v>384</v>
      </c>
      <c r="H18">
        <f t="shared" si="1"/>
        <v>21</v>
      </c>
    </row>
    <row r="19" spans="1:8" x14ac:dyDescent="0.15">
      <c r="A19" s="3">
        <v>1987</v>
      </c>
      <c r="B19" s="4" t="s">
        <v>15</v>
      </c>
      <c r="C19" s="2">
        <v>146</v>
      </c>
      <c r="D19" s="2">
        <v>45</v>
      </c>
      <c r="E19" s="2">
        <v>353</v>
      </c>
      <c r="F19" s="2">
        <v>347</v>
      </c>
      <c r="G19" s="2">
        <f t="shared" si="0"/>
        <v>891</v>
      </c>
      <c r="H19">
        <f t="shared" si="1"/>
        <v>4</v>
      </c>
    </row>
    <row r="20" spans="1:8" x14ac:dyDescent="0.15">
      <c r="A20" s="3">
        <v>1988</v>
      </c>
      <c r="B20" s="4" t="s">
        <v>15</v>
      </c>
      <c r="C20" s="2">
        <v>158</v>
      </c>
      <c r="D20" s="2">
        <v>38</v>
      </c>
      <c r="E20" s="2">
        <v>344</v>
      </c>
      <c r="F20" s="2">
        <v>350</v>
      </c>
      <c r="G20" s="2">
        <f t="shared" si="0"/>
        <v>890</v>
      </c>
      <c r="H20">
        <f t="shared" si="1"/>
        <v>5</v>
      </c>
    </row>
    <row r="21" spans="1:8" x14ac:dyDescent="0.15">
      <c r="A21" s="3">
        <v>1989</v>
      </c>
      <c r="B21" s="4" t="s">
        <v>15</v>
      </c>
      <c r="C21" s="2">
        <v>136</v>
      </c>
      <c r="D21" s="2">
        <v>53</v>
      </c>
      <c r="E21" s="2">
        <v>334</v>
      </c>
      <c r="F21" s="2">
        <v>259</v>
      </c>
      <c r="G21" s="2">
        <f t="shared" si="0"/>
        <v>782</v>
      </c>
      <c r="H21">
        <f t="shared" si="1"/>
        <v>10</v>
      </c>
    </row>
    <row r="22" spans="1:8" x14ac:dyDescent="0.15">
      <c r="A22" s="3">
        <v>1991</v>
      </c>
      <c r="B22" s="4" t="s">
        <v>15</v>
      </c>
      <c r="C22" s="2">
        <v>130</v>
      </c>
      <c r="D22" s="2">
        <v>46</v>
      </c>
      <c r="E22" s="2">
        <v>351</v>
      </c>
      <c r="F22" s="2">
        <v>283</v>
      </c>
      <c r="G22" s="2">
        <f t="shared" si="0"/>
        <v>810</v>
      </c>
      <c r="H22">
        <f t="shared" si="1"/>
        <v>7</v>
      </c>
    </row>
    <row r="23" spans="1:8" x14ac:dyDescent="0.15">
      <c r="A23" s="3">
        <v>1992</v>
      </c>
      <c r="B23" s="4" t="s">
        <v>15</v>
      </c>
      <c r="C23" s="2">
        <v>170</v>
      </c>
      <c r="D23" s="2">
        <v>56</v>
      </c>
      <c r="E23" s="2">
        <v>354</v>
      </c>
      <c r="F23" s="2">
        <v>307</v>
      </c>
      <c r="G23" s="2">
        <f t="shared" si="0"/>
        <v>887</v>
      </c>
      <c r="H23">
        <f t="shared" si="1"/>
        <v>6</v>
      </c>
    </row>
    <row r="24" spans="1:8" x14ac:dyDescent="0.15">
      <c r="A24" s="3">
        <v>1993</v>
      </c>
      <c r="B24" s="4" t="s">
        <v>15</v>
      </c>
      <c r="C24" s="2">
        <v>154</v>
      </c>
      <c r="D24" s="2">
        <v>47</v>
      </c>
      <c r="E24" s="2">
        <v>252</v>
      </c>
      <c r="F24" s="2">
        <v>300</v>
      </c>
      <c r="G24" s="2">
        <f t="shared" si="0"/>
        <v>753</v>
      </c>
      <c r="H24">
        <f t="shared" si="1"/>
        <v>12</v>
      </c>
    </row>
    <row r="25" spans="1:8" x14ac:dyDescent="0.15">
      <c r="A25" s="3">
        <v>1995</v>
      </c>
      <c r="B25" s="4" t="s">
        <v>17</v>
      </c>
      <c r="C25" s="2">
        <v>146</v>
      </c>
      <c r="D25" s="2">
        <v>37</v>
      </c>
      <c r="E25" s="2">
        <v>40</v>
      </c>
      <c r="F25" s="2">
        <v>111</v>
      </c>
      <c r="G25" s="2">
        <f t="shared" si="0"/>
        <v>334</v>
      </c>
      <c r="H25">
        <f t="shared" si="1"/>
        <v>22</v>
      </c>
    </row>
    <row r="26" spans="1:8" x14ac:dyDescent="0.15">
      <c r="A26" s="3">
        <v>1996</v>
      </c>
      <c r="B26" s="4" t="s">
        <v>17</v>
      </c>
      <c r="C26" s="2">
        <v>110</v>
      </c>
      <c r="D26" s="2">
        <v>58</v>
      </c>
      <c r="E26" s="2">
        <v>33</v>
      </c>
      <c r="F26" s="2">
        <v>39</v>
      </c>
      <c r="G26" s="2">
        <f t="shared" si="0"/>
        <v>240</v>
      </c>
      <c r="H26">
        <f t="shared" si="1"/>
        <v>27</v>
      </c>
    </row>
    <row r="27" spans="1:8" x14ac:dyDescent="0.15">
      <c r="A27" s="3">
        <v>1997</v>
      </c>
      <c r="B27" s="4" t="s">
        <v>18</v>
      </c>
      <c r="C27" s="2">
        <v>88</v>
      </c>
      <c r="D27" s="2">
        <v>28</v>
      </c>
      <c r="E27" s="2">
        <v>34</v>
      </c>
      <c r="F27" s="2">
        <v>95</v>
      </c>
      <c r="G27" s="2">
        <f t="shared" si="0"/>
        <v>245</v>
      </c>
      <c r="H27">
        <f t="shared" si="1"/>
        <v>26</v>
      </c>
    </row>
    <row r="28" spans="1:8" x14ac:dyDescent="0.15">
      <c r="A28" s="3">
        <v>1998</v>
      </c>
      <c r="B28" s="4" t="s">
        <v>18</v>
      </c>
      <c r="C28" s="2">
        <v>82</v>
      </c>
      <c r="D28" s="2">
        <v>9</v>
      </c>
      <c r="E28" s="2">
        <v>30</v>
      </c>
      <c r="F28" s="2">
        <v>54</v>
      </c>
      <c r="G28" s="2">
        <f t="shared" si="0"/>
        <v>175</v>
      </c>
      <c r="H28">
        <f t="shared" si="1"/>
        <v>30</v>
      </c>
    </row>
    <row r="29" spans="1:8" x14ac:dyDescent="0.15">
      <c r="A29" s="3">
        <v>2000</v>
      </c>
      <c r="B29" s="4" t="s">
        <v>18</v>
      </c>
      <c r="C29" s="2">
        <v>91</v>
      </c>
      <c r="D29" s="2">
        <v>1</v>
      </c>
      <c r="E29" s="2">
        <v>49</v>
      </c>
      <c r="F29" s="2">
        <v>10</v>
      </c>
      <c r="G29" s="2">
        <f t="shared" si="0"/>
        <v>151</v>
      </c>
      <c r="H29">
        <f t="shared" si="1"/>
        <v>33</v>
      </c>
    </row>
    <row r="30" spans="1:8" x14ac:dyDescent="0.15">
      <c r="A30" s="3">
        <v>2001</v>
      </c>
      <c r="B30" s="4" t="s">
        <v>19</v>
      </c>
      <c r="C30" s="2">
        <v>88</v>
      </c>
      <c r="D30" s="2">
        <v>1</v>
      </c>
      <c r="E30" s="2">
        <v>56</v>
      </c>
      <c r="F30" s="2">
        <v>9</v>
      </c>
      <c r="G30" s="2">
        <f t="shared" si="0"/>
        <v>154</v>
      </c>
      <c r="H30">
        <f t="shared" si="1"/>
        <v>32</v>
      </c>
    </row>
    <row r="31" spans="1:8" x14ac:dyDescent="0.15">
      <c r="A31" s="3">
        <v>2006</v>
      </c>
      <c r="B31" s="4" t="s">
        <v>20</v>
      </c>
      <c r="C31" s="2">
        <v>330</v>
      </c>
      <c r="D31" s="2">
        <v>13</v>
      </c>
      <c r="E31" s="2">
        <v>36</v>
      </c>
      <c r="F31" s="2">
        <v>13</v>
      </c>
      <c r="G31" s="2">
        <f t="shared" si="0"/>
        <v>392</v>
      </c>
      <c r="H31">
        <f t="shared" si="1"/>
        <v>20</v>
      </c>
    </row>
    <row r="32" spans="1:8" x14ac:dyDescent="0.15">
      <c r="A32" s="3">
        <v>2002</v>
      </c>
      <c r="B32" s="4" t="s">
        <v>18</v>
      </c>
      <c r="C32" s="2">
        <v>100</v>
      </c>
      <c r="D32" s="2">
        <v>2</v>
      </c>
      <c r="E32" s="2">
        <v>60</v>
      </c>
      <c r="F32" s="2">
        <v>7</v>
      </c>
      <c r="G32" s="2">
        <f t="shared" si="0"/>
        <v>169</v>
      </c>
      <c r="H32">
        <f t="shared" si="1"/>
        <v>31</v>
      </c>
    </row>
    <row r="33" spans="1:8" x14ac:dyDescent="0.15">
      <c r="A33" s="3">
        <v>2003</v>
      </c>
      <c r="B33" s="4" t="s">
        <v>18</v>
      </c>
      <c r="C33" s="2">
        <v>140</v>
      </c>
      <c r="D33" s="2">
        <v>2</v>
      </c>
      <c r="E33" s="2">
        <v>53</v>
      </c>
      <c r="F33" s="2">
        <v>6</v>
      </c>
      <c r="G33" s="2">
        <f t="shared" si="0"/>
        <v>201</v>
      </c>
      <c r="H33">
        <f t="shared" si="1"/>
        <v>29</v>
      </c>
    </row>
    <row r="34" spans="1:8" x14ac:dyDescent="0.15">
      <c r="A34" s="3">
        <v>2004</v>
      </c>
      <c r="B34" s="4" t="s">
        <v>18</v>
      </c>
      <c r="C34" s="2">
        <v>212</v>
      </c>
      <c r="D34" s="2">
        <v>4</v>
      </c>
      <c r="E34" s="2">
        <v>30</v>
      </c>
      <c r="F34" s="2">
        <v>10</v>
      </c>
      <c r="G34" s="2">
        <f t="shared" si="0"/>
        <v>256</v>
      </c>
      <c r="H34">
        <f t="shared" si="1"/>
        <v>25</v>
      </c>
    </row>
    <row r="35" spans="1:8" x14ac:dyDescent="0.15">
      <c r="A35" s="3">
        <v>2005</v>
      </c>
      <c r="B35" s="4" t="s">
        <v>20</v>
      </c>
      <c r="C35" s="2">
        <v>260</v>
      </c>
      <c r="D35" s="2">
        <v>7</v>
      </c>
      <c r="E35" s="2">
        <v>33</v>
      </c>
      <c r="F35" s="2">
        <v>2</v>
      </c>
      <c r="G35" s="2">
        <f t="shared" si="0"/>
        <v>302</v>
      </c>
      <c r="H35">
        <f t="shared" si="1"/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B5" sqref="B5:I11"/>
    </sheetView>
  </sheetViews>
  <sheetFormatPr defaultRowHeight="14.25" x14ac:dyDescent="0.15"/>
  <sheetData>
    <row r="1" spans="1:9" x14ac:dyDescent="0.15">
      <c r="A1" t="s">
        <v>23</v>
      </c>
      <c r="B1" t="s">
        <v>24</v>
      </c>
    </row>
    <row r="2" spans="1:9" x14ac:dyDescent="0.15">
      <c r="A2" t="s">
        <v>25</v>
      </c>
      <c r="B2" t="s">
        <v>26</v>
      </c>
    </row>
    <row r="4" spans="1:9" ht="15" thickBot="1" x14ac:dyDescent="0.2"/>
    <row r="5" spans="1:9" ht="15" thickTop="1" x14ac:dyDescent="0.15">
      <c r="B5" s="5" t="s">
        <v>0</v>
      </c>
      <c r="C5" s="6" t="s">
        <v>7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7" t="s">
        <v>22</v>
      </c>
    </row>
    <row r="6" spans="1:9" x14ac:dyDescent="0.15">
      <c r="B6" s="8">
        <v>1984</v>
      </c>
      <c r="C6" s="9" t="s">
        <v>16</v>
      </c>
      <c r="D6" s="10">
        <v>144</v>
      </c>
      <c r="E6" s="10">
        <v>37</v>
      </c>
      <c r="F6" s="10">
        <v>387</v>
      </c>
      <c r="G6" s="10">
        <v>337</v>
      </c>
      <c r="H6" s="10">
        <v>905</v>
      </c>
      <c r="I6" s="11">
        <v>3</v>
      </c>
    </row>
    <row r="7" spans="1:9" x14ac:dyDescent="0.15">
      <c r="B7" s="8">
        <v>1985</v>
      </c>
      <c r="C7" s="9" t="s">
        <v>16</v>
      </c>
      <c r="D7" s="10">
        <v>127</v>
      </c>
      <c r="E7" s="10">
        <v>45</v>
      </c>
      <c r="F7" s="10">
        <v>357</v>
      </c>
      <c r="G7" s="10">
        <v>419</v>
      </c>
      <c r="H7" s="10">
        <v>948</v>
      </c>
      <c r="I7" s="11">
        <v>2</v>
      </c>
    </row>
    <row r="8" spans="1:9" x14ac:dyDescent="0.15">
      <c r="B8" s="8">
        <v>1986</v>
      </c>
      <c r="C8" s="9" t="s">
        <v>16</v>
      </c>
      <c r="D8" s="10">
        <v>134</v>
      </c>
      <c r="E8" s="10">
        <v>46</v>
      </c>
      <c r="F8" s="10">
        <v>383</v>
      </c>
      <c r="G8" s="10">
        <v>417</v>
      </c>
      <c r="H8" s="10">
        <v>980</v>
      </c>
      <c r="I8" s="11">
        <v>1</v>
      </c>
    </row>
    <row r="9" spans="1:9" x14ac:dyDescent="0.15">
      <c r="B9" s="8">
        <v>1987</v>
      </c>
      <c r="C9" s="9" t="s">
        <v>15</v>
      </c>
      <c r="D9" s="10">
        <v>146</v>
      </c>
      <c r="E9" s="10">
        <v>45</v>
      </c>
      <c r="F9" s="10">
        <v>353</v>
      </c>
      <c r="G9" s="10">
        <v>347</v>
      </c>
      <c r="H9" s="10">
        <v>891</v>
      </c>
      <c r="I9" s="11">
        <v>4</v>
      </c>
    </row>
    <row r="10" spans="1:9" x14ac:dyDescent="0.15">
      <c r="B10" s="8">
        <v>1988</v>
      </c>
      <c r="C10" s="9" t="s">
        <v>15</v>
      </c>
      <c r="D10" s="10">
        <v>158</v>
      </c>
      <c r="E10" s="10">
        <v>38</v>
      </c>
      <c r="F10" s="10">
        <v>344</v>
      </c>
      <c r="G10" s="10">
        <v>350</v>
      </c>
      <c r="H10" s="10">
        <v>890</v>
      </c>
      <c r="I10" s="11">
        <v>5</v>
      </c>
    </row>
    <row r="11" spans="1:9" ht="15" thickBot="1" x14ac:dyDescent="0.2">
      <c r="B11" s="12">
        <v>1992</v>
      </c>
      <c r="C11" s="13" t="s">
        <v>15</v>
      </c>
      <c r="D11" s="14">
        <v>170</v>
      </c>
      <c r="E11" s="14">
        <v>56</v>
      </c>
      <c r="F11" s="14">
        <v>354</v>
      </c>
      <c r="G11" s="14">
        <v>307</v>
      </c>
      <c r="H11" s="14">
        <v>887</v>
      </c>
      <c r="I11" s="15">
        <v>6</v>
      </c>
    </row>
    <row r="12" spans="1:9" ht="15" thickTop="1" x14ac:dyDescent="0.15"/>
  </sheetData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firstPageNumber="3" orientation="portrait" useFirstPageNumber="1" r:id="rId1"/>
  <headerFooter>
    <oddFooter>&amp;C第&amp;P页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9"/>
  <sheetViews>
    <sheetView workbookViewId="0">
      <selection activeCell="C10" sqref="C10"/>
    </sheetView>
  </sheetViews>
  <sheetFormatPr defaultRowHeight="14.25" outlineLevelRow="2" x14ac:dyDescent="0.15"/>
  <sheetData>
    <row r="2" spans="1:8" x14ac:dyDescent="0.15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22</v>
      </c>
    </row>
    <row r="3" spans="1:8" outlineLevel="2" x14ac:dyDescent="0.15">
      <c r="A3" s="3">
        <v>1952</v>
      </c>
      <c r="B3" s="4" t="s">
        <v>8</v>
      </c>
      <c r="C3" s="2">
        <v>4</v>
      </c>
      <c r="D3" s="2">
        <v>2</v>
      </c>
      <c r="E3" s="2">
        <v>41</v>
      </c>
      <c r="F3" s="2">
        <v>157</v>
      </c>
      <c r="G3" s="2">
        <f>SUM(C3:F3)</f>
        <v>204</v>
      </c>
      <c r="H3">
        <f>RANK(G3,G$3:G$67)</f>
        <v>28</v>
      </c>
    </row>
    <row r="4" spans="1:8" outlineLevel="1" x14ac:dyDescent="0.15">
      <c r="A4" s="16" t="s">
        <v>27</v>
      </c>
      <c r="B4" s="4"/>
      <c r="C4" s="2"/>
      <c r="D4" s="2">
        <f>SUBTOTAL(4,D3:D3)</f>
        <v>2</v>
      </c>
      <c r="E4" s="2">
        <f>SUBTOTAL(4,E3:E3)</f>
        <v>41</v>
      </c>
      <c r="F4" s="2">
        <f>SUBTOTAL(4,F3:F3)</f>
        <v>157</v>
      </c>
      <c r="G4" s="2"/>
    </row>
    <row r="5" spans="1:8" outlineLevel="2" x14ac:dyDescent="0.15">
      <c r="A5" s="3">
        <v>1957</v>
      </c>
      <c r="B5" s="4" t="s">
        <v>10</v>
      </c>
      <c r="C5" s="2">
        <v>40</v>
      </c>
      <c r="D5" s="2">
        <v>5</v>
      </c>
      <c r="E5" s="2">
        <v>84</v>
      </c>
      <c r="F5" s="2">
        <v>272</v>
      </c>
      <c r="G5" s="2">
        <f>SUM(C5:F5)</f>
        <v>401</v>
      </c>
      <c r="H5">
        <f>RANK(G5,G$3:G$67)</f>
        <v>19</v>
      </c>
    </row>
    <row r="6" spans="1:8" outlineLevel="1" x14ac:dyDescent="0.15">
      <c r="A6" s="16" t="s">
        <v>28</v>
      </c>
      <c r="B6" s="4"/>
      <c r="C6" s="2"/>
      <c r="D6" s="2">
        <f>SUBTOTAL(4,D5:D5)</f>
        <v>5</v>
      </c>
      <c r="E6" s="2">
        <f>SUBTOTAL(4,E5:E5)</f>
        <v>84</v>
      </c>
      <c r="F6" s="2">
        <f>SUBTOTAL(4,F5:F5)</f>
        <v>272</v>
      </c>
      <c r="G6" s="2"/>
    </row>
    <row r="7" spans="1:8" outlineLevel="2" x14ac:dyDescent="0.15">
      <c r="A7" s="3">
        <v>1962</v>
      </c>
      <c r="B7" s="4" t="s">
        <v>9</v>
      </c>
      <c r="C7" s="2">
        <v>34</v>
      </c>
      <c r="D7" s="2">
        <v>17</v>
      </c>
      <c r="E7" s="2">
        <v>94</v>
      </c>
      <c r="F7" s="2">
        <v>133</v>
      </c>
      <c r="G7" s="2">
        <f>SUM(C7:F7)</f>
        <v>278</v>
      </c>
      <c r="H7">
        <f>RANK(G7,G$3:G$67)</f>
        <v>24</v>
      </c>
    </row>
    <row r="8" spans="1:8" outlineLevel="1" x14ac:dyDescent="0.15">
      <c r="A8" s="16" t="s">
        <v>29</v>
      </c>
      <c r="B8" s="4"/>
      <c r="C8" s="2"/>
      <c r="D8" s="2">
        <f>SUBTOTAL(4,D7:D7)</f>
        <v>17</v>
      </c>
      <c r="E8" s="2">
        <f>SUBTOTAL(4,E7:E7)</f>
        <v>94</v>
      </c>
      <c r="F8" s="2">
        <f>SUBTOTAL(4,F7:F7)</f>
        <v>133</v>
      </c>
      <c r="G8" s="2"/>
    </row>
    <row r="9" spans="1:8" outlineLevel="2" x14ac:dyDescent="0.15">
      <c r="A9" s="3">
        <v>1965</v>
      </c>
      <c r="B9" s="4" t="s">
        <v>9</v>
      </c>
      <c r="C9" s="2">
        <v>52</v>
      </c>
      <c r="D9" s="2">
        <v>21</v>
      </c>
      <c r="E9" s="2">
        <v>240</v>
      </c>
      <c r="F9" s="2">
        <v>378</v>
      </c>
      <c r="G9" s="2">
        <f>SUM(C9:F9)</f>
        <v>691</v>
      </c>
      <c r="H9">
        <f>RANK(G9,G$3:G$67)</f>
        <v>14</v>
      </c>
    </row>
    <row r="10" spans="1:8" outlineLevel="1" x14ac:dyDescent="0.15">
      <c r="A10" s="16" t="s">
        <v>30</v>
      </c>
      <c r="B10" s="4"/>
      <c r="C10" s="2"/>
      <c r="D10" s="2">
        <f>SUBTOTAL(4,D9:D9)</f>
        <v>21</v>
      </c>
      <c r="E10" s="2">
        <f>SUBTOTAL(4,E9:E9)</f>
        <v>240</v>
      </c>
      <c r="F10" s="2">
        <f>SUBTOTAL(4,F9:F9)</f>
        <v>378</v>
      </c>
      <c r="G10" s="2"/>
    </row>
    <row r="11" spans="1:8" outlineLevel="2" x14ac:dyDescent="0.15">
      <c r="A11" s="3">
        <v>1975</v>
      </c>
      <c r="B11" s="4" t="s">
        <v>11</v>
      </c>
      <c r="C11" s="2">
        <v>27</v>
      </c>
      <c r="D11" s="2">
        <v>11</v>
      </c>
      <c r="E11" s="2">
        <v>214</v>
      </c>
      <c r="F11" s="2">
        <v>313</v>
      </c>
      <c r="G11" s="2">
        <f>SUM(C11:F11)</f>
        <v>565</v>
      </c>
      <c r="H11">
        <f>RANK(G11,G$3:G$67)</f>
        <v>17</v>
      </c>
    </row>
    <row r="12" spans="1:8" outlineLevel="1" x14ac:dyDescent="0.15">
      <c r="A12" s="16" t="s">
        <v>31</v>
      </c>
      <c r="B12" s="4"/>
      <c r="C12" s="2"/>
      <c r="D12" s="2">
        <f>SUBTOTAL(4,D11:D11)</f>
        <v>11</v>
      </c>
      <c r="E12" s="2">
        <f>SUBTOTAL(4,E11:E11)</f>
        <v>214</v>
      </c>
      <c r="F12" s="2">
        <f>SUBTOTAL(4,F11:F11)</f>
        <v>313</v>
      </c>
      <c r="G12" s="2"/>
    </row>
    <row r="13" spans="1:8" outlineLevel="2" x14ac:dyDescent="0.15">
      <c r="A13" s="3">
        <v>1978</v>
      </c>
      <c r="B13" s="4" t="s">
        <v>12</v>
      </c>
      <c r="C13" s="2">
        <v>46</v>
      </c>
      <c r="D13" s="2">
        <v>26</v>
      </c>
      <c r="E13" s="2">
        <v>289</v>
      </c>
      <c r="F13" s="2">
        <v>202</v>
      </c>
      <c r="G13" s="2">
        <f>SUM(C13:F13)</f>
        <v>563</v>
      </c>
      <c r="H13">
        <f>RANK(G13,G$3:G$67)</f>
        <v>18</v>
      </c>
    </row>
    <row r="14" spans="1:8" outlineLevel="1" x14ac:dyDescent="0.15">
      <c r="A14" s="16" t="s">
        <v>32</v>
      </c>
      <c r="B14" s="4"/>
      <c r="C14" s="2"/>
      <c r="D14" s="2">
        <f>SUBTOTAL(4,D13:D13)</f>
        <v>26</v>
      </c>
      <c r="E14" s="2">
        <f>SUBTOTAL(4,E13:E13)</f>
        <v>289</v>
      </c>
      <c r="F14" s="2">
        <f>SUBTOTAL(4,F13:F13)</f>
        <v>202</v>
      </c>
      <c r="G14" s="2"/>
    </row>
    <row r="15" spans="1:8" outlineLevel="2" x14ac:dyDescent="0.15">
      <c r="A15" s="3">
        <v>1979</v>
      </c>
      <c r="B15" s="4" t="s">
        <v>13</v>
      </c>
      <c r="C15" s="2">
        <v>65</v>
      </c>
      <c r="D15" s="2">
        <v>25</v>
      </c>
      <c r="E15" s="2">
        <v>349</v>
      </c>
      <c r="F15" s="2">
        <v>317</v>
      </c>
      <c r="G15" s="2">
        <f>SUM(C15:F15)</f>
        <v>756</v>
      </c>
      <c r="H15">
        <f>RANK(G15,G$3:G$67)</f>
        <v>11</v>
      </c>
    </row>
    <row r="16" spans="1:8" outlineLevel="1" x14ac:dyDescent="0.15">
      <c r="A16" s="16" t="s">
        <v>33</v>
      </c>
      <c r="B16" s="4"/>
      <c r="C16" s="2"/>
      <c r="D16" s="2">
        <f>SUBTOTAL(4,D15:D15)</f>
        <v>25</v>
      </c>
      <c r="E16" s="2">
        <f>SUBTOTAL(4,E15:E15)</f>
        <v>349</v>
      </c>
      <c r="F16" s="2">
        <f>SUBTOTAL(4,F15:F15)</f>
        <v>317</v>
      </c>
      <c r="G16" s="2"/>
    </row>
    <row r="17" spans="1:8" outlineLevel="2" x14ac:dyDescent="0.15">
      <c r="A17" s="3">
        <v>1980</v>
      </c>
      <c r="B17" s="4" t="s">
        <v>13</v>
      </c>
      <c r="C17" s="2">
        <v>82</v>
      </c>
      <c r="D17" s="2">
        <v>32</v>
      </c>
      <c r="E17" s="2">
        <v>337</v>
      </c>
      <c r="F17" s="2">
        <v>242</v>
      </c>
      <c r="G17" s="2">
        <f>SUM(C17:F17)</f>
        <v>693</v>
      </c>
      <c r="H17">
        <f>RANK(G17,G$3:G$67)</f>
        <v>13</v>
      </c>
    </row>
    <row r="18" spans="1:8" outlineLevel="1" x14ac:dyDescent="0.15">
      <c r="A18" s="16" t="s">
        <v>34</v>
      </c>
      <c r="B18" s="4"/>
      <c r="C18" s="2"/>
      <c r="D18" s="2">
        <f>SUBTOTAL(4,D17:D17)</f>
        <v>32</v>
      </c>
      <c r="E18" s="2">
        <f>SUBTOTAL(4,E17:E17)</f>
        <v>337</v>
      </c>
      <c r="F18" s="2">
        <f>SUBTOTAL(4,F17:F17)</f>
        <v>242</v>
      </c>
      <c r="G18" s="2"/>
    </row>
    <row r="19" spans="1:8" outlineLevel="2" x14ac:dyDescent="0.15">
      <c r="A19" s="3">
        <v>1981</v>
      </c>
      <c r="B19" s="4" t="s">
        <v>14</v>
      </c>
      <c r="C19" s="2">
        <v>105</v>
      </c>
      <c r="D19" s="2">
        <v>33</v>
      </c>
      <c r="E19" s="2">
        <v>277</v>
      </c>
      <c r="F19" s="2">
        <v>275</v>
      </c>
      <c r="G19" s="2">
        <f>SUM(C19:F19)</f>
        <v>690</v>
      </c>
      <c r="H19">
        <f>RANK(G19,G$3:G$67)</f>
        <v>15</v>
      </c>
    </row>
    <row r="20" spans="1:8" outlineLevel="1" x14ac:dyDescent="0.15">
      <c r="A20" s="16" t="s">
        <v>35</v>
      </c>
      <c r="B20" s="4"/>
      <c r="C20" s="2"/>
      <c r="D20" s="2">
        <f>SUBTOTAL(4,D19:D19)</f>
        <v>33</v>
      </c>
      <c r="E20" s="2">
        <f>SUBTOTAL(4,E19:E19)</f>
        <v>277</v>
      </c>
      <c r="F20" s="2">
        <f>SUBTOTAL(4,F19:F19)</f>
        <v>275</v>
      </c>
      <c r="G20" s="2"/>
    </row>
    <row r="21" spans="1:8" outlineLevel="2" x14ac:dyDescent="0.15">
      <c r="A21" s="3">
        <v>1982</v>
      </c>
      <c r="B21" s="4" t="s">
        <v>14</v>
      </c>
      <c r="C21" s="2">
        <v>112</v>
      </c>
      <c r="D21" s="2">
        <v>33</v>
      </c>
      <c r="E21" s="2">
        <v>284</v>
      </c>
      <c r="F21" s="2">
        <v>259</v>
      </c>
      <c r="G21" s="2">
        <f>SUM(C21:F21)</f>
        <v>688</v>
      </c>
      <c r="H21">
        <f>RANK(G21,G$3:G$67)</f>
        <v>16</v>
      </c>
    </row>
    <row r="22" spans="1:8" outlineLevel="1" x14ac:dyDescent="0.15">
      <c r="A22" s="16" t="s">
        <v>36</v>
      </c>
      <c r="B22" s="4"/>
      <c r="C22" s="2"/>
      <c r="D22" s="2">
        <f>SUBTOTAL(4,D21:D21)</f>
        <v>33</v>
      </c>
      <c r="E22" s="2">
        <f>SUBTOTAL(4,E21:E21)</f>
        <v>284</v>
      </c>
      <c r="F22" s="2">
        <f>SUBTOTAL(4,F21:F21)</f>
        <v>259</v>
      </c>
      <c r="G22" s="2"/>
    </row>
    <row r="23" spans="1:8" outlineLevel="2" x14ac:dyDescent="0.15">
      <c r="A23" s="3">
        <v>1983</v>
      </c>
      <c r="B23" s="4" t="s">
        <v>14</v>
      </c>
      <c r="C23" s="2">
        <v>127</v>
      </c>
      <c r="D23" s="2">
        <v>37</v>
      </c>
      <c r="E23" s="2">
        <v>343</v>
      </c>
      <c r="F23" s="2">
        <v>299</v>
      </c>
      <c r="G23" s="2">
        <f>SUM(C23:F23)</f>
        <v>806</v>
      </c>
      <c r="H23">
        <f>RANK(G23,G$3:G$67)</f>
        <v>9</v>
      </c>
    </row>
    <row r="24" spans="1:8" outlineLevel="1" x14ac:dyDescent="0.15">
      <c r="A24" s="16" t="s">
        <v>37</v>
      </c>
      <c r="B24" s="4"/>
      <c r="C24" s="2"/>
      <c r="D24" s="2">
        <f>SUBTOTAL(4,D23:D23)</f>
        <v>37</v>
      </c>
      <c r="E24" s="2">
        <f>SUBTOTAL(4,E23:E23)</f>
        <v>343</v>
      </c>
      <c r="F24" s="2">
        <f>SUBTOTAL(4,F23:F23)</f>
        <v>299</v>
      </c>
      <c r="G24" s="2"/>
    </row>
    <row r="25" spans="1:8" outlineLevel="2" x14ac:dyDescent="0.15">
      <c r="A25" s="3">
        <v>1984</v>
      </c>
      <c r="B25" s="4" t="s">
        <v>16</v>
      </c>
      <c r="C25" s="2">
        <v>144</v>
      </c>
      <c r="D25" s="2">
        <v>37</v>
      </c>
      <c r="E25" s="2">
        <v>387</v>
      </c>
      <c r="F25" s="2">
        <v>337</v>
      </c>
      <c r="G25" s="2">
        <f>SUM(C25:F25)</f>
        <v>905</v>
      </c>
      <c r="H25">
        <f>RANK(G25,G$3:G$67)</f>
        <v>3</v>
      </c>
    </row>
    <row r="26" spans="1:8" outlineLevel="1" x14ac:dyDescent="0.15">
      <c r="A26" s="16" t="s">
        <v>38</v>
      </c>
      <c r="B26" s="4"/>
      <c r="C26" s="2"/>
      <c r="D26" s="2">
        <f>SUBTOTAL(4,D25:D25)</f>
        <v>37</v>
      </c>
      <c r="E26" s="2">
        <f>SUBTOTAL(4,E25:E25)</f>
        <v>387</v>
      </c>
      <c r="F26" s="2">
        <f>SUBTOTAL(4,F25:F25)</f>
        <v>337</v>
      </c>
      <c r="G26" s="2"/>
    </row>
    <row r="27" spans="1:8" outlineLevel="2" x14ac:dyDescent="0.15">
      <c r="A27" s="3">
        <v>1985</v>
      </c>
      <c r="B27" s="4" t="s">
        <v>16</v>
      </c>
      <c r="C27" s="2">
        <v>127</v>
      </c>
      <c r="D27" s="2">
        <v>45</v>
      </c>
      <c r="E27" s="2">
        <v>357</v>
      </c>
      <c r="F27" s="2">
        <v>419</v>
      </c>
      <c r="G27" s="2">
        <f>SUM(C27:F27)</f>
        <v>948</v>
      </c>
      <c r="H27">
        <f>RANK(G27,G$3:G$67)</f>
        <v>2</v>
      </c>
    </row>
    <row r="28" spans="1:8" outlineLevel="1" x14ac:dyDescent="0.15">
      <c r="A28" s="16" t="s">
        <v>39</v>
      </c>
      <c r="B28" s="4"/>
      <c r="C28" s="2"/>
      <c r="D28" s="2">
        <f>SUBTOTAL(4,D27:D27)</f>
        <v>45</v>
      </c>
      <c r="E28" s="2">
        <f>SUBTOTAL(4,E27:E27)</f>
        <v>357</v>
      </c>
      <c r="F28" s="2">
        <f>SUBTOTAL(4,F27:F27)</f>
        <v>419</v>
      </c>
      <c r="G28" s="2"/>
    </row>
    <row r="29" spans="1:8" outlineLevel="2" x14ac:dyDescent="0.15">
      <c r="A29" s="3">
        <v>1986</v>
      </c>
      <c r="B29" s="4" t="s">
        <v>16</v>
      </c>
      <c r="C29" s="2">
        <v>134</v>
      </c>
      <c r="D29" s="2">
        <v>46</v>
      </c>
      <c r="E29" s="2">
        <v>383</v>
      </c>
      <c r="F29" s="2">
        <v>417</v>
      </c>
      <c r="G29" s="2">
        <f>SUM(C29:F29)</f>
        <v>980</v>
      </c>
      <c r="H29">
        <f>RANK(G29,G$3:G$67)</f>
        <v>1</v>
      </c>
    </row>
    <row r="30" spans="1:8" outlineLevel="1" x14ac:dyDescent="0.15">
      <c r="A30" s="16" t="s">
        <v>40</v>
      </c>
      <c r="B30" s="4"/>
      <c r="C30" s="2"/>
      <c r="D30" s="2">
        <f>SUBTOTAL(4,D29:D29)</f>
        <v>46</v>
      </c>
      <c r="E30" s="2">
        <f>SUBTOTAL(4,E29:E29)</f>
        <v>383</v>
      </c>
      <c r="F30" s="2">
        <f>SUBTOTAL(4,F29:F29)</f>
        <v>417</v>
      </c>
      <c r="G30" s="2"/>
    </row>
    <row r="31" spans="1:8" outlineLevel="2" x14ac:dyDescent="0.15">
      <c r="A31" s="3">
        <v>1987</v>
      </c>
      <c r="B31" s="4" t="s">
        <v>15</v>
      </c>
      <c r="C31" s="2">
        <v>146</v>
      </c>
      <c r="D31" s="2">
        <v>45</v>
      </c>
      <c r="E31" s="2">
        <v>353</v>
      </c>
      <c r="F31" s="2">
        <v>347</v>
      </c>
      <c r="G31" s="2">
        <f>SUM(C31:F31)</f>
        <v>891</v>
      </c>
      <c r="H31">
        <f>RANK(G31,G$3:G$67)</f>
        <v>4</v>
      </c>
    </row>
    <row r="32" spans="1:8" outlineLevel="1" x14ac:dyDescent="0.15">
      <c r="A32" s="16" t="s">
        <v>41</v>
      </c>
      <c r="B32" s="4"/>
      <c r="C32" s="2"/>
      <c r="D32" s="2">
        <f>SUBTOTAL(4,D31:D31)</f>
        <v>45</v>
      </c>
      <c r="E32" s="2">
        <f>SUBTOTAL(4,E31:E31)</f>
        <v>353</v>
      </c>
      <c r="F32" s="2">
        <f>SUBTOTAL(4,F31:F31)</f>
        <v>347</v>
      </c>
      <c r="G32" s="2"/>
    </row>
    <row r="33" spans="1:8" outlineLevel="2" x14ac:dyDescent="0.15">
      <c r="A33" s="3">
        <v>1988</v>
      </c>
      <c r="B33" s="4" t="s">
        <v>15</v>
      </c>
      <c r="C33" s="2">
        <v>158</v>
      </c>
      <c r="D33" s="2">
        <v>38</v>
      </c>
      <c r="E33" s="2">
        <v>344</v>
      </c>
      <c r="F33" s="2">
        <v>350</v>
      </c>
      <c r="G33" s="2">
        <f>SUM(C33:F33)</f>
        <v>890</v>
      </c>
      <c r="H33">
        <f>RANK(G33,G$3:G$67)</f>
        <v>5</v>
      </c>
    </row>
    <row r="34" spans="1:8" outlineLevel="1" x14ac:dyDescent="0.15">
      <c r="A34" s="16" t="s">
        <v>42</v>
      </c>
      <c r="B34" s="4"/>
      <c r="C34" s="2"/>
      <c r="D34" s="2">
        <f>SUBTOTAL(4,D33:D33)</f>
        <v>38</v>
      </c>
      <c r="E34" s="2">
        <f>SUBTOTAL(4,E33:E33)</f>
        <v>344</v>
      </c>
      <c r="F34" s="2">
        <f>SUBTOTAL(4,F33:F33)</f>
        <v>350</v>
      </c>
      <c r="G34" s="2"/>
    </row>
    <row r="35" spans="1:8" outlineLevel="2" x14ac:dyDescent="0.15">
      <c r="A35" s="3">
        <v>1989</v>
      </c>
      <c r="B35" s="4" t="s">
        <v>15</v>
      </c>
      <c r="C35" s="2">
        <v>136</v>
      </c>
      <c r="D35" s="2">
        <v>53</v>
      </c>
      <c r="E35" s="2">
        <v>334</v>
      </c>
      <c r="F35" s="2">
        <v>259</v>
      </c>
      <c r="G35" s="2">
        <f>SUM(C35:F35)</f>
        <v>782</v>
      </c>
      <c r="H35">
        <f>RANK(G35,G$3:G$67)</f>
        <v>10</v>
      </c>
    </row>
    <row r="36" spans="1:8" outlineLevel="1" x14ac:dyDescent="0.15">
      <c r="A36" s="16" t="s">
        <v>43</v>
      </c>
      <c r="B36" s="4"/>
      <c r="C36" s="2"/>
      <c r="D36" s="2">
        <f>SUBTOTAL(4,D35:D35)</f>
        <v>53</v>
      </c>
      <c r="E36" s="2">
        <f>SUBTOTAL(4,E35:E35)</f>
        <v>334</v>
      </c>
      <c r="F36" s="2">
        <f>SUBTOTAL(4,F35:F35)</f>
        <v>259</v>
      </c>
      <c r="G36" s="2"/>
    </row>
    <row r="37" spans="1:8" outlineLevel="2" x14ac:dyDescent="0.15">
      <c r="A37" s="3">
        <v>1990</v>
      </c>
      <c r="B37" s="4" t="s">
        <v>15</v>
      </c>
      <c r="C37" s="2">
        <v>134</v>
      </c>
      <c r="D37" s="2">
        <v>51</v>
      </c>
      <c r="E37" s="2">
        <v>326</v>
      </c>
      <c r="F37" s="2">
        <v>296</v>
      </c>
      <c r="G37" s="2">
        <f>SUM(C37:F37)</f>
        <v>807</v>
      </c>
      <c r="H37">
        <f>RANK(G37,G$3:G$67)</f>
        <v>8</v>
      </c>
    </row>
    <row r="38" spans="1:8" outlineLevel="1" x14ac:dyDescent="0.15">
      <c r="A38" s="16" t="s">
        <v>44</v>
      </c>
      <c r="B38" s="4"/>
      <c r="C38" s="2"/>
      <c r="D38" s="2">
        <f>SUBTOTAL(4,D37:D37)</f>
        <v>51</v>
      </c>
      <c r="E38" s="2">
        <f>SUBTOTAL(4,E37:E37)</f>
        <v>326</v>
      </c>
      <c r="F38" s="2">
        <f>SUBTOTAL(4,F37:F37)</f>
        <v>296</v>
      </c>
      <c r="G38" s="2"/>
    </row>
    <row r="39" spans="1:8" outlineLevel="2" x14ac:dyDescent="0.15">
      <c r="A39" s="3">
        <v>1991</v>
      </c>
      <c r="B39" s="4" t="s">
        <v>15</v>
      </c>
      <c r="C39" s="2">
        <v>130</v>
      </c>
      <c r="D39" s="2">
        <v>46</v>
      </c>
      <c r="E39" s="2">
        <v>351</v>
      </c>
      <c r="F39" s="2">
        <v>283</v>
      </c>
      <c r="G39" s="2">
        <f>SUM(C39:F39)</f>
        <v>810</v>
      </c>
      <c r="H39">
        <f>RANK(G39,G$3:G$67)</f>
        <v>7</v>
      </c>
    </row>
    <row r="40" spans="1:8" outlineLevel="1" x14ac:dyDescent="0.15">
      <c r="A40" s="16" t="s">
        <v>45</v>
      </c>
      <c r="B40" s="4"/>
      <c r="C40" s="2"/>
      <c r="D40" s="2">
        <f>SUBTOTAL(4,D39:D39)</f>
        <v>46</v>
      </c>
      <c r="E40" s="2">
        <f>SUBTOTAL(4,E39:E39)</f>
        <v>351</v>
      </c>
      <c r="F40" s="2">
        <f>SUBTOTAL(4,F39:F39)</f>
        <v>283</v>
      </c>
      <c r="G40" s="2"/>
    </row>
    <row r="41" spans="1:8" outlineLevel="2" x14ac:dyDescent="0.15">
      <c r="A41" s="3">
        <v>1992</v>
      </c>
      <c r="B41" s="4" t="s">
        <v>15</v>
      </c>
      <c r="C41" s="2">
        <v>170</v>
      </c>
      <c r="D41" s="2">
        <v>56</v>
      </c>
      <c r="E41" s="2">
        <v>354</v>
      </c>
      <c r="F41" s="2">
        <v>307</v>
      </c>
      <c r="G41" s="2">
        <f>SUM(C41:F41)</f>
        <v>887</v>
      </c>
      <c r="H41">
        <f>RANK(G41,G$3:G$67)</f>
        <v>6</v>
      </c>
    </row>
    <row r="42" spans="1:8" outlineLevel="1" x14ac:dyDescent="0.15">
      <c r="A42" s="16" t="s">
        <v>46</v>
      </c>
      <c r="B42" s="4"/>
      <c r="C42" s="2"/>
      <c r="D42" s="2">
        <f>SUBTOTAL(4,D41:D41)</f>
        <v>56</v>
      </c>
      <c r="E42" s="2">
        <f>SUBTOTAL(4,E41:E41)</f>
        <v>354</v>
      </c>
      <c r="F42" s="2">
        <f>SUBTOTAL(4,F41:F41)</f>
        <v>307</v>
      </c>
      <c r="G42" s="2"/>
    </row>
    <row r="43" spans="1:8" outlineLevel="2" x14ac:dyDescent="0.15">
      <c r="A43" s="3">
        <v>1993</v>
      </c>
      <c r="B43" s="4" t="s">
        <v>15</v>
      </c>
      <c r="C43" s="2">
        <v>154</v>
      </c>
      <c r="D43" s="2">
        <v>47</v>
      </c>
      <c r="E43" s="2">
        <v>252</v>
      </c>
      <c r="F43" s="2">
        <v>300</v>
      </c>
      <c r="G43" s="2">
        <f>SUM(C43:F43)</f>
        <v>753</v>
      </c>
      <c r="H43">
        <f>RANK(G43,G$3:G$67)</f>
        <v>12</v>
      </c>
    </row>
    <row r="44" spans="1:8" outlineLevel="1" x14ac:dyDescent="0.15">
      <c r="A44" s="16" t="s">
        <v>47</v>
      </c>
      <c r="B44" s="4"/>
      <c r="C44" s="2"/>
      <c r="D44" s="2">
        <f>SUBTOTAL(4,D43:D43)</f>
        <v>47</v>
      </c>
      <c r="E44" s="2">
        <f>SUBTOTAL(4,E43:E43)</f>
        <v>252</v>
      </c>
      <c r="F44" s="2">
        <f>SUBTOTAL(4,F43:F43)</f>
        <v>300</v>
      </c>
      <c r="G44" s="2"/>
    </row>
    <row r="45" spans="1:8" outlineLevel="2" x14ac:dyDescent="0.15">
      <c r="A45" s="3">
        <v>1994</v>
      </c>
      <c r="B45" s="4" t="s">
        <v>15</v>
      </c>
      <c r="C45" s="2">
        <v>148</v>
      </c>
      <c r="D45" s="2">
        <v>32</v>
      </c>
      <c r="E45" s="2">
        <v>182</v>
      </c>
      <c r="F45" s="2">
        <v>22</v>
      </c>
      <c r="G45" s="2">
        <f>SUM(C45:F45)</f>
        <v>384</v>
      </c>
      <c r="H45">
        <f>RANK(G45,G$3:G$67)</f>
        <v>21</v>
      </c>
    </row>
    <row r="46" spans="1:8" outlineLevel="1" x14ac:dyDescent="0.15">
      <c r="A46" s="16" t="s">
        <v>48</v>
      </c>
      <c r="B46" s="4"/>
      <c r="C46" s="2"/>
      <c r="D46" s="2">
        <f>SUBTOTAL(4,D45:D45)</f>
        <v>32</v>
      </c>
      <c r="E46" s="2">
        <f>SUBTOTAL(4,E45:E45)</f>
        <v>182</v>
      </c>
      <c r="F46" s="2">
        <f>SUBTOTAL(4,F45:F45)</f>
        <v>22</v>
      </c>
      <c r="G46" s="2"/>
    </row>
    <row r="47" spans="1:8" outlineLevel="2" x14ac:dyDescent="0.15">
      <c r="A47" s="3">
        <v>1995</v>
      </c>
      <c r="B47" s="4" t="s">
        <v>17</v>
      </c>
      <c r="C47" s="2">
        <v>146</v>
      </c>
      <c r="D47" s="2">
        <v>37</v>
      </c>
      <c r="E47" s="2">
        <v>40</v>
      </c>
      <c r="F47" s="2">
        <v>111</v>
      </c>
      <c r="G47" s="2">
        <f>SUM(C47:F47)</f>
        <v>334</v>
      </c>
      <c r="H47">
        <f>RANK(G47,G$3:G$67)</f>
        <v>22</v>
      </c>
    </row>
    <row r="48" spans="1:8" outlineLevel="1" x14ac:dyDescent="0.15">
      <c r="A48" s="16" t="s">
        <v>49</v>
      </c>
      <c r="B48" s="4"/>
      <c r="C48" s="2"/>
      <c r="D48" s="2">
        <f>SUBTOTAL(4,D47:D47)</f>
        <v>37</v>
      </c>
      <c r="E48" s="2">
        <f>SUBTOTAL(4,E47:E47)</f>
        <v>40</v>
      </c>
      <c r="F48" s="2">
        <f>SUBTOTAL(4,F47:F47)</f>
        <v>111</v>
      </c>
      <c r="G48" s="2"/>
    </row>
    <row r="49" spans="1:8" outlineLevel="2" x14ac:dyDescent="0.15">
      <c r="A49" s="3">
        <v>1996</v>
      </c>
      <c r="B49" s="4" t="s">
        <v>17</v>
      </c>
      <c r="C49" s="2">
        <v>110</v>
      </c>
      <c r="D49" s="2">
        <v>58</v>
      </c>
      <c r="E49" s="2">
        <v>33</v>
      </c>
      <c r="F49" s="2">
        <v>39</v>
      </c>
      <c r="G49" s="2">
        <f>SUM(C49:F49)</f>
        <v>240</v>
      </c>
      <c r="H49">
        <f>RANK(G49,G$3:G$67)</f>
        <v>27</v>
      </c>
    </row>
    <row r="50" spans="1:8" outlineLevel="1" x14ac:dyDescent="0.15">
      <c r="A50" s="16" t="s">
        <v>50</v>
      </c>
      <c r="B50" s="4"/>
      <c r="C50" s="2"/>
      <c r="D50" s="2">
        <f>SUBTOTAL(4,D49:D49)</f>
        <v>58</v>
      </c>
      <c r="E50" s="2">
        <f>SUBTOTAL(4,E49:E49)</f>
        <v>33</v>
      </c>
      <c r="F50" s="2">
        <f>SUBTOTAL(4,F49:F49)</f>
        <v>39</v>
      </c>
      <c r="G50" s="2"/>
    </row>
    <row r="51" spans="1:8" outlineLevel="2" x14ac:dyDescent="0.15">
      <c r="A51" s="3">
        <v>1997</v>
      </c>
      <c r="B51" s="4" t="s">
        <v>18</v>
      </c>
      <c r="C51" s="2">
        <v>88</v>
      </c>
      <c r="D51" s="2">
        <v>28</v>
      </c>
      <c r="E51" s="2">
        <v>34</v>
      </c>
      <c r="F51" s="2">
        <v>95</v>
      </c>
      <c r="G51" s="2">
        <f>SUM(C51:F51)</f>
        <v>245</v>
      </c>
      <c r="H51">
        <f>RANK(G51,G$3:G$67)</f>
        <v>26</v>
      </c>
    </row>
    <row r="52" spans="1:8" outlineLevel="1" x14ac:dyDescent="0.15">
      <c r="A52" s="16" t="s">
        <v>51</v>
      </c>
      <c r="B52" s="4"/>
      <c r="C52" s="2"/>
      <c r="D52" s="2">
        <f>SUBTOTAL(4,D51:D51)</f>
        <v>28</v>
      </c>
      <c r="E52" s="2">
        <f>SUBTOTAL(4,E51:E51)</f>
        <v>34</v>
      </c>
      <c r="F52" s="2">
        <f>SUBTOTAL(4,F51:F51)</f>
        <v>95</v>
      </c>
      <c r="G52" s="2"/>
    </row>
    <row r="53" spans="1:8" outlineLevel="2" x14ac:dyDescent="0.15">
      <c r="A53" s="3">
        <v>1998</v>
      </c>
      <c r="B53" s="4" t="s">
        <v>18</v>
      </c>
      <c r="C53" s="2">
        <v>82</v>
      </c>
      <c r="D53" s="2">
        <v>9</v>
      </c>
      <c r="E53" s="2">
        <v>30</v>
      </c>
      <c r="F53" s="2">
        <v>54</v>
      </c>
      <c r="G53" s="2">
        <f>SUM(C53:F53)</f>
        <v>175</v>
      </c>
      <c r="H53">
        <f>RANK(G53,G$3:G$67)</f>
        <v>30</v>
      </c>
    </row>
    <row r="54" spans="1:8" outlineLevel="1" x14ac:dyDescent="0.15">
      <c r="A54" s="16" t="s">
        <v>52</v>
      </c>
      <c r="B54" s="4"/>
      <c r="C54" s="2"/>
      <c r="D54" s="2">
        <f>SUBTOTAL(4,D53:D53)</f>
        <v>9</v>
      </c>
      <c r="E54" s="2">
        <f>SUBTOTAL(4,E53:E53)</f>
        <v>30</v>
      </c>
      <c r="F54" s="2">
        <f>SUBTOTAL(4,F53:F53)</f>
        <v>54</v>
      </c>
      <c r="G54" s="2"/>
    </row>
    <row r="55" spans="1:8" outlineLevel="2" x14ac:dyDescent="0.15">
      <c r="A55" s="3">
        <v>2000</v>
      </c>
      <c r="B55" s="4" t="s">
        <v>18</v>
      </c>
      <c r="C55" s="2">
        <v>91</v>
      </c>
      <c r="D55" s="2">
        <v>1</v>
      </c>
      <c r="E55" s="2">
        <v>49</v>
      </c>
      <c r="F55" s="2">
        <v>10</v>
      </c>
      <c r="G55" s="2">
        <f>SUM(C55:F55)</f>
        <v>151</v>
      </c>
      <c r="H55">
        <f>RANK(G55,G$3:G$67)</f>
        <v>33</v>
      </c>
    </row>
    <row r="56" spans="1:8" outlineLevel="1" x14ac:dyDescent="0.15">
      <c r="A56" s="16" t="s">
        <v>53</v>
      </c>
      <c r="B56" s="4"/>
      <c r="C56" s="2"/>
      <c r="D56" s="2">
        <f>SUBTOTAL(4,D55:D55)</f>
        <v>1</v>
      </c>
      <c r="E56" s="2">
        <f>SUBTOTAL(4,E55:E55)</f>
        <v>49</v>
      </c>
      <c r="F56" s="2">
        <f>SUBTOTAL(4,F55:F55)</f>
        <v>10</v>
      </c>
      <c r="G56" s="2"/>
    </row>
    <row r="57" spans="1:8" outlineLevel="2" x14ac:dyDescent="0.15">
      <c r="A57" s="3">
        <v>2001</v>
      </c>
      <c r="B57" s="4" t="s">
        <v>19</v>
      </c>
      <c r="C57" s="2">
        <v>88</v>
      </c>
      <c r="D57" s="2">
        <v>1</v>
      </c>
      <c r="E57" s="2">
        <v>56</v>
      </c>
      <c r="F57" s="2">
        <v>9</v>
      </c>
      <c r="G57" s="2">
        <f>SUM(C57:F57)</f>
        <v>154</v>
      </c>
      <c r="H57">
        <f>RANK(G57,G$3:G$67)</f>
        <v>32</v>
      </c>
    </row>
    <row r="58" spans="1:8" outlineLevel="1" x14ac:dyDescent="0.15">
      <c r="A58" s="16" t="s">
        <v>54</v>
      </c>
      <c r="B58" s="4"/>
      <c r="C58" s="2"/>
      <c r="D58" s="2">
        <f>SUBTOTAL(4,D57:D57)</f>
        <v>1</v>
      </c>
      <c r="E58" s="2">
        <f>SUBTOTAL(4,E57:E57)</f>
        <v>56</v>
      </c>
      <c r="F58" s="2">
        <f>SUBTOTAL(4,F57:F57)</f>
        <v>9</v>
      </c>
      <c r="G58" s="2"/>
    </row>
    <row r="59" spans="1:8" outlineLevel="2" x14ac:dyDescent="0.15">
      <c r="A59" s="3">
        <v>2002</v>
      </c>
      <c r="B59" s="4" t="s">
        <v>18</v>
      </c>
      <c r="C59" s="2">
        <v>100</v>
      </c>
      <c r="D59" s="2">
        <v>2</v>
      </c>
      <c r="E59" s="2">
        <v>60</v>
      </c>
      <c r="F59" s="2">
        <v>7</v>
      </c>
      <c r="G59" s="2">
        <f>SUM(C59:F59)</f>
        <v>169</v>
      </c>
      <c r="H59">
        <f>RANK(G59,G$3:G$67)</f>
        <v>31</v>
      </c>
    </row>
    <row r="60" spans="1:8" outlineLevel="1" x14ac:dyDescent="0.15">
      <c r="A60" s="16" t="s">
        <v>55</v>
      </c>
      <c r="B60" s="4"/>
      <c r="C60" s="2"/>
      <c r="D60" s="2">
        <f>SUBTOTAL(4,D59:D59)</f>
        <v>2</v>
      </c>
      <c r="E60" s="2">
        <f>SUBTOTAL(4,E59:E59)</f>
        <v>60</v>
      </c>
      <c r="F60" s="2">
        <f>SUBTOTAL(4,F59:F59)</f>
        <v>7</v>
      </c>
      <c r="G60" s="2"/>
    </row>
    <row r="61" spans="1:8" outlineLevel="2" x14ac:dyDescent="0.15">
      <c r="A61" s="3">
        <v>2003</v>
      </c>
      <c r="B61" s="4" t="s">
        <v>18</v>
      </c>
      <c r="C61" s="2">
        <v>140</v>
      </c>
      <c r="D61" s="2">
        <v>2</v>
      </c>
      <c r="E61" s="2">
        <v>53</v>
      </c>
      <c r="F61" s="2">
        <v>6</v>
      </c>
      <c r="G61" s="2">
        <f>SUM(C61:F61)</f>
        <v>201</v>
      </c>
      <c r="H61">
        <f>RANK(G61,G$3:G$67)</f>
        <v>29</v>
      </c>
    </row>
    <row r="62" spans="1:8" outlineLevel="1" x14ac:dyDescent="0.15">
      <c r="A62" s="16" t="s">
        <v>56</v>
      </c>
      <c r="B62" s="4"/>
      <c r="C62" s="2"/>
      <c r="D62" s="2">
        <f>SUBTOTAL(4,D61:D61)</f>
        <v>2</v>
      </c>
      <c r="E62" s="2">
        <f>SUBTOTAL(4,E61:E61)</f>
        <v>53</v>
      </c>
      <c r="F62" s="2">
        <f>SUBTOTAL(4,F61:F61)</f>
        <v>6</v>
      </c>
      <c r="G62" s="2"/>
    </row>
    <row r="63" spans="1:8" outlineLevel="2" x14ac:dyDescent="0.15">
      <c r="A63" s="3">
        <v>2004</v>
      </c>
      <c r="B63" s="4" t="s">
        <v>18</v>
      </c>
      <c r="C63" s="2">
        <v>212</v>
      </c>
      <c r="D63" s="2">
        <v>4</v>
      </c>
      <c r="E63" s="2">
        <v>30</v>
      </c>
      <c r="F63" s="2">
        <v>10</v>
      </c>
      <c r="G63" s="2">
        <f>SUM(C63:F63)</f>
        <v>256</v>
      </c>
      <c r="H63">
        <f>RANK(G63,G$3:G$67)</f>
        <v>25</v>
      </c>
    </row>
    <row r="64" spans="1:8" outlineLevel="1" x14ac:dyDescent="0.15">
      <c r="A64" s="16" t="s">
        <v>57</v>
      </c>
      <c r="B64" s="4"/>
      <c r="C64" s="2"/>
      <c r="D64" s="2">
        <f>SUBTOTAL(4,D63:D63)</f>
        <v>4</v>
      </c>
      <c r="E64" s="2">
        <f>SUBTOTAL(4,E63:E63)</f>
        <v>30</v>
      </c>
      <c r="F64" s="2">
        <f>SUBTOTAL(4,F63:F63)</f>
        <v>10</v>
      </c>
      <c r="G64" s="2"/>
    </row>
    <row r="65" spans="1:8" outlineLevel="2" x14ac:dyDescent="0.15">
      <c r="A65" s="3">
        <v>2005</v>
      </c>
      <c r="B65" s="4" t="s">
        <v>20</v>
      </c>
      <c r="C65" s="2">
        <v>260</v>
      </c>
      <c r="D65" s="2">
        <v>7</v>
      </c>
      <c r="E65" s="2">
        <v>33</v>
      </c>
      <c r="F65" s="2">
        <v>2</v>
      </c>
      <c r="G65" s="2">
        <f>SUM(C65:F65)</f>
        <v>302</v>
      </c>
      <c r="H65">
        <f>RANK(G65,G$3:G$67)</f>
        <v>23</v>
      </c>
    </row>
    <row r="66" spans="1:8" outlineLevel="1" x14ac:dyDescent="0.15">
      <c r="A66" s="16" t="s">
        <v>58</v>
      </c>
      <c r="B66" s="4"/>
      <c r="C66" s="2"/>
      <c r="D66" s="2">
        <f>SUBTOTAL(4,D65:D65)</f>
        <v>7</v>
      </c>
      <c r="E66" s="2">
        <f>SUBTOTAL(4,E65:E65)</f>
        <v>33</v>
      </c>
      <c r="F66" s="2">
        <f>SUBTOTAL(4,F65:F65)</f>
        <v>2</v>
      </c>
      <c r="G66" s="2"/>
    </row>
    <row r="67" spans="1:8" outlineLevel="2" x14ac:dyDescent="0.15">
      <c r="A67" s="3">
        <v>2006</v>
      </c>
      <c r="B67" s="4" t="s">
        <v>20</v>
      </c>
      <c r="C67" s="2">
        <v>330</v>
      </c>
      <c r="D67" s="2">
        <v>13</v>
      </c>
      <c r="E67" s="2">
        <v>36</v>
      </c>
      <c r="F67" s="2">
        <v>13</v>
      </c>
      <c r="G67" s="2">
        <f>SUM(C67:F67)</f>
        <v>392</v>
      </c>
      <c r="H67">
        <f>RANK(G67,G$3:G$67)</f>
        <v>20</v>
      </c>
    </row>
    <row r="68" spans="1:8" outlineLevel="1" x14ac:dyDescent="0.15">
      <c r="A68" s="16" t="s">
        <v>59</v>
      </c>
      <c r="B68" s="4"/>
      <c r="C68" s="2"/>
      <c r="D68" s="2">
        <f>SUBTOTAL(4,D67:D67)</f>
        <v>13</v>
      </c>
      <c r="E68" s="2">
        <f>SUBTOTAL(4,E67:E67)</f>
        <v>36</v>
      </c>
      <c r="F68" s="2">
        <f>SUBTOTAL(4,F67:F67)</f>
        <v>13</v>
      </c>
      <c r="G68" s="2"/>
    </row>
    <row r="69" spans="1:8" x14ac:dyDescent="0.15">
      <c r="A69" s="16" t="s">
        <v>60</v>
      </c>
      <c r="B69" s="4"/>
      <c r="C69" s="2"/>
      <c r="D69" s="2">
        <f>SUBTOTAL(4,D3:D67)</f>
        <v>58</v>
      </c>
      <c r="E69" s="2">
        <f>SUBTOTAL(4,E3:E67)</f>
        <v>387</v>
      </c>
      <c r="F69" s="2">
        <f>SUBTOTAL(4,F3:F67)</f>
        <v>419</v>
      </c>
      <c r="G69" s="2"/>
    </row>
  </sheetData>
  <sortState ref="A3:H35">
    <sortCondition ref="A3:A35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7" sqref="O7"/>
    </sheetView>
  </sheetViews>
  <sheetFormatPr defaultRowHeight="14.25" x14ac:dyDescent="0.1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影片产量统计表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2018-03-12T01:08:24Z</dcterms:created>
  <dcterms:modified xsi:type="dcterms:W3CDTF">2018-09-04T07:44:15Z</dcterms:modified>
</cp:coreProperties>
</file>