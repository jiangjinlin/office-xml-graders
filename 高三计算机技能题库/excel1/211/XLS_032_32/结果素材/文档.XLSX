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3875" windowHeight="5265"/>
  </bookViews>
  <sheets>
    <sheet name="Sheet1" sheetId="1" r:id="rId1"/>
    <sheet name="Sheet2" sheetId="2" r:id="rId2"/>
    <sheet name="汇总表" sheetId="3" r:id="rId3"/>
  </sheets>
  <definedNames>
    <definedName name="_xlnm.Criteria" localSheetId="1">Sheet2!$A$1:$B$3</definedName>
    <definedName name="_xlnm.Extract" localSheetId="1">Sheet2!$A$6:$J$6</definedName>
  </definedNames>
  <calcPr calcId="144525"/>
</workbook>
</file>

<file path=xl/calcChain.xml><?xml version="1.0" encoding="utf-8"?>
<calcChain xmlns="http://schemas.openxmlformats.org/spreadsheetml/2006/main">
  <c r="J16" i="3" l="1"/>
  <c r="H16" i="3"/>
  <c r="J15" i="3"/>
  <c r="H15" i="3"/>
  <c r="J12" i="3"/>
  <c r="H12" i="3"/>
  <c r="J10" i="3"/>
  <c r="H10" i="3"/>
  <c r="C14" i="1" l="1"/>
  <c r="C13" i="1"/>
  <c r="I4" i="1"/>
  <c r="I5" i="1"/>
  <c r="I6" i="1"/>
  <c r="I7" i="1"/>
  <c r="I8" i="1"/>
  <c r="I9" i="1"/>
  <c r="I10" i="1"/>
  <c r="I11" i="1"/>
  <c r="I12" i="1"/>
  <c r="I3" i="1"/>
  <c r="J3" i="1"/>
  <c r="J4" i="1"/>
  <c r="J5" i="1"/>
  <c r="J6" i="1"/>
  <c r="J7" i="1"/>
  <c r="J8" i="1"/>
  <c r="J9" i="1"/>
  <c r="J10" i="1"/>
  <c r="J11" i="1"/>
  <c r="J12" i="1"/>
  <c r="H4" i="1"/>
  <c r="H5" i="1"/>
  <c r="H6" i="1"/>
  <c r="H7" i="1"/>
  <c r="H8" i="1"/>
  <c r="H9" i="1"/>
  <c r="H10" i="1"/>
  <c r="H11" i="1"/>
  <c r="H12" i="1"/>
  <c r="H3" i="1"/>
</calcChain>
</file>

<file path=xl/sharedStrings.xml><?xml version="1.0" encoding="utf-8"?>
<sst xmlns="http://schemas.openxmlformats.org/spreadsheetml/2006/main" count="141" uniqueCount="72">
  <si>
    <t>学号</t>
    <phoneticPr fontId="1" type="noConversion"/>
  </si>
  <si>
    <t>姓名</t>
    <phoneticPr fontId="1" type="noConversion"/>
  </si>
  <si>
    <t>性别</t>
    <phoneticPr fontId="1" type="noConversion"/>
  </si>
  <si>
    <t>专业</t>
    <phoneticPr fontId="1" type="noConversion"/>
  </si>
  <si>
    <t>计算机</t>
    <phoneticPr fontId="1" type="noConversion"/>
  </si>
  <si>
    <t>英语</t>
    <phoneticPr fontId="1" type="noConversion"/>
  </si>
  <si>
    <t>数学</t>
    <phoneticPr fontId="1" type="noConversion"/>
  </si>
  <si>
    <t>总分</t>
    <phoneticPr fontId="1" type="noConversion"/>
  </si>
  <si>
    <t>等级</t>
    <phoneticPr fontId="1" type="noConversion"/>
  </si>
  <si>
    <t>平均分</t>
    <phoneticPr fontId="1" type="noConversion"/>
  </si>
  <si>
    <t>男</t>
    <phoneticPr fontId="1" type="noConversion"/>
  </si>
  <si>
    <t>音乐</t>
    <phoneticPr fontId="1" type="noConversion"/>
  </si>
  <si>
    <t>洪峰</t>
    <phoneticPr fontId="1" type="noConversion"/>
  </si>
  <si>
    <t>女</t>
    <phoneticPr fontId="1" type="noConversion"/>
  </si>
  <si>
    <t>红星</t>
    <phoneticPr fontId="1" type="noConversion"/>
  </si>
  <si>
    <t>金鑫</t>
    <phoneticPr fontId="1" type="noConversion"/>
  </si>
  <si>
    <t>美术</t>
    <phoneticPr fontId="1" type="noConversion"/>
  </si>
  <si>
    <t>刀兰</t>
    <phoneticPr fontId="1" type="noConversion"/>
  </si>
  <si>
    <t>王奔</t>
    <phoneticPr fontId="1" type="noConversion"/>
  </si>
  <si>
    <t>胡奈涂</t>
    <phoneticPr fontId="1" type="noConversion"/>
  </si>
  <si>
    <t>田大力</t>
    <phoneticPr fontId="1" type="noConversion"/>
  </si>
  <si>
    <t>王朝阳</t>
    <phoneticPr fontId="1" type="noConversion"/>
  </si>
  <si>
    <t>汪大洋</t>
    <phoneticPr fontId="1" type="noConversion"/>
  </si>
  <si>
    <t>车大流</t>
    <phoneticPr fontId="1" type="noConversion"/>
  </si>
  <si>
    <t>总分最高分</t>
    <phoneticPr fontId="1" type="noConversion"/>
  </si>
  <si>
    <t>总分最低分</t>
    <phoneticPr fontId="1" type="noConversion"/>
  </si>
  <si>
    <t>学生成绩统计</t>
    <phoneticPr fontId="1" type="noConversion"/>
  </si>
  <si>
    <r>
      <t>0</t>
    </r>
    <r>
      <rPr>
        <sz val="12"/>
        <rFont val="宋体"/>
        <family val="3"/>
        <charset val="134"/>
      </rPr>
      <t>2001</t>
    </r>
    <phoneticPr fontId="1" type="noConversion"/>
  </si>
  <si>
    <r>
      <t>0</t>
    </r>
    <r>
      <rPr>
        <sz val="12"/>
        <rFont val="宋体"/>
        <family val="3"/>
        <charset val="134"/>
      </rPr>
      <t>2002</t>
    </r>
    <phoneticPr fontId="1" type="noConversion"/>
  </si>
  <si>
    <r>
      <t>02003</t>
    </r>
    <r>
      <rPr>
        <sz val="12"/>
        <rFont val="宋体"/>
        <family val="3"/>
        <charset val="134"/>
      </rPr>
      <t/>
    </r>
  </si>
  <si>
    <r>
      <t>02004</t>
    </r>
    <r>
      <rPr>
        <sz val="12"/>
        <rFont val="宋体"/>
        <family val="3"/>
        <charset val="134"/>
      </rPr>
      <t/>
    </r>
  </si>
  <si>
    <r>
      <t>02005</t>
    </r>
    <r>
      <rPr>
        <sz val="12"/>
        <rFont val="宋体"/>
        <family val="3"/>
        <charset val="134"/>
      </rPr>
      <t/>
    </r>
  </si>
  <si>
    <r>
      <t>02006</t>
    </r>
    <r>
      <rPr>
        <sz val="12"/>
        <rFont val="宋体"/>
        <family val="3"/>
        <charset val="134"/>
      </rPr>
      <t/>
    </r>
  </si>
  <si>
    <r>
      <t>02007</t>
    </r>
    <r>
      <rPr>
        <sz val="12"/>
        <rFont val="宋体"/>
        <family val="3"/>
        <charset val="134"/>
      </rPr>
      <t/>
    </r>
  </si>
  <si>
    <r>
      <t>02008</t>
    </r>
    <r>
      <rPr>
        <sz val="12"/>
        <rFont val="宋体"/>
        <family val="3"/>
        <charset val="134"/>
      </rPr>
      <t/>
    </r>
  </si>
  <si>
    <r>
      <t>02009</t>
    </r>
    <r>
      <rPr>
        <sz val="12"/>
        <rFont val="宋体"/>
        <family val="3"/>
        <charset val="134"/>
      </rPr>
      <t/>
    </r>
  </si>
  <si>
    <r>
      <t>02010</t>
    </r>
    <r>
      <rPr>
        <sz val="12"/>
        <rFont val="宋体"/>
        <family val="3"/>
        <charset val="134"/>
      </rPr>
      <t/>
    </r>
  </si>
  <si>
    <t>平均分</t>
  </si>
  <si>
    <t>姓名</t>
  </si>
  <si>
    <t>&gt;=80</t>
  </si>
  <si>
    <t>*大*</t>
  </si>
  <si>
    <t>优秀</t>
  </si>
  <si>
    <t>不合格</t>
  </si>
  <si>
    <t>良好</t>
  </si>
  <si>
    <t>学号</t>
  </si>
  <si>
    <t>性别</t>
  </si>
  <si>
    <t>专业</t>
  </si>
  <si>
    <t>计算机</t>
  </si>
  <si>
    <t>英语</t>
  </si>
  <si>
    <t>数学</t>
  </si>
  <si>
    <t>总分</t>
  </si>
  <si>
    <t>等级</t>
  </si>
  <si>
    <t>02002</t>
  </si>
  <si>
    <t>洪峰</t>
  </si>
  <si>
    <t>男</t>
  </si>
  <si>
    <t>02003</t>
  </si>
  <si>
    <t>汪大洋</t>
  </si>
  <si>
    <t>女</t>
  </si>
  <si>
    <t>音乐</t>
  </si>
  <si>
    <t>02005</t>
  </si>
  <si>
    <t>金鑫</t>
  </si>
  <si>
    <t>美术</t>
  </si>
  <si>
    <t>02008</t>
  </si>
  <si>
    <t>车大流</t>
  </si>
  <si>
    <t>02009</t>
  </si>
  <si>
    <t>田大力</t>
  </si>
  <si>
    <t>02010</t>
  </si>
  <si>
    <t>王朝阳</t>
  </si>
  <si>
    <t>英语 汇总</t>
  </si>
  <si>
    <t>音乐 汇总</t>
  </si>
  <si>
    <t>美术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</si>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</sst>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;[Red]0.0"/>
  </numFmts>
  <fonts count="6" x14ac:knownFonts="1">
    <font>
      <sz val="12"/>
      <name val="宋体"/>
      <charset val="134"/>
    </font>
    <font>
      <sz val="9"/>
      <name val="宋体"/>
      <charset val="134"/>
    </font>
    <font>
      <sz val="12"/>
      <name val="宋体"/>
      <family val="3"/>
      <charset val="134"/>
    </font>
    <font>
      <sz val="18"/>
      <color rgb="FFFFC000"/>
      <name val="华文行楷"/>
      <family val="3"/>
      <charset val="134"/>
    </font>
    <font>
      <b/>
      <sz val="16"/>
      <name val="宋体"/>
      <family val="3"/>
      <charset val="134"/>
    </font>
    <font>
      <b/>
      <sz val="12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ck">
        <color rgb="FF00B0F0"/>
      </left>
      <right style="thin">
        <color rgb="FFFF0000"/>
      </right>
      <top style="thick">
        <color rgb="FF00B0F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ck">
        <color rgb="FF00B0F0"/>
      </top>
      <bottom style="thin">
        <color rgb="FFFF0000"/>
      </bottom>
      <diagonal/>
    </border>
    <border>
      <left style="thin">
        <color rgb="FFFF0000"/>
      </left>
      <right style="thick">
        <color rgb="FF00B0F0"/>
      </right>
      <top style="thick">
        <color rgb="FF00B0F0"/>
      </top>
      <bottom style="thin">
        <color rgb="FFFF0000"/>
      </bottom>
      <diagonal/>
    </border>
    <border>
      <left style="thick">
        <color rgb="FF00B0F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00B0F0"/>
      </right>
      <top style="thin">
        <color rgb="FFFF0000"/>
      </top>
      <bottom style="thin">
        <color rgb="FFFF0000"/>
      </bottom>
      <diagonal/>
    </border>
    <border>
      <left style="thick">
        <color rgb="FF00B0F0"/>
      </left>
      <right style="thin">
        <color rgb="FFFF0000"/>
      </right>
      <top style="thin">
        <color rgb="FFFF0000"/>
      </top>
      <bottom style="thick">
        <color rgb="FF00B0F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00B0F0"/>
      </bottom>
      <diagonal/>
    </border>
    <border>
      <left style="thin">
        <color rgb="FFFF0000"/>
      </left>
      <right style="thick">
        <color rgb="FF00B0F0"/>
      </right>
      <top style="thin">
        <color rgb="FFFF0000"/>
      </top>
      <bottom style="thick">
        <color rgb="FF00B0F0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NumberFormat="1" applyFill="1" applyBorder="1" applyAlignment="1">
      <alignment horizontal="right" vertical="center"/>
    </xf>
    <xf numFmtId="0" fontId="3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0" fontId="4" fillId="0" borderId="0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2" xfId="0" applyNumberFormat="1" applyFill="1" applyBorder="1" applyAlignment="1">
      <alignment horizontal="center" vertical="center"/>
    </xf>
    <xf numFmtId="0" fontId="0" fillId="2" borderId="3" xfId="0" applyNumberForma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0" fillId="2" borderId="5" xfId="0" applyNumberFormat="1" applyFill="1" applyBorder="1" applyAlignment="1">
      <alignment horizontal="center" vertical="center"/>
    </xf>
    <xf numFmtId="0" fontId="0" fillId="2" borderId="5" xfId="0" applyNumberFormat="1" applyFill="1" applyBorder="1" applyAlignment="1">
      <alignment horizontal="right" vertical="center"/>
    </xf>
    <xf numFmtId="176" fontId="0" fillId="2" borderId="6" xfId="0" applyNumberFormat="1" applyFill="1" applyBorder="1" applyAlignment="1">
      <alignment horizontal="right" vertical="center"/>
    </xf>
    <xf numFmtId="49" fontId="2" fillId="2" borderId="7" xfId="0" applyNumberFormat="1" applyFont="1" applyFill="1" applyBorder="1" applyAlignment="1">
      <alignment horizontal="center" vertical="center"/>
    </xf>
    <xf numFmtId="0" fontId="0" fillId="2" borderId="8" xfId="0" applyNumberFormat="1" applyFill="1" applyBorder="1" applyAlignment="1">
      <alignment horizontal="center" vertical="center"/>
    </xf>
    <xf numFmtId="0" fontId="0" fillId="2" borderId="8" xfId="0" applyNumberFormat="1" applyFill="1" applyBorder="1" applyAlignment="1">
      <alignment horizontal="right" vertical="center"/>
    </xf>
    <xf numFmtId="176" fontId="0" fillId="2" borderId="9" xfId="0" applyNumberFormat="1" applyFill="1" applyBorder="1" applyAlignment="1">
      <alignment horizontal="right" vertical="center"/>
    </xf>
    <xf numFmtId="0" fontId="5" fillId="0" borderId="0" xfId="0" applyFont="1">
      <alignment vertical="center"/>
    </xf>
  </cellXfs>
  <cellStyles count="1">
    <cellStyle name="常规" xfId="0" builtinId="0"/>
  </cellStyles>
  <dxfs count="3">
    <dxf>
      <font>
        <b/>
        <i val="0"/>
        <strike/>
        <condense val="0"/>
        <extend val="0"/>
        <color indexed="10"/>
      </font>
    </dxf>
    <dxf>
      <font>
        <b val="0"/>
        <i val="0"/>
        <strike val="0"/>
        <condense val="0"/>
        <extend val="0"/>
        <color auto="1"/>
      </font>
    </dxf>
    <dxf>
      <font>
        <b/>
        <i val="0"/>
        <strike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F14" sqref="F14"/>
    </sheetView>
  </sheetViews>
  <sheetFormatPr defaultRowHeight="14.25" x14ac:dyDescent="0.15"/>
  <cols>
    <col min="1" max="1" width="7.875" customWidth="1"/>
    <col min="2" max="2" width="16.125" bestFit="1" customWidth="1"/>
  </cols>
  <sheetData>
    <row r="1" spans="1:10" ht="26.1" customHeight="1" thickBot="1" x14ac:dyDescent="0.2">
      <c r="A1" s="3" t="s">
        <v>26</v>
      </c>
      <c r="B1" s="4"/>
      <c r="C1" s="4"/>
      <c r="D1" s="4"/>
      <c r="E1" s="4"/>
      <c r="F1" s="4"/>
      <c r="G1" s="4"/>
      <c r="H1" s="4"/>
      <c r="I1" s="4"/>
      <c r="J1" s="4"/>
    </row>
    <row r="2" spans="1:10" ht="15" thickTop="1" x14ac:dyDescent="0.1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8" t="s">
        <v>9</v>
      </c>
    </row>
    <row r="3" spans="1:10" x14ac:dyDescent="0.15">
      <c r="A3" s="9" t="s">
        <v>27</v>
      </c>
      <c r="B3" s="10" t="s">
        <v>18</v>
      </c>
      <c r="C3" s="10" t="s">
        <v>10</v>
      </c>
      <c r="D3" s="10" t="s">
        <v>11</v>
      </c>
      <c r="E3" s="11">
        <v>87</v>
      </c>
      <c r="F3" s="11">
        <v>55</v>
      </c>
      <c r="G3" s="11">
        <v>45</v>
      </c>
      <c r="H3" s="11">
        <f>SUM(E3:G3)</f>
        <v>187</v>
      </c>
      <c r="I3" s="10" t="str">
        <f>IF(H3&gt;=245,"优秀",IF(H3&gt;=220,"良好",IF(H3&gt;=200,"合格","不合格")))</f>
        <v>不合格</v>
      </c>
      <c r="J3" s="12">
        <f>AVERAGE(E3:G3)</f>
        <v>62.333333333333336</v>
      </c>
    </row>
    <row r="4" spans="1:10" x14ac:dyDescent="0.15">
      <c r="A4" s="9" t="s">
        <v>28</v>
      </c>
      <c r="B4" s="10" t="s">
        <v>12</v>
      </c>
      <c r="C4" s="10" t="s">
        <v>10</v>
      </c>
      <c r="D4" s="10" t="s">
        <v>5</v>
      </c>
      <c r="E4" s="11">
        <v>95</v>
      </c>
      <c r="F4" s="11">
        <v>90</v>
      </c>
      <c r="G4" s="11">
        <v>93</v>
      </c>
      <c r="H4" s="11">
        <f t="shared" ref="H4:H12" si="0">SUM(E4:G4)</f>
        <v>278</v>
      </c>
      <c r="I4" s="10" t="str">
        <f t="shared" ref="I4:I12" si="1">IF(H4&gt;=245,"优秀",IF(H4&gt;=220,"良好",IF(H4&gt;=200,"合格","不合格")))</f>
        <v>优秀</v>
      </c>
      <c r="J4" s="12">
        <f t="shared" ref="J4:J12" si="2">AVERAGE(E4:G4)</f>
        <v>92.666666666666671</v>
      </c>
    </row>
    <row r="5" spans="1:10" x14ac:dyDescent="0.15">
      <c r="A5" s="9" t="s">
        <v>29</v>
      </c>
      <c r="B5" s="10" t="s">
        <v>22</v>
      </c>
      <c r="C5" s="10" t="s">
        <v>13</v>
      </c>
      <c r="D5" s="10" t="s">
        <v>11</v>
      </c>
      <c r="E5" s="11">
        <v>56</v>
      </c>
      <c r="F5" s="11">
        <v>65</v>
      </c>
      <c r="G5" s="11">
        <v>64</v>
      </c>
      <c r="H5" s="11">
        <f t="shared" si="0"/>
        <v>185</v>
      </c>
      <c r="I5" s="10" t="str">
        <f t="shared" si="1"/>
        <v>不合格</v>
      </c>
      <c r="J5" s="12">
        <f t="shared" si="2"/>
        <v>61.666666666666664</v>
      </c>
    </row>
    <row r="6" spans="1:10" x14ac:dyDescent="0.15">
      <c r="A6" s="9" t="s">
        <v>30</v>
      </c>
      <c r="B6" s="10" t="s">
        <v>14</v>
      </c>
      <c r="C6" s="10" t="s">
        <v>13</v>
      </c>
      <c r="D6" s="10" t="s">
        <v>11</v>
      </c>
      <c r="E6" s="11">
        <v>62</v>
      </c>
      <c r="F6" s="11">
        <v>74</v>
      </c>
      <c r="G6" s="11">
        <v>67</v>
      </c>
      <c r="H6" s="11">
        <f t="shared" si="0"/>
        <v>203</v>
      </c>
      <c r="I6" s="10" t="str">
        <f t="shared" si="1"/>
        <v>合格</v>
      </c>
      <c r="J6" s="12">
        <f t="shared" si="2"/>
        <v>67.666666666666671</v>
      </c>
    </row>
    <row r="7" spans="1:10" x14ac:dyDescent="0.15">
      <c r="A7" s="9" t="s">
        <v>31</v>
      </c>
      <c r="B7" s="10" t="s">
        <v>15</v>
      </c>
      <c r="C7" s="10" t="s">
        <v>10</v>
      </c>
      <c r="D7" s="10" t="s">
        <v>16</v>
      </c>
      <c r="E7" s="11">
        <v>88</v>
      </c>
      <c r="F7" s="11">
        <v>86</v>
      </c>
      <c r="G7" s="11">
        <v>67</v>
      </c>
      <c r="H7" s="11">
        <f t="shared" si="0"/>
        <v>241</v>
      </c>
      <c r="I7" s="10" t="str">
        <f t="shared" si="1"/>
        <v>良好</v>
      </c>
      <c r="J7" s="12">
        <f t="shared" si="2"/>
        <v>80.333333333333329</v>
      </c>
    </row>
    <row r="8" spans="1:10" x14ac:dyDescent="0.15">
      <c r="A8" s="9" t="s">
        <v>32</v>
      </c>
      <c r="B8" s="10" t="s">
        <v>19</v>
      </c>
      <c r="C8" s="10" t="s">
        <v>13</v>
      </c>
      <c r="D8" s="10" t="s">
        <v>11</v>
      </c>
      <c r="E8" s="11">
        <v>78</v>
      </c>
      <c r="F8" s="11">
        <v>70</v>
      </c>
      <c r="G8" s="11">
        <v>79</v>
      </c>
      <c r="H8" s="11">
        <f t="shared" si="0"/>
        <v>227</v>
      </c>
      <c r="I8" s="10" t="str">
        <f t="shared" si="1"/>
        <v>良好</v>
      </c>
      <c r="J8" s="12">
        <f t="shared" si="2"/>
        <v>75.666666666666671</v>
      </c>
    </row>
    <row r="9" spans="1:10" x14ac:dyDescent="0.15">
      <c r="A9" s="9" t="s">
        <v>33</v>
      </c>
      <c r="B9" s="10" t="s">
        <v>17</v>
      </c>
      <c r="C9" s="10" t="s">
        <v>13</v>
      </c>
      <c r="D9" s="10" t="s">
        <v>16</v>
      </c>
      <c r="E9" s="11">
        <v>65</v>
      </c>
      <c r="F9" s="11">
        <v>72</v>
      </c>
      <c r="G9" s="11">
        <v>56</v>
      </c>
      <c r="H9" s="11">
        <f t="shared" si="0"/>
        <v>193</v>
      </c>
      <c r="I9" s="10" t="str">
        <f t="shared" si="1"/>
        <v>不合格</v>
      </c>
      <c r="J9" s="12">
        <f t="shared" si="2"/>
        <v>64.333333333333329</v>
      </c>
    </row>
    <row r="10" spans="1:10" x14ac:dyDescent="0.15">
      <c r="A10" s="9" t="s">
        <v>34</v>
      </c>
      <c r="B10" s="10" t="s">
        <v>23</v>
      </c>
      <c r="C10" s="10" t="s">
        <v>10</v>
      </c>
      <c r="D10" s="10" t="s">
        <v>5</v>
      </c>
      <c r="E10" s="11">
        <v>99</v>
      </c>
      <c r="F10" s="11">
        <v>89</v>
      </c>
      <c r="G10" s="11">
        <v>67</v>
      </c>
      <c r="H10" s="11">
        <f t="shared" si="0"/>
        <v>255</v>
      </c>
      <c r="I10" s="10" t="str">
        <f t="shared" si="1"/>
        <v>优秀</v>
      </c>
      <c r="J10" s="12">
        <f t="shared" si="2"/>
        <v>85</v>
      </c>
    </row>
    <row r="11" spans="1:10" x14ac:dyDescent="0.15">
      <c r="A11" s="9" t="s">
        <v>35</v>
      </c>
      <c r="B11" s="10" t="s">
        <v>20</v>
      </c>
      <c r="C11" s="10" t="s">
        <v>10</v>
      </c>
      <c r="D11" s="10" t="s">
        <v>5</v>
      </c>
      <c r="E11" s="11">
        <v>50</v>
      </c>
      <c r="F11" s="11">
        <v>56</v>
      </c>
      <c r="G11" s="11">
        <v>65</v>
      </c>
      <c r="H11" s="11">
        <f t="shared" si="0"/>
        <v>171</v>
      </c>
      <c r="I11" s="10" t="str">
        <f t="shared" si="1"/>
        <v>不合格</v>
      </c>
      <c r="J11" s="12">
        <f t="shared" si="2"/>
        <v>57</v>
      </c>
    </row>
    <row r="12" spans="1:10" ht="15" thickBot="1" x14ac:dyDescent="0.2">
      <c r="A12" s="13" t="s">
        <v>36</v>
      </c>
      <c r="B12" s="14" t="s">
        <v>21</v>
      </c>
      <c r="C12" s="14" t="s">
        <v>10</v>
      </c>
      <c r="D12" s="14" t="s">
        <v>16</v>
      </c>
      <c r="E12" s="15">
        <v>82</v>
      </c>
      <c r="F12" s="15">
        <v>85</v>
      </c>
      <c r="G12" s="15">
        <v>75</v>
      </c>
      <c r="H12" s="15">
        <f t="shared" si="0"/>
        <v>242</v>
      </c>
      <c r="I12" s="14" t="str">
        <f t="shared" si="1"/>
        <v>良好</v>
      </c>
      <c r="J12" s="16">
        <f t="shared" si="2"/>
        <v>80.666666666666671</v>
      </c>
    </row>
    <row r="13" spans="1:10" ht="21" thickTop="1" x14ac:dyDescent="0.15">
      <c r="A13" s="1"/>
      <c r="B13" s="1" t="s">
        <v>24</v>
      </c>
      <c r="C13" s="5">
        <f>MAX(H3:H12)</f>
        <v>278</v>
      </c>
      <c r="D13" s="1"/>
      <c r="E13" s="2"/>
      <c r="F13" s="2"/>
      <c r="G13" s="2"/>
      <c r="H13" s="2"/>
      <c r="I13" s="2"/>
      <c r="J13" s="2"/>
    </row>
    <row r="14" spans="1:10" ht="20.25" x14ac:dyDescent="0.15">
      <c r="A14" s="1"/>
      <c r="B14" s="1" t="s">
        <v>25</v>
      </c>
      <c r="C14" s="5">
        <f>MIN(H3:H12)</f>
        <v>171</v>
      </c>
      <c r="D14" s="1"/>
      <c r="E14" s="2"/>
      <c r="F14" s="2"/>
      <c r="G14" s="2"/>
      <c r="H14" s="2"/>
      <c r="I14" s="2"/>
      <c r="J14" s="2"/>
    </row>
    <row r="15" spans="1:10" x14ac:dyDescent="0.15">
      <c r="B15" s="1"/>
      <c r="C15" s="1"/>
    </row>
  </sheetData>
  <phoneticPr fontId="1" type="noConversion"/>
  <conditionalFormatting sqref="A2">
    <cfRule type="cellIs" dxfId="2" priority="1" stopIfTrue="1" operator="lessThanOrEqual">
      <formula>60</formula>
    </cfRule>
  </conditionalFormatting>
  <conditionalFormatting sqref="E3:G13">
    <cfRule type="cellIs" dxfId="1" priority="2" stopIfTrue="1" operator="lessThan">
      <formula>60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A6" sqref="A6:J12"/>
    </sheetView>
  </sheetViews>
  <sheetFormatPr defaultRowHeight="14.25" x14ac:dyDescent="0.15"/>
  <sheetData>
    <row r="1" spans="1:10" x14ac:dyDescent="0.15">
      <c r="A1" t="s">
        <v>37</v>
      </c>
      <c r="B1" t="s">
        <v>38</v>
      </c>
    </row>
    <row r="2" spans="1:10" x14ac:dyDescent="0.15">
      <c r="A2" t="s">
        <v>39</v>
      </c>
    </row>
    <row r="3" spans="1:10" x14ac:dyDescent="0.15">
      <c r="B3" t="s">
        <v>40</v>
      </c>
    </row>
    <row r="5" spans="1:10" ht="15" thickBot="1" x14ac:dyDescent="0.2"/>
    <row r="6" spans="1:10" ht="15" thickTop="1" x14ac:dyDescent="0.15">
      <c r="A6" s="6" t="s">
        <v>0</v>
      </c>
      <c r="B6" s="7" t="s">
        <v>1</v>
      </c>
      <c r="C6" s="7" t="s">
        <v>2</v>
      </c>
      <c r="D6" s="7" t="s">
        <v>3</v>
      </c>
      <c r="E6" s="7" t="s">
        <v>4</v>
      </c>
      <c r="F6" s="7" t="s">
        <v>5</v>
      </c>
      <c r="G6" s="7" t="s">
        <v>6</v>
      </c>
      <c r="H6" s="7" t="s">
        <v>7</v>
      </c>
      <c r="I6" s="7" t="s">
        <v>8</v>
      </c>
      <c r="J6" s="8" t="s">
        <v>9</v>
      </c>
    </row>
    <row r="7" spans="1:10" x14ac:dyDescent="0.15">
      <c r="A7" s="9" t="s">
        <v>28</v>
      </c>
      <c r="B7" s="10" t="s">
        <v>12</v>
      </c>
      <c r="C7" s="10" t="s">
        <v>10</v>
      </c>
      <c r="D7" s="10" t="s">
        <v>5</v>
      </c>
      <c r="E7" s="11">
        <v>95</v>
      </c>
      <c r="F7" s="11">
        <v>90</v>
      </c>
      <c r="G7" s="11">
        <v>93</v>
      </c>
      <c r="H7" s="11">
        <v>278</v>
      </c>
      <c r="I7" s="10" t="s">
        <v>41</v>
      </c>
      <c r="J7" s="12">
        <v>92.666666666666671</v>
      </c>
    </row>
    <row r="8" spans="1:10" x14ac:dyDescent="0.15">
      <c r="A8" s="9" t="s">
        <v>29</v>
      </c>
      <c r="B8" s="10" t="s">
        <v>22</v>
      </c>
      <c r="C8" s="10" t="s">
        <v>13</v>
      </c>
      <c r="D8" s="10" t="s">
        <v>11</v>
      </c>
      <c r="E8" s="11">
        <v>56</v>
      </c>
      <c r="F8" s="11">
        <v>65</v>
      </c>
      <c r="G8" s="11">
        <v>64</v>
      </c>
      <c r="H8" s="11">
        <v>185</v>
      </c>
      <c r="I8" s="10" t="s">
        <v>42</v>
      </c>
      <c r="J8" s="12">
        <v>61.666666666666664</v>
      </c>
    </row>
    <row r="9" spans="1:10" x14ac:dyDescent="0.15">
      <c r="A9" s="9" t="s">
        <v>31</v>
      </c>
      <c r="B9" s="10" t="s">
        <v>15</v>
      </c>
      <c r="C9" s="10" t="s">
        <v>10</v>
      </c>
      <c r="D9" s="10" t="s">
        <v>16</v>
      </c>
      <c r="E9" s="11">
        <v>88</v>
      </c>
      <c r="F9" s="11">
        <v>86</v>
      </c>
      <c r="G9" s="11">
        <v>67</v>
      </c>
      <c r="H9" s="11">
        <v>241</v>
      </c>
      <c r="I9" s="10" t="s">
        <v>43</v>
      </c>
      <c r="J9" s="12">
        <v>80.333333333333329</v>
      </c>
    </row>
    <row r="10" spans="1:10" x14ac:dyDescent="0.15">
      <c r="A10" s="9" t="s">
        <v>34</v>
      </c>
      <c r="B10" s="10" t="s">
        <v>23</v>
      </c>
      <c r="C10" s="10" t="s">
        <v>10</v>
      </c>
      <c r="D10" s="10" t="s">
        <v>5</v>
      </c>
      <c r="E10" s="11">
        <v>99</v>
      </c>
      <c r="F10" s="11">
        <v>89</v>
      </c>
      <c r="G10" s="11">
        <v>67</v>
      </c>
      <c r="H10" s="11">
        <v>255</v>
      </c>
      <c r="I10" s="10" t="s">
        <v>41</v>
      </c>
      <c r="J10" s="12">
        <v>85</v>
      </c>
    </row>
    <row r="11" spans="1:10" x14ac:dyDescent="0.15">
      <c r="A11" s="9" t="s">
        <v>35</v>
      </c>
      <c r="B11" s="10" t="s">
        <v>20</v>
      </c>
      <c r="C11" s="10" t="s">
        <v>10</v>
      </c>
      <c r="D11" s="10" t="s">
        <v>5</v>
      </c>
      <c r="E11" s="11">
        <v>50</v>
      </c>
      <c r="F11" s="11">
        <v>56</v>
      </c>
      <c r="G11" s="11">
        <v>65</v>
      </c>
      <c r="H11" s="11">
        <v>171</v>
      </c>
      <c r="I11" s="10" t="s">
        <v>42</v>
      </c>
      <c r="J11" s="12">
        <v>57</v>
      </c>
    </row>
    <row r="12" spans="1:10" ht="15" thickBot="1" x14ac:dyDescent="0.2">
      <c r="A12" s="13" t="s">
        <v>36</v>
      </c>
      <c r="B12" s="14" t="s">
        <v>21</v>
      </c>
      <c r="C12" s="14" t="s">
        <v>10</v>
      </c>
      <c r="D12" s="14" t="s">
        <v>16</v>
      </c>
      <c r="E12" s="15">
        <v>82</v>
      </c>
      <c r="F12" s="15">
        <v>85</v>
      </c>
      <c r="G12" s="15">
        <v>75</v>
      </c>
      <c r="H12" s="15">
        <v>242</v>
      </c>
      <c r="I12" s="14" t="s">
        <v>43</v>
      </c>
      <c r="J12" s="16">
        <v>80.666666666666671</v>
      </c>
    </row>
    <row r="13" spans="1:10" ht="15" thickTop="1" x14ac:dyDescent="0.15"/>
  </sheetData>
  <phoneticPr fontId="1" type="noConversion"/>
  <conditionalFormatting sqref="A6">
    <cfRule type="cellIs" dxfId="0" priority="1" stopIfTrue="1" operator="lessThanOrEqual">
      <formula>60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J16"/>
  <sheetViews>
    <sheetView workbookViewId="0">
      <selection activeCell="E30" sqref="E30"/>
    </sheetView>
  </sheetViews>
  <sheetFormatPr defaultRowHeight="14.25" outlineLevelRow="2" x14ac:dyDescent="0.15"/>
  <sheetData>
    <row r="6" spans="1:10" x14ac:dyDescent="0.15">
      <c r="A6" t="s">
        <v>44</v>
      </c>
      <c r="B6" t="s">
        <v>38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37</v>
      </c>
    </row>
    <row r="7" spans="1:10" outlineLevel="2" x14ac:dyDescent="0.15">
      <c r="A7" t="s">
        <v>52</v>
      </c>
      <c r="B7" t="s">
        <v>53</v>
      </c>
      <c r="C7" t="s">
        <v>54</v>
      </c>
      <c r="D7" t="s">
        <v>48</v>
      </c>
      <c r="E7">
        <v>95</v>
      </c>
      <c r="F7">
        <v>90</v>
      </c>
      <c r="G7">
        <v>93</v>
      </c>
      <c r="H7">
        <v>278</v>
      </c>
      <c r="I7" t="s">
        <v>41</v>
      </c>
      <c r="J7">
        <v>92.666666666666671</v>
      </c>
    </row>
    <row r="8" spans="1:10" outlineLevel="2" x14ac:dyDescent="0.15">
      <c r="A8" t="s">
        <v>62</v>
      </c>
      <c r="B8" t="s">
        <v>63</v>
      </c>
      <c r="C8" t="s">
        <v>54</v>
      </c>
      <c r="D8" t="s">
        <v>48</v>
      </c>
      <c r="E8">
        <v>99</v>
      </c>
      <c r="F8">
        <v>89</v>
      </c>
      <c r="G8">
        <v>67</v>
      </c>
      <c r="H8">
        <v>255</v>
      </c>
      <c r="I8" t="s">
        <v>41</v>
      </c>
      <c r="J8">
        <v>85</v>
      </c>
    </row>
    <row r="9" spans="1:10" outlineLevel="2" x14ac:dyDescent="0.15">
      <c r="A9" t="s">
        <v>64</v>
      </c>
      <c r="B9" t="s">
        <v>65</v>
      </c>
      <c r="C9" t="s">
        <v>54</v>
      </c>
      <c r="D9" t="s">
        <v>48</v>
      </c>
      <c r="E9">
        <v>50</v>
      </c>
      <c r="F9">
        <v>56</v>
      </c>
      <c r="G9">
        <v>65</v>
      </c>
      <c r="H9">
        <v>171</v>
      </c>
      <c r="I9" t="s">
        <v>42</v>
      </c>
      <c r="J9">
        <v>57</v>
      </c>
    </row>
    <row r="10" spans="1:10" outlineLevel="1" x14ac:dyDescent="0.15">
      <c r="D10" s="17" t="s">
        <v>68</v>
      </c>
      <c r="H10">
        <f>SUBTOTAL(9,H7:H9)</f>
        <v>704</v>
      </c>
      <c r="J10">
        <f>SUBTOTAL(9,J7:J9)</f>
        <v>234.66666666666669</v>
      </c>
    </row>
    <row r="11" spans="1:10" outlineLevel="2" x14ac:dyDescent="0.15">
      <c r="A11" t="s">
        <v>55</v>
      </c>
      <c r="B11" t="s">
        <v>56</v>
      </c>
      <c r="C11" t="s">
        <v>57</v>
      </c>
      <c r="D11" t="s">
        <v>58</v>
      </c>
      <c r="E11">
        <v>56</v>
      </c>
      <c r="F11">
        <v>65</v>
      </c>
      <c r="G11">
        <v>64</v>
      </c>
      <c r="H11">
        <v>185</v>
      </c>
      <c r="I11" t="s">
        <v>42</v>
      </c>
      <c r="J11">
        <v>61.666666666666664</v>
      </c>
    </row>
    <row r="12" spans="1:10" outlineLevel="1" x14ac:dyDescent="0.15">
      <c r="D12" s="17" t="s">
        <v>69</v>
      </c>
      <c r="H12">
        <f>SUBTOTAL(9,H11:H11)</f>
        <v>185</v>
      </c>
      <c r="J12">
        <f>SUBTOTAL(9,J11:J11)</f>
        <v>61.666666666666664</v>
      </c>
    </row>
    <row r="13" spans="1:10" outlineLevel="2" x14ac:dyDescent="0.15">
      <c r="A13" t="s">
        <v>59</v>
      </c>
      <c r="B13" t="s">
        <v>60</v>
      </c>
      <c r="C13" t="s">
        <v>54</v>
      </c>
      <c r="D13" t="s">
        <v>61</v>
      </c>
      <c r="E13">
        <v>88</v>
      </c>
      <c r="F13">
        <v>86</v>
      </c>
      <c r="G13">
        <v>67</v>
      </c>
      <c r="H13">
        <v>241</v>
      </c>
      <c r="I13" t="s">
        <v>43</v>
      </c>
      <c r="J13">
        <v>80.333333333333329</v>
      </c>
    </row>
    <row r="14" spans="1:10" outlineLevel="2" x14ac:dyDescent="0.15">
      <c r="A14" t="s">
        <v>66</v>
      </c>
      <c r="B14" t="s">
        <v>67</v>
      </c>
      <c r="C14" t="s">
        <v>54</v>
      </c>
      <c r="D14" t="s">
        <v>61</v>
      </c>
      <c r="E14">
        <v>82</v>
      </c>
      <c r="F14">
        <v>85</v>
      </c>
      <c r="G14">
        <v>75</v>
      </c>
      <c r="H14">
        <v>242</v>
      </c>
      <c r="I14" t="s">
        <v>43</v>
      </c>
      <c r="J14">
        <v>80.666666666666671</v>
      </c>
    </row>
    <row r="15" spans="1:10" outlineLevel="1" x14ac:dyDescent="0.15">
      <c r="D15" s="17" t="s">
        <v>70</v>
      </c>
      <c r="H15">
        <f>SUBTOTAL(9,H13:H14)</f>
        <v>483</v>
      </c>
      <c r="J15">
        <f>SUBTOTAL(9,J13:J14)</f>
        <v>161</v>
      </c>
    </row>
    <row r="16" spans="1:10" x14ac:dyDescent="0.15">
      <c r="D16" s="17" t="s">
        <v>71</v>
      </c>
      <c r="H16">
        <f>SUBTOTAL(9,H7:H14)</f>
        <v>1372</v>
      </c>
      <c r="J16">
        <f>SUBTOTAL(9,J7:J14)</f>
        <v>457.33333333333337</v>
      </c>
    </row>
  </sheetData>
  <sortState sortMethod="stroke" ref="A7:J12">
    <sortCondition ref="D7:D12"/>
  </sortState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2</vt:i4>
      </vt:variant>
    </vt:vector>
  </HeadingPairs>
  <TitlesOfParts>
    <vt:vector size="5" baseType="lpstr">
      <vt:lpstr>Sheet1</vt:lpstr>
      <vt:lpstr>Sheet2</vt:lpstr>
      <vt:lpstr>汇总表</vt:lpstr>
      <vt:lpstr>Sheet2!Criteria</vt:lpstr>
      <vt:lpstr>Sheet2!提取</vt:lpstr>
    </vt:vector>
  </TitlesOfParts>
  <Company>Lenovo (Beijing) Limited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wwjt</cp:lastModifiedBy>
  <dcterms:created xsi:type="dcterms:W3CDTF">2013-03-03T08:48:59Z</dcterms:created>
  <dcterms:modified xsi:type="dcterms:W3CDTF">2018-10-19T05:52:36Z</dcterms:modified>
</cp:coreProperties>
</file>