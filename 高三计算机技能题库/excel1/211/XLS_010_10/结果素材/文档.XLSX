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8195" windowHeight="10695" activeTab="3"/>
  </bookViews>
  <sheets>
    <sheet name="五年级体育成绩表" sheetId="1" r:id="rId1"/>
    <sheet name="Sheet2" sheetId="2" r:id="rId2"/>
    <sheet name="Sheet3" sheetId="3" r:id="rId3"/>
    <sheet name="图表" sheetId="6" r:id="rId4"/>
    <sheet name="分类汇总" sheetId="4" r:id="rId5"/>
    <sheet name="筛选" sheetId="5" r:id="rId6"/>
  </sheets>
  <definedNames>
    <definedName name="_xlnm.Criteria" localSheetId="5">筛选!$A$1:$C$2</definedName>
    <definedName name="_xlnm.Extract" localSheetId="5">筛选!$A$6:$G$6</definedName>
  </definedNames>
  <calcPr calcId="144525"/>
</workbook>
</file>

<file path=xl/calcChain.xml><?xml version="1.0" encoding="utf-8"?>
<calcChain xmlns="http://schemas.openxmlformats.org/spreadsheetml/2006/main">
  <c r="F28" i="4" l="1"/>
  <c r="E28" i="4"/>
  <c r="D28" i="4"/>
  <c r="F27" i="4"/>
  <c r="E27" i="4"/>
  <c r="D27" i="4"/>
  <c r="F21" i="4"/>
  <c r="E21" i="4"/>
  <c r="D21" i="4"/>
  <c r="F11" i="4"/>
  <c r="E11" i="4"/>
  <c r="D11" i="4"/>
  <c r="G4" i="4"/>
  <c r="G23" i="4"/>
  <c r="G19" i="4"/>
  <c r="G8" i="4"/>
  <c r="G10" i="4"/>
  <c r="G18" i="4"/>
  <c r="G17" i="4"/>
  <c r="G9" i="4"/>
  <c r="G22" i="4"/>
  <c r="G7" i="4"/>
  <c r="G16" i="4"/>
  <c r="G3" i="4"/>
  <c r="G26" i="4"/>
  <c r="G15" i="4"/>
  <c r="G2" i="4"/>
  <c r="G13" i="4"/>
  <c r="G14" i="4"/>
  <c r="G24" i="4"/>
  <c r="G25" i="4"/>
  <c r="G5" i="4"/>
  <c r="G12" i="4"/>
  <c r="G6" i="4"/>
  <c r="G20" i="4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3" i="1"/>
</calcChain>
</file>

<file path=xl/sharedStrings.xml><?xml version="1.0" encoding="utf-8"?>
<sst xmlns="http://schemas.openxmlformats.org/spreadsheetml/2006/main" count="348" uniqueCount="67">
  <si>
    <t>姓名</t>
    <phoneticPr fontId="1" type="noConversion"/>
  </si>
  <si>
    <t>立定跳远</t>
    <phoneticPr fontId="1" type="noConversion"/>
  </si>
  <si>
    <t>短跑</t>
    <phoneticPr fontId="1" type="noConversion"/>
  </si>
  <si>
    <t>实心球投掷</t>
    <phoneticPr fontId="1" type="noConversion"/>
  </si>
  <si>
    <t>总分</t>
    <phoneticPr fontId="1" type="noConversion"/>
  </si>
  <si>
    <t>陈广源</t>
    <phoneticPr fontId="1" type="noConversion"/>
  </si>
  <si>
    <t>刘虎</t>
    <phoneticPr fontId="1" type="noConversion"/>
  </si>
  <si>
    <t>马志明</t>
    <phoneticPr fontId="1" type="noConversion"/>
  </si>
  <si>
    <t>侯佩琦</t>
    <phoneticPr fontId="1" type="noConversion"/>
  </si>
  <si>
    <t>陈思思</t>
    <phoneticPr fontId="1" type="noConversion"/>
  </si>
  <si>
    <t>吴景轩</t>
    <phoneticPr fontId="1" type="noConversion"/>
  </si>
  <si>
    <t>李毅凡</t>
    <phoneticPr fontId="1" type="noConversion"/>
  </si>
  <si>
    <t>毛宁</t>
    <phoneticPr fontId="1" type="noConversion"/>
  </si>
  <si>
    <t>陶志奇</t>
    <phoneticPr fontId="1" type="noConversion"/>
  </si>
  <si>
    <t>卢少卿</t>
    <phoneticPr fontId="1" type="noConversion"/>
  </si>
  <si>
    <t>项燕</t>
    <phoneticPr fontId="1" type="noConversion"/>
  </si>
  <si>
    <t>王媛媛</t>
    <phoneticPr fontId="1" type="noConversion"/>
  </si>
  <si>
    <t>张爱武</t>
    <phoneticPr fontId="1" type="noConversion"/>
  </si>
  <si>
    <t>杨春柳</t>
    <phoneticPr fontId="1" type="noConversion"/>
  </si>
  <si>
    <t>张振</t>
    <phoneticPr fontId="1" type="noConversion"/>
  </si>
  <si>
    <t>牛春华</t>
    <phoneticPr fontId="1" type="noConversion"/>
  </si>
  <si>
    <t>赵广源</t>
    <phoneticPr fontId="1" type="noConversion"/>
  </si>
  <si>
    <t>周明丽</t>
    <phoneticPr fontId="1" type="noConversion"/>
  </si>
  <si>
    <t>丁丽</t>
    <phoneticPr fontId="1" type="noConversion"/>
  </si>
  <si>
    <t>钱雯</t>
    <phoneticPr fontId="1" type="noConversion"/>
  </si>
  <si>
    <t>孙丽娇</t>
    <phoneticPr fontId="1" type="noConversion"/>
  </si>
  <si>
    <t>马思明</t>
    <phoneticPr fontId="1" type="noConversion"/>
  </si>
  <si>
    <t>许征</t>
    <phoneticPr fontId="1" type="noConversion"/>
  </si>
  <si>
    <t>KS01079001</t>
    <phoneticPr fontId="1" type="noConversion"/>
  </si>
  <si>
    <t>KS01079002</t>
  </si>
  <si>
    <t>KS01079003</t>
  </si>
  <si>
    <t>KS01079006</t>
  </si>
  <si>
    <t>KS01079007</t>
  </si>
  <si>
    <t>KS01079008</t>
  </si>
  <si>
    <t>KS01079009</t>
  </si>
  <si>
    <t>KS01079015</t>
  </si>
  <si>
    <t>KS01079017</t>
  </si>
  <si>
    <t>KS01079022</t>
  </si>
  <si>
    <t>KS01079023</t>
  </si>
  <si>
    <t>KS01078004</t>
    <phoneticPr fontId="1" type="noConversion"/>
  </si>
  <si>
    <t>KS01078005</t>
    <phoneticPr fontId="1" type="noConversion"/>
  </si>
  <si>
    <t>KS01078010</t>
    <phoneticPr fontId="1" type="noConversion"/>
  </si>
  <si>
    <t>KS01078011</t>
    <phoneticPr fontId="1" type="noConversion"/>
  </si>
  <si>
    <t>KS01078012</t>
    <phoneticPr fontId="1" type="noConversion"/>
  </si>
  <si>
    <t>KS01078013</t>
    <phoneticPr fontId="1" type="noConversion"/>
  </si>
  <si>
    <t>KS01078014</t>
    <phoneticPr fontId="1" type="noConversion"/>
  </si>
  <si>
    <t>KS01078016</t>
    <phoneticPr fontId="1" type="noConversion"/>
  </si>
  <si>
    <t>KS01078018</t>
    <phoneticPr fontId="1" type="noConversion"/>
  </si>
  <si>
    <t>KS01078019</t>
    <phoneticPr fontId="1" type="noConversion"/>
  </si>
  <si>
    <t>KS01078020</t>
    <phoneticPr fontId="1" type="noConversion"/>
  </si>
  <si>
    <t>KS01078021</t>
    <phoneticPr fontId="1" type="noConversion"/>
  </si>
  <si>
    <t>班级</t>
    <phoneticPr fontId="1" type="noConversion"/>
  </si>
  <si>
    <t>五(二)班</t>
    <phoneticPr fontId="1" type="noConversion"/>
  </si>
  <si>
    <t>五(一)班</t>
    <phoneticPr fontId="1" type="noConversion"/>
  </si>
  <si>
    <t>五(二)班</t>
  </si>
  <si>
    <t>五(三)班</t>
    <phoneticPr fontId="1" type="noConversion"/>
  </si>
  <si>
    <t>运动员代码</t>
    <phoneticPr fontId="1" type="noConversion"/>
  </si>
  <si>
    <t>校运会成绩统计表</t>
  </si>
  <si>
    <t>性别</t>
  </si>
  <si>
    <t>五(一)班 最大值</t>
  </si>
  <si>
    <t>五(二)班 最大值</t>
  </si>
  <si>
    <t>五(三)班 最大值</t>
  </si>
  <si>
    <t>总计最大值</t>
  </si>
  <si>
    <t>短跑</t>
    <phoneticPr fontId="3" type="noConversion"/>
  </si>
  <si>
    <t>立定跳远</t>
    <phoneticPr fontId="3" type="noConversion"/>
  </si>
  <si>
    <t>实心球投掷</t>
    <phoneticPr fontId="3" type="noConversion"/>
  </si>
  <si>
    <t>&gt;=10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</si>
</sst>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name val="宋体"/>
      <charset val="134"/>
    </font>
    <font>
      <sz val="9"/>
      <name val="宋体"/>
      <charset val="134"/>
    </font>
    <font>
      <b/>
      <i/>
      <sz val="16"/>
      <color rgb="FFFF0000"/>
      <name val="华文隶书"/>
      <family val="3"/>
      <charset val="134"/>
    </font>
    <font>
      <sz val="9"/>
      <name val="宋体"/>
      <family val="3"/>
      <charset val="134"/>
    </font>
    <font>
      <b/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double">
        <color rgb="FFFF0000"/>
      </left>
      <right style="thin">
        <color rgb="FF0070C0"/>
      </right>
      <top style="double">
        <color rgb="FFFF000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FF0000"/>
      </top>
      <bottom style="thin">
        <color rgb="FF0070C0"/>
      </bottom>
      <diagonal/>
    </border>
    <border>
      <left style="thin">
        <color rgb="FF0070C0"/>
      </left>
      <right style="double">
        <color rgb="FFFF0000"/>
      </right>
      <top style="double">
        <color rgb="FFFF0000"/>
      </top>
      <bottom style="thin">
        <color rgb="FF0070C0"/>
      </bottom>
      <diagonal/>
    </border>
    <border>
      <left style="double">
        <color rgb="FFFF000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double">
        <color rgb="FFFF0000"/>
      </right>
      <top style="thin">
        <color rgb="FF0070C0"/>
      </top>
      <bottom style="thin">
        <color rgb="FF0070C0"/>
      </bottom>
      <diagonal/>
    </border>
    <border>
      <left style="double">
        <color rgb="FFFF0000"/>
      </left>
      <right style="thin">
        <color rgb="FF0070C0"/>
      </right>
      <top style="thin">
        <color rgb="FF0070C0"/>
      </top>
      <bottom style="double">
        <color rgb="FFFF000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double">
        <color rgb="FFFF0000"/>
      </bottom>
      <diagonal/>
    </border>
    <border>
      <left style="thin">
        <color rgb="FF0070C0"/>
      </left>
      <right style="double">
        <color rgb="FFFF0000"/>
      </right>
      <top style="thin">
        <color rgb="FF0070C0"/>
      </top>
      <bottom style="double">
        <color rgb="FFFF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chartsheet" Target="chartsheets/sheet1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一班成绩图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分类汇总!$F$1</c:f>
              <c:strCache>
                <c:ptCount val="1"/>
                <c:pt idx="0">
                  <c:v>实心球投掷</c:v>
                </c:pt>
              </c:strCache>
            </c:strRef>
          </c:tx>
          <c:invertIfNegative val="0"/>
          <c:cat>
            <c:strRef>
              <c:f>分类汇总!$B$2:$B$10</c:f>
              <c:strCache>
                <c:ptCount val="9"/>
                <c:pt idx="0">
                  <c:v>陶志奇</c:v>
                </c:pt>
                <c:pt idx="1">
                  <c:v>王媛媛</c:v>
                </c:pt>
                <c:pt idx="2">
                  <c:v>张振</c:v>
                </c:pt>
                <c:pt idx="3">
                  <c:v>马思明</c:v>
                </c:pt>
                <c:pt idx="4">
                  <c:v>毛宁</c:v>
                </c:pt>
                <c:pt idx="5">
                  <c:v>杨春柳</c:v>
                </c:pt>
                <c:pt idx="6">
                  <c:v>侯佩琦</c:v>
                </c:pt>
                <c:pt idx="7">
                  <c:v>刘虎</c:v>
                </c:pt>
                <c:pt idx="8">
                  <c:v>丁丽</c:v>
                </c:pt>
              </c:strCache>
            </c:strRef>
          </c:cat>
          <c:val>
            <c:numRef>
              <c:f>分类汇总!$F$2:$F$10</c:f>
              <c:numCache>
                <c:formatCode>General</c:formatCode>
                <c:ptCount val="9"/>
                <c:pt idx="0">
                  <c:v>7</c:v>
                </c:pt>
                <c:pt idx="1">
                  <c:v>9</c:v>
                </c:pt>
                <c:pt idx="2">
                  <c:v>7</c:v>
                </c:pt>
                <c:pt idx="3">
                  <c:v>14</c:v>
                </c:pt>
                <c:pt idx="4">
                  <c:v>13</c:v>
                </c:pt>
                <c:pt idx="5">
                  <c:v>10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</c:numCache>
            </c:numRef>
          </c:val>
        </c:ser>
        <c:ser>
          <c:idx val="0"/>
          <c:order val="1"/>
          <c:tx>
            <c:strRef>
              <c:f>分类汇总!$D$1</c:f>
              <c:strCache>
                <c:ptCount val="1"/>
                <c:pt idx="0">
                  <c:v>短跑</c:v>
                </c:pt>
              </c:strCache>
            </c:strRef>
          </c:tx>
          <c:invertIfNegative val="0"/>
          <c:cat>
            <c:strRef>
              <c:f>分类汇总!$B$2:$B$10</c:f>
              <c:strCache>
                <c:ptCount val="9"/>
                <c:pt idx="0">
                  <c:v>陶志奇</c:v>
                </c:pt>
                <c:pt idx="1">
                  <c:v>王媛媛</c:v>
                </c:pt>
                <c:pt idx="2">
                  <c:v>张振</c:v>
                </c:pt>
                <c:pt idx="3">
                  <c:v>马思明</c:v>
                </c:pt>
                <c:pt idx="4">
                  <c:v>毛宁</c:v>
                </c:pt>
                <c:pt idx="5">
                  <c:v>杨春柳</c:v>
                </c:pt>
                <c:pt idx="6">
                  <c:v>侯佩琦</c:v>
                </c:pt>
                <c:pt idx="7">
                  <c:v>刘虎</c:v>
                </c:pt>
                <c:pt idx="8">
                  <c:v>丁丽</c:v>
                </c:pt>
              </c:strCache>
            </c:strRef>
          </c:cat>
          <c:val>
            <c:numRef>
              <c:f>分类汇总!$D$2:$D$10</c:f>
              <c:numCache>
                <c:formatCode>General</c:formatCode>
                <c:ptCount val="9"/>
                <c:pt idx="0">
                  <c:v>11</c:v>
                </c:pt>
                <c:pt idx="1">
                  <c:v>13</c:v>
                </c:pt>
                <c:pt idx="2">
                  <c:v>15</c:v>
                </c:pt>
                <c:pt idx="3">
                  <c:v>7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</c:ser>
        <c:ser>
          <c:idx val="1"/>
          <c:order val="2"/>
          <c:tx>
            <c:strRef>
              <c:f>分类汇总!$E$1</c:f>
              <c:strCache>
                <c:ptCount val="1"/>
                <c:pt idx="0">
                  <c:v>立定跳远</c:v>
                </c:pt>
              </c:strCache>
            </c:strRef>
          </c:tx>
          <c:invertIfNegative val="0"/>
          <c:cat>
            <c:strRef>
              <c:f>分类汇总!$B$2:$B$10</c:f>
              <c:strCache>
                <c:ptCount val="9"/>
                <c:pt idx="0">
                  <c:v>陶志奇</c:v>
                </c:pt>
                <c:pt idx="1">
                  <c:v>王媛媛</c:v>
                </c:pt>
                <c:pt idx="2">
                  <c:v>张振</c:v>
                </c:pt>
                <c:pt idx="3">
                  <c:v>马思明</c:v>
                </c:pt>
                <c:pt idx="4">
                  <c:v>毛宁</c:v>
                </c:pt>
                <c:pt idx="5">
                  <c:v>杨春柳</c:v>
                </c:pt>
                <c:pt idx="6">
                  <c:v>侯佩琦</c:v>
                </c:pt>
                <c:pt idx="7">
                  <c:v>刘虎</c:v>
                </c:pt>
                <c:pt idx="8">
                  <c:v>丁丽</c:v>
                </c:pt>
              </c:strCache>
            </c:strRef>
          </c:cat>
          <c:val>
            <c:numRef>
              <c:f>分类汇总!$E$2:$E$10</c:f>
              <c:numCache>
                <c:formatCode>General</c:formatCode>
                <c:ptCount val="9"/>
                <c:pt idx="0">
                  <c:v>11</c:v>
                </c:pt>
                <c:pt idx="1">
                  <c:v>8</c:v>
                </c:pt>
                <c:pt idx="2">
                  <c:v>8</c:v>
                </c:pt>
                <c:pt idx="3">
                  <c:v>14</c:v>
                </c:pt>
                <c:pt idx="4">
                  <c:v>9</c:v>
                </c:pt>
                <c:pt idx="5">
                  <c:v>15</c:v>
                </c:pt>
                <c:pt idx="6">
                  <c:v>10</c:v>
                </c:pt>
                <c:pt idx="7">
                  <c:v>12</c:v>
                </c:pt>
                <c:pt idx="8">
                  <c:v>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7243008"/>
        <c:axId val="217244800"/>
      </c:barChart>
      <c:catAx>
        <c:axId val="217243008"/>
        <c:scaling>
          <c:orientation val="minMax"/>
        </c:scaling>
        <c:delete val="0"/>
        <c:axPos val="b"/>
        <c:majorTickMark val="out"/>
        <c:minorTickMark val="none"/>
        <c:tickLblPos val="nextTo"/>
        <c:crossAx val="217244800"/>
        <c:crosses val="autoZero"/>
        <c:auto val="1"/>
        <c:lblAlgn val="ctr"/>
        <c:lblOffset val="100"/>
        <c:noMultiLvlLbl val="0"/>
      </c:catAx>
      <c:valAx>
        <c:axId val="217244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724300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7975" cy="6076709"/>
    <xdr:graphicFrame macro="">
      <xdr:nvGraphicFramePr>
        <xdr:cNvPr id="2" name="图表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opLeftCell="A6" workbookViewId="0">
      <selection activeCell="A2" sqref="A2:G25"/>
    </sheetView>
  </sheetViews>
  <sheetFormatPr defaultRowHeight="14.25" x14ac:dyDescent="0.15"/>
  <cols>
    <col min="2" max="2" width="7.5" customWidth="1"/>
    <col min="3" max="3" width="11.625" bestFit="1" customWidth="1"/>
    <col min="4" max="4" width="5.5" bestFit="1" customWidth="1"/>
    <col min="5" max="5" width="9.5" bestFit="1" customWidth="1"/>
    <col min="6" max="6" width="11.625" bestFit="1" customWidth="1"/>
  </cols>
  <sheetData>
    <row r="1" spans="1:7" ht="20.25" x14ac:dyDescent="0.15">
      <c r="A1" s="1" t="s">
        <v>57</v>
      </c>
      <c r="B1" s="1"/>
      <c r="C1" s="1"/>
      <c r="D1" s="1"/>
      <c r="E1" s="1"/>
      <c r="F1" s="1"/>
      <c r="G1" s="1"/>
    </row>
    <row r="2" spans="1:7" x14ac:dyDescent="0.15">
      <c r="A2" t="s">
        <v>51</v>
      </c>
      <c r="B2" t="s">
        <v>0</v>
      </c>
      <c r="C2" t="s">
        <v>56</v>
      </c>
      <c r="D2" t="s">
        <v>2</v>
      </c>
      <c r="E2" t="s">
        <v>1</v>
      </c>
      <c r="F2" t="s">
        <v>3</v>
      </c>
      <c r="G2" t="s">
        <v>4</v>
      </c>
    </row>
    <row r="3" spans="1:7" x14ac:dyDescent="0.15">
      <c r="A3" t="s">
        <v>52</v>
      </c>
      <c r="B3" t="s">
        <v>20</v>
      </c>
      <c r="C3" t="s">
        <v>46</v>
      </c>
      <c r="D3">
        <v>10</v>
      </c>
      <c r="E3">
        <v>13</v>
      </c>
      <c r="F3">
        <v>15</v>
      </c>
      <c r="G3">
        <f>SUM(D3:F3)</f>
        <v>38</v>
      </c>
    </row>
    <row r="4" spans="1:7" x14ac:dyDescent="0.15">
      <c r="A4" t="s">
        <v>53</v>
      </c>
      <c r="B4" t="s">
        <v>12</v>
      </c>
      <c r="C4" t="s">
        <v>33</v>
      </c>
      <c r="D4">
        <v>14</v>
      </c>
      <c r="E4">
        <v>9</v>
      </c>
      <c r="F4">
        <v>13</v>
      </c>
      <c r="G4">
        <f t="shared" ref="G4:G25" si="0">SUM(D4:F4)</f>
        <v>36</v>
      </c>
    </row>
    <row r="5" spans="1:7" x14ac:dyDescent="0.15">
      <c r="A5" t="s">
        <v>54</v>
      </c>
      <c r="B5" t="s">
        <v>9</v>
      </c>
      <c r="C5" t="s">
        <v>40</v>
      </c>
      <c r="D5">
        <v>7</v>
      </c>
      <c r="E5">
        <v>9</v>
      </c>
      <c r="F5">
        <v>12</v>
      </c>
      <c r="G5">
        <f t="shared" si="0"/>
        <v>28</v>
      </c>
    </row>
    <row r="6" spans="1:7" x14ac:dyDescent="0.15">
      <c r="A6" t="s">
        <v>53</v>
      </c>
      <c r="B6" t="s">
        <v>26</v>
      </c>
      <c r="C6" t="s">
        <v>37</v>
      </c>
      <c r="D6">
        <v>7</v>
      </c>
      <c r="E6">
        <v>14</v>
      </c>
      <c r="F6">
        <v>14</v>
      </c>
      <c r="G6">
        <f t="shared" si="0"/>
        <v>35</v>
      </c>
    </row>
    <row r="7" spans="1:7" x14ac:dyDescent="0.15">
      <c r="A7" t="s">
        <v>55</v>
      </c>
      <c r="B7" t="s">
        <v>27</v>
      </c>
      <c r="C7" t="s">
        <v>38</v>
      </c>
      <c r="D7">
        <v>8</v>
      </c>
      <c r="E7">
        <v>15</v>
      </c>
      <c r="F7">
        <v>15</v>
      </c>
      <c r="G7">
        <f t="shared" si="0"/>
        <v>38</v>
      </c>
    </row>
    <row r="8" spans="1:7" x14ac:dyDescent="0.15">
      <c r="A8" t="s">
        <v>55</v>
      </c>
      <c r="B8" t="s">
        <v>24</v>
      </c>
      <c r="C8" t="s">
        <v>49</v>
      </c>
      <c r="D8">
        <v>8</v>
      </c>
      <c r="E8">
        <v>14</v>
      </c>
      <c r="F8">
        <v>9</v>
      </c>
      <c r="G8">
        <f t="shared" si="0"/>
        <v>31</v>
      </c>
    </row>
    <row r="9" spans="1:7" x14ac:dyDescent="0.15">
      <c r="A9" t="s">
        <v>54</v>
      </c>
      <c r="B9" t="s">
        <v>22</v>
      </c>
      <c r="C9" t="s">
        <v>47</v>
      </c>
      <c r="D9">
        <v>10</v>
      </c>
      <c r="E9">
        <v>9</v>
      </c>
      <c r="F9">
        <v>13</v>
      </c>
      <c r="G9">
        <f t="shared" si="0"/>
        <v>32</v>
      </c>
    </row>
    <row r="10" spans="1:7" x14ac:dyDescent="0.15">
      <c r="A10" t="s">
        <v>54</v>
      </c>
      <c r="B10" t="s">
        <v>5</v>
      </c>
      <c r="C10" t="s">
        <v>28</v>
      </c>
      <c r="D10">
        <v>10</v>
      </c>
      <c r="E10">
        <v>9</v>
      </c>
      <c r="F10">
        <v>11</v>
      </c>
      <c r="G10">
        <f t="shared" si="0"/>
        <v>30</v>
      </c>
    </row>
    <row r="11" spans="1:7" x14ac:dyDescent="0.15">
      <c r="A11" t="s">
        <v>53</v>
      </c>
      <c r="B11" t="s">
        <v>13</v>
      </c>
      <c r="C11" t="s">
        <v>34</v>
      </c>
      <c r="D11">
        <v>11</v>
      </c>
      <c r="E11">
        <v>11</v>
      </c>
      <c r="F11">
        <v>7</v>
      </c>
      <c r="G11">
        <f t="shared" si="0"/>
        <v>29</v>
      </c>
    </row>
    <row r="12" spans="1:7" x14ac:dyDescent="0.15">
      <c r="A12" t="s">
        <v>54</v>
      </c>
      <c r="B12" t="s">
        <v>14</v>
      </c>
      <c r="C12" t="s">
        <v>41</v>
      </c>
      <c r="D12">
        <v>9</v>
      </c>
      <c r="E12">
        <v>8</v>
      </c>
      <c r="F12">
        <v>15</v>
      </c>
      <c r="G12">
        <f t="shared" si="0"/>
        <v>32</v>
      </c>
    </row>
    <row r="13" spans="1:7" x14ac:dyDescent="0.15">
      <c r="A13" t="s">
        <v>55</v>
      </c>
      <c r="B13" t="s">
        <v>15</v>
      </c>
      <c r="C13" t="s">
        <v>42</v>
      </c>
      <c r="D13">
        <v>15</v>
      </c>
      <c r="E13">
        <v>14</v>
      </c>
      <c r="F13">
        <v>13</v>
      </c>
      <c r="G13">
        <f t="shared" si="0"/>
        <v>42</v>
      </c>
    </row>
    <row r="14" spans="1:7" x14ac:dyDescent="0.15">
      <c r="A14" t="s">
        <v>53</v>
      </c>
      <c r="B14" t="s">
        <v>16</v>
      </c>
      <c r="C14" t="s">
        <v>43</v>
      </c>
      <c r="D14">
        <v>13</v>
      </c>
      <c r="E14">
        <v>8</v>
      </c>
      <c r="F14">
        <v>9</v>
      </c>
      <c r="G14">
        <f t="shared" si="0"/>
        <v>30</v>
      </c>
    </row>
    <row r="15" spans="1:7" x14ac:dyDescent="0.15">
      <c r="A15" t="s">
        <v>54</v>
      </c>
      <c r="B15" t="s">
        <v>17</v>
      </c>
      <c r="C15" t="s">
        <v>44</v>
      </c>
      <c r="D15">
        <v>12</v>
      </c>
      <c r="E15">
        <v>13</v>
      </c>
      <c r="F15">
        <v>7</v>
      </c>
      <c r="G15">
        <f t="shared" si="0"/>
        <v>32</v>
      </c>
    </row>
    <row r="16" spans="1:7" x14ac:dyDescent="0.15">
      <c r="A16" t="s">
        <v>53</v>
      </c>
      <c r="B16" t="s">
        <v>18</v>
      </c>
      <c r="C16" t="s">
        <v>45</v>
      </c>
      <c r="D16">
        <v>14</v>
      </c>
      <c r="E16">
        <v>15</v>
      </c>
      <c r="F16">
        <v>10</v>
      </c>
      <c r="G16">
        <f t="shared" si="0"/>
        <v>39</v>
      </c>
    </row>
    <row r="17" spans="1:7" x14ac:dyDescent="0.15">
      <c r="A17" t="s">
        <v>55</v>
      </c>
      <c r="B17" t="s">
        <v>11</v>
      </c>
      <c r="C17" t="s">
        <v>32</v>
      </c>
      <c r="D17">
        <v>13</v>
      </c>
      <c r="E17">
        <v>10</v>
      </c>
      <c r="F17">
        <v>7</v>
      </c>
      <c r="G17">
        <f t="shared" si="0"/>
        <v>30</v>
      </c>
    </row>
    <row r="18" spans="1:7" x14ac:dyDescent="0.15">
      <c r="A18" t="s">
        <v>53</v>
      </c>
      <c r="B18" t="s">
        <v>6</v>
      </c>
      <c r="C18" t="s">
        <v>29</v>
      </c>
      <c r="D18">
        <v>14</v>
      </c>
      <c r="E18">
        <v>12</v>
      </c>
      <c r="F18">
        <v>14</v>
      </c>
      <c r="G18">
        <f t="shared" si="0"/>
        <v>40</v>
      </c>
    </row>
    <row r="19" spans="1:7" x14ac:dyDescent="0.15">
      <c r="A19" t="s">
        <v>54</v>
      </c>
      <c r="B19" t="s">
        <v>21</v>
      </c>
      <c r="C19" t="s">
        <v>36</v>
      </c>
      <c r="D19">
        <v>13</v>
      </c>
      <c r="E19">
        <v>15</v>
      </c>
      <c r="F19">
        <v>7</v>
      </c>
      <c r="G19">
        <f t="shared" si="0"/>
        <v>35</v>
      </c>
    </row>
    <row r="20" spans="1:7" x14ac:dyDescent="0.15">
      <c r="A20" t="s">
        <v>54</v>
      </c>
      <c r="B20" t="s">
        <v>7</v>
      </c>
      <c r="C20" t="s">
        <v>30</v>
      </c>
      <c r="D20">
        <v>10</v>
      </c>
      <c r="E20">
        <v>13</v>
      </c>
      <c r="F20">
        <v>13</v>
      </c>
      <c r="G20">
        <f t="shared" si="0"/>
        <v>36</v>
      </c>
    </row>
    <row r="21" spans="1:7" x14ac:dyDescent="0.15">
      <c r="A21" t="s">
        <v>53</v>
      </c>
      <c r="B21" t="s">
        <v>23</v>
      </c>
      <c r="C21" t="s">
        <v>48</v>
      </c>
      <c r="D21">
        <v>12</v>
      </c>
      <c r="E21">
        <v>15</v>
      </c>
      <c r="F21">
        <v>14</v>
      </c>
      <c r="G21">
        <f t="shared" si="0"/>
        <v>41</v>
      </c>
    </row>
    <row r="22" spans="1:7" x14ac:dyDescent="0.15">
      <c r="A22" t="s">
        <v>53</v>
      </c>
      <c r="B22" t="s">
        <v>8</v>
      </c>
      <c r="C22" t="s">
        <v>39</v>
      </c>
      <c r="D22">
        <v>14</v>
      </c>
      <c r="E22">
        <v>10</v>
      </c>
      <c r="F22">
        <v>15</v>
      </c>
      <c r="G22">
        <f t="shared" si="0"/>
        <v>39</v>
      </c>
    </row>
    <row r="23" spans="1:7" x14ac:dyDescent="0.15">
      <c r="A23" t="s">
        <v>54</v>
      </c>
      <c r="B23" t="s">
        <v>25</v>
      </c>
      <c r="C23" t="s">
        <v>50</v>
      </c>
      <c r="D23">
        <v>11</v>
      </c>
      <c r="E23">
        <v>15</v>
      </c>
      <c r="F23">
        <v>11</v>
      </c>
      <c r="G23">
        <f t="shared" si="0"/>
        <v>37</v>
      </c>
    </row>
    <row r="24" spans="1:7" x14ac:dyDescent="0.15">
      <c r="A24" t="s">
        <v>55</v>
      </c>
      <c r="B24" t="s">
        <v>10</v>
      </c>
      <c r="C24" t="s">
        <v>31</v>
      </c>
      <c r="D24">
        <v>8</v>
      </c>
      <c r="E24">
        <v>9</v>
      </c>
      <c r="F24">
        <v>13</v>
      </c>
      <c r="G24">
        <f t="shared" si="0"/>
        <v>30</v>
      </c>
    </row>
    <row r="25" spans="1:7" x14ac:dyDescent="0.15">
      <c r="A25" t="s">
        <v>53</v>
      </c>
      <c r="B25" t="s">
        <v>19</v>
      </c>
      <c r="C25" t="s">
        <v>35</v>
      </c>
      <c r="D25">
        <v>15</v>
      </c>
      <c r="E25">
        <v>8</v>
      </c>
      <c r="F25">
        <v>7</v>
      </c>
      <c r="G25">
        <f t="shared" si="0"/>
        <v>30</v>
      </c>
    </row>
  </sheetData>
  <mergeCells count="1">
    <mergeCell ref="A1:G1"/>
  </mergeCells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M9" sqref="M9"/>
    </sheetView>
  </sheetViews>
  <sheetFormatPr defaultRowHeight="14.25" x14ac:dyDescent="0.15"/>
  <cols>
    <col min="1" max="8" width="11.625" customWidth="1"/>
  </cols>
  <sheetData>
    <row r="1" spans="1:8" x14ac:dyDescent="0.15">
      <c r="A1" t="s">
        <v>51</v>
      </c>
      <c r="B1" t="s">
        <v>0</v>
      </c>
      <c r="C1" t="s">
        <v>56</v>
      </c>
      <c r="D1" t="s">
        <v>58</v>
      </c>
      <c r="E1" t="s">
        <v>2</v>
      </c>
      <c r="F1" t="s">
        <v>1</v>
      </c>
      <c r="G1" t="s">
        <v>3</v>
      </c>
      <c r="H1" t="s">
        <v>4</v>
      </c>
    </row>
    <row r="2" spans="1:8" x14ac:dyDescent="0.15">
      <c r="A2" t="s">
        <v>52</v>
      </c>
      <c r="B2" t="s">
        <v>20</v>
      </c>
      <c r="C2" t="s">
        <v>46</v>
      </c>
      <c r="D2" t="str">
        <f>IF(MID(C2,7,1)="8","女","男")</f>
        <v>女</v>
      </c>
      <c r="E2">
        <v>10</v>
      </c>
      <c r="F2">
        <v>13</v>
      </c>
      <c r="G2">
        <v>15</v>
      </c>
      <c r="H2">
        <f>SUM(E2:G2)</f>
        <v>38</v>
      </c>
    </row>
    <row r="3" spans="1:8" x14ac:dyDescent="0.15">
      <c r="A3" t="s">
        <v>53</v>
      </c>
      <c r="B3" t="s">
        <v>12</v>
      </c>
      <c r="C3" t="s">
        <v>33</v>
      </c>
      <c r="D3" t="str">
        <f t="shared" ref="D3:D24" si="0">IF(MID(C3,7,1)="8","女","男")</f>
        <v>男</v>
      </c>
      <c r="E3">
        <v>14</v>
      </c>
      <c r="F3">
        <v>9</v>
      </c>
      <c r="G3">
        <v>13</v>
      </c>
      <c r="H3">
        <f t="shared" ref="H3:H24" si="1">SUM(E3:G3)</f>
        <v>36</v>
      </c>
    </row>
    <row r="4" spans="1:8" x14ac:dyDescent="0.15">
      <c r="A4" t="s">
        <v>54</v>
      </c>
      <c r="B4" t="s">
        <v>9</v>
      </c>
      <c r="C4" t="s">
        <v>40</v>
      </c>
      <c r="D4" t="str">
        <f t="shared" si="0"/>
        <v>女</v>
      </c>
      <c r="E4">
        <v>7</v>
      </c>
      <c r="F4">
        <v>9</v>
      </c>
      <c r="G4">
        <v>12</v>
      </c>
      <c r="H4">
        <f t="shared" si="1"/>
        <v>28</v>
      </c>
    </row>
    <row r="5" spans="1:8" x14ac:dyDescent="0.15">
      <c r="A5" t="s">
        <v>53</v>
      </c>
      <c r="B5" t="s">
        <v>26</v>
      </c>
      <c r="C5" t="s">
        <v>37</v>
      </c>
      <c r="D5" t="str">
        <f t="shared" si="0"/>
        <v>男</v>
      </c>
      <c r="E5">
        <v>7</v>
      </c>
      <c r="F5">
        <v>14</v>
      </c>
      <c r="G5">
        <v>14</v>
      </c>
      <c r="H5">
        <f t="shared" si="1"/>
        <v>35</v>
      </c>
    </row>
    <row r="6" spans="1:8" x14ac:dyDescent="0.15">
      <c r="A6" t="s">
        <v>55</v>
      </c>
      <c r="B6" t="s">
        <v>27</v>
      </c>
      <c r="C6" t="s">
        <v>38</v>
      </c>
      <c r="D6" t="str">
        <f t="shared" si="0"/>
        <v>男</v>
      </c>
      <c r="E6">
        <v>8</v>
      </c>
      <c r="F6">
        <v>15</v>
      </c>
      <c r="G6">
        <v>15</v>
      </c>
      <c r="H6">
        <f t="shared" si="1"/>
        <v>38</v>
      </c>
    </row>
    <row r="7" spans="1:8" x14ac:dyDescent="0.15">
      <c r="A7" t="s">
        <v>55</v>
      </c>
      <c r="B7" t="s">
        <v>24</v>
      </c>
      <c r="C7" t="s">
        <v>49</v>
      </c>
      <c r="D7" t="str">
        <f t="shared" si="0"/>
        <v>女</v>
      </c>
      <c r="E7">
        <v>8</v>
      </c>
      <c r="F7">
        <v>14</v>
      </c>
      <c r="G7">
        <v>9</v>
      </c>
      <c r="H7">
        <f t="shared" si="1"/>
        <v>31</v>
      </c>
    </row>
    <row r="8" spans="1:8" x14ac:dyDescent="0.15">
      <c r="A8" t="s">
        <v>54</v>
      </c>
      <c r="B8" t="s">
        <v>22</v>
      </c>
      <c r="C8" t="s">
        <v>47</v>
      </c>
      <c r="D8" t="str">
        <f t="shared" si="0"/>
        <v>女</v>
      </c>
      <c r="E8">
        <v>10</v>
      </c>
      <c r="F8">
        <v>9</v>
      </c>
      <c r="G8">
        <v>13</v>
      </c>
      <c r="H8">
        <f t="shared" si="1"/>
        <v>32</v>
      </c>
    </row>
    <row r="9" spans="1:8" x14ac:dyDescent="0.15">
      <c r="A9" t="s">
        <v>54</v>
      </c>
      <c r="B9" t="s">
        <v>5</v>
      </c>
      <c r="C9" t="s">
        <v>28</v>
      </c>
      <c r="D9" t="str">
        <f t="shared" si="0"/>
        <v>男</v>
      </c>
      <c r="E9">
        <v>10</v>
      </c>
      <c r="F9">
        <v>9</v>
      </c>
      <c r="G9">
        <v>11</v>
      </c>
      <c r="H9">
        <f t="shared" si="1"/>
        <v>30</v>
      </c>
    </row>
    <row r="10" spans="1:8" x14ac:dyDescent="0.15">
      <c r="A10" t="s">
        <v>53</v>
      </c>
      <c r="B10" t="s">
        <v>13</v>
      </c>
      <c r="C10" t="s">
        <v>34</v>
      </c>
      <c r="D10" t="str">
        <f t="shared" si="0"/>
        <v>男</v>
      </c>
      <c r="E10">
        <v>11</v>
      </c>
      <c r="F10">
        <v>11</v>
      </c>
      <c r="G10">
        <v>7</v>
      </c>
      <c r="H10">
        <f t="shared" si="1"/>
        <v>29</v>
      </c>
    </row>
    <row r="11" spans="1:8" x14ac:dyDescent="0.15">
      <c r="A11" t="s">
        <v>54</v>
      </c>
      <c r="B11" t="s">
        <v>14</v>
      </c>
      <c r="C11" t="s">
        <v>41</v>
      </c>
      <c r="D11" t="str">
        <f t="shared" si="0"/>
        <v>女</v>
      </c>
      <c r="E11">
        <v>9</v>
      </c>
      <c r="F11">
        <v>8</v>
      </c>
      <c r="G11">
        <v>15</v>
      </c>
      <c r="H11">
        <f t="shared" si="1"/>
        <v>32</v>
      </c>
    </row>
    <row r="12" spans="1:8" x14ac:dyDescent="0.15">
      <c r="A12" t="s">
        <v>55</v>
      </c>
      <c r="B12" t="s">
        <v>15</v>
      </c>
      <c r="C12" t="s">
        <v>42</v>
      </c>
      <c r="D12" t="str">
        <f t="shared" si="0"/>
        <v>女</v>
      </c>
      <c r="E12">
        <v>15</v>
      </c>
      <c r="F12">
        <v>14</v>
      </c>
      <c r="G12">
        <v>13</v>
      </c>
      <c r="H12">
        <f t="shared" si="1"/>
        <v>42</v>
      </c>
    </row>
    <row r="13" spans="1:8" x14ac:dyDescent="0.15">
      <c r="A13" t="s">
        <v>53</v>
      </c>
      <c r="B13" t="s">
        <v>16</v>
      </c>
      <c r="C13" t="s">
        <v>43</v>
      </c>
      <c r="D13" t="str">
        <f t="shared" si="0"/>
        <v>女</v>
      </c>
      <c r="E13">
        <v>13</v>
      </c>
      <c r="F13">
        <v>8</v>
      </c>
      <c r="G13">
        <v>9</v>
      </c>
      <c r="H13">
        <f t="shared" si="1"/>
        <v>30</v>
      </c>
    </row>
    <row r="14" spans="1:8" x14ac:dyDescent="0.15">
      <c r="A14" t="s">
        <v>54</v>
      </c>
      <c r="B14" t="s">
        <v>17</v>
      </c>
      <c r="C14" t="s">
        <v>44</v>
      </c>
      <c r="D14" t="str">
        <f t="shared" si="0"/>
        <v>女</v>
      </c>
      <c r="E14">
        <v>12</v>
      </c>
      <c r="F14">
        <v>13</v>
      </c>
      <c r="G14">
        <v>7</v>
      </c>
      <c r="H14">
        <f t="shared" si="1"/>
        <v>32</v>
      </c>
    </row>
    <row r="15" spans="1:8" x14ac:dyDescent="0.15">
      <c r="A15" t="s">
        <v>53</v>
      </c>
      <c r="B15" t="s">
        <v>18</v>
      </c>
      <c r="C15" t="s">
        <v>45</v>
      </c>
      <c r="D15" t="str">
        <f t="shared" si="0"/>
        <v>女</v>
      </c>
      <c r="E15">
        <v>14</v>
      </c>
      <c r="F15">
        <v>15</v>
      </c>
      <c r="G15">
        <v>10</v>
      </c>
      <c r="H15">
        <f t="shared" si="1"/>
        <v>39</v>
      </c>
    </row>
    <row r="16" spans="1:8" x14ac:dyDescent="0.15">
      <c r="A16" t="s">
        <v>55</v>
      </c>
      <c r="B16" t="s">
        <v>11</v>
      </c>
      <c r="C16" t="s">
        <v>32</v>
      </c>
      <c r="D16" t="str">
        <f t="shared" si="0"/>
        <v>男</v>
      </c>
      <c r="E16">
        <v>13</v>
      </c>
      <c r="F16">
        <v>10</v>
      </c>
      <c r="G16">
        <v>7</v>
      </c>
      <c r="H16">
        <f t="shared" si="1"/>
        <v>30</v>
      </c>
    </row>
    <row r="17" spans="1:8" x14ac:dyDescent="0.15">
      <c r="A17" t="s">
        <v>53</v>
      </c>
      <c r="B17" t="s">
        <v>6</v>
      </c>
      <c r="C17" t="s">
        <v>29</v>
      </c>
      <c r="D17" t="str">
        <f t="shared" si="0"/>
        <v>男</v>
      </c>
      <c r="E17">
        <v>14</v>
      </c>
      <c r="F17">
        <v>12</v>
      </c>
      <c r="G17">
        <v>14</v>
      </c>
      <c r="H17">
        <f t="shared" si="1"/>
        <v>40</v>
      </c>
    </row>
    <row r="18" spans="1:8" x14ac:dyDescent="0.15">
      <c r="A18" t="s">
        <v>54</v>
      </c>
      <c r="B18" t="s">
        <v>21</v>
      </c>
      <c r="C18" t="s">
        <v>36</v>
      </c>
      <c r="D18" t="str">
        <f t="shared" si="0"/>
        <v>男</v>
      </c>
      <c r="E18">
        <v>13</v>
      </c>
      <c r="F18">
        <v>15</v>
      </c>
      <c r="G18">
        <v>7</v>
      </c>
      <c r="H18">
        <f t="shared" si="1"/>
        <v>35</v>
      </c>
    </row>
    <row r="19" spans="1:8" x14ac:dyDescent="0.15">
      <c r="A19" t="s">
        <v>54</v>
      </c>
      <c r="B19" t="s">
        <v>7</v>
      </c>
      <c r="C19" t="s">
        <v>30</v>
      </c>
      <c r="D19" t="str">
        <f t="shared" si="0"/>
        <v>男</v>
      </c>
      <c r="E19">
        <v>10</v>
      </c>
      <c r="F19">
        <v>13</v>
      </c>
      <c r="G19">
        <v>13</v>
      </c>
      <c r="H19">
        <f t="shared" si="1"/>
        <v>36</v>
      </c>
    </row>
    <row r="20" spans="1:8" x14ac:dyDescent="0.15">
      <c r="A20" t="s">
        <v>53</v>
      </c>
      <c r="B20" t="s">
        <v>23</v>
      </c>
      <c r="C20" t="s">
        <v>48</v>
      </c>
      <c r="D20" t="str">
        <f t="shared" si="0"/>
        <v>女</v>
      </c>
      <c r="E20">
        <v>12</v>
      </c>
      <c r="F20">
        <v>15</v>
      </c>
      <c r="G20">
        <v>14</v>
      </c>
      <c r="H20">
        <f t="shared" si="1"/>
        <v>41</v>
      </c>
    </row>
    <row r="21" spans="1:8" x14ac:dyDescent="0.15">
      <c r="A21" t="s">
        <v>53</v>
      </c>
      <c r="B21" t="s">
        <v>8</v>
      </c>
      <c r="C21" t="s">
        <v>39</v>
      </c>
      <c r="D21" t="str">
        <f t="shared" si="0"/>
        <v>女</v>
      </c>
      <c r="E21">
        <v>14</v>
      </c>
      <c r="F21">
        <v>10</v>
      </c>
      <c r="G21">
        <v>15</v>
      </c>
      <c r="H21">
        <f t="shared" si="1"/>
        <v>39</v>
      </c>
    </row>
    <row r="22" spans="1:8" x14ac:dyDescent="0.15">
      <c r="A22" t="s">
        <v>54</v>
      </c>
      <c r="B22" t="s">
        <v>25</v>
      </c>
      <c r="C22" t="s">
        <v>50</v>
      </c>
      <c r="D22" t="str">
        <f t="shared" si="0"/>
        <v>女</v>
      </c>
      <c r="E22">
        <v>11</v>
      </c>
      <c r="F22">
        <v>15</v>
      </c>
      <c r="G22">
        <v>11</v>
      </c>
      <c r="H22">
        <f t="shared" si="1"/>
        <v>37</v>
      </c>
    </row>
    <row r="23" spans="1:8" x14ac:dyDescent="0.15">
      <c r="A23" t="s">
        <v>55</v>
      </c>
      <c r="B23" t="s">
        <v>10</v>
      </c>
      <c r="C23" t="s">
        <v>31</v>
      </c>
      <c r="D23" t="str">
        <f t="shared" si="0"/>
        <v>男</v>
      </c>
      <c r="E23">
        <v>8</v>
      </c>
      <c r="F23">
        <v>9</v>
      </c>
      <c r="G23">
        <v>13</v>
      </c>
      <c r="H23">
        <f t="shared" si="1"/>
        <v>30</v>
      </c>
    </row>
    <row r="24" spans="1:8" x14ac:dyDescent="0.15">
      <c r="A24" t="s">
        <v>53</v>
      </c>
      <c r="B24" t="s">
        <v>19</v>
      </c>
      <c r="C24" t="s">
        <v>35</v>
      </c>
      <c r="D24" t="str">
        <f t="shared" si="0"/>
        <v>男</v>
      </c>
      <c r="E24">
        <v>15</v>
      </c>
      <c r="F24">
        <v>8</v>
      </c>
      <c r="G24">
        <v>7</v>
      </c>
      <c r="H24">
        <f t="shared" si="1"/>
        <v>30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K20" sqref="K20"/>
    </sheetView>
  </sheetViews>
  <sheetFormatPr defaultRowHeight="14.25" x14ac:dyDescent="0.15"/>
  <sheetData>
    <row r="1" spans="1:7" ht="21" thickTop="1" x14ac:dyDescent="0.15">
      <c r="A1" s="8" t="s">
        <v>57</v>
      </c>
      <c r="B1" s="9"/>
      <c r="C1" s="9"/>
      <c r="D1" s="9"/>
      <c r="E1" s="9"/>
      <c r="F1" s="9"/>
      <c r="G1" s="10"/>
    </row>
    <row r="2" spans="1:7" x14ac:dyDescent="0.15">
      <c r="A2" s="2" t="s">
        <v>51</v>
      </c>
      <c r="B2" s="3" t="s">
        <v>0</v>
      </c>
      <c r="C2" s="3" t="s">
        <v>56</v>
      </c>
      <c r="D2" s="3" t="s">
        <v>2</v>
      </c>
      <c r="E2" s="3" t="s">
        <v>1</v>
      </c>
      <c r="F2" s="3" t="s">
        <v>3</v>
      </c>
      <c r="G2" s="4" t="s">
        <v>4</v>
      </c>
    </row>
    <row r="3" spans="1:7" x14ac:dyDescent="0.15">
      <c r="A3" s="2" t="s">
        <v>52</v>
      </c>
      <c r="B3" s="3" t="s">
        <v>20</v>
      </c>
      <c r="C3" s="3" t="s">
        <v>46</v>
      </c>
      <c r="D3" s="3">
        <v>10</v>
      </c>
      <c r="E3" s="3">
        <v>13</v>
      </c>
      <c r="F3" s="3">
        <v>15</v>
      </c>
      <c r="G3" s="4">
        <f>SUM(D3:F3)</f>
        <v>38</v>
      </c>
    </row>
    <row r="4" spans="1:7" x14ac:dyDescent="0.15">
      <c r="A4" s="2" t="s">
        <v>53</v>
      </c>
      <c r="B4" s="3" t="s">
        <v>12</v>
      </c>
      <c r="C4" s="3" t="s">
        <v>33</v>
      </c>
      <c r="D4" s="3">
        <v>14</v>
      </c>
      <c r="E4" s="3">
        <v>9</v>
      </c>
      <c r="F4" s="3">
        <v>13</v>
      </c>
      <c r="G4" s="4">
        <f t="shared" ref="G4:G25" si="0">SUM(D4:F4)</f>
        <v>36</v>
      </c>
    </row>
    <row r="5" spans="1:7" x14ac:dyDescent="0.15">
      <c r="A5" s="2" t="s">
        <v>54</v>
      </c>
      <c r="B5" s="3" t="s">
        <v>9</v>
      </c>
      <c r="C5" s="3" t="s">
        <v>40</v>
      </c>
      <c r="D5" s="3">
        <v>7</v>
      </c>
      <c r="E5" s="3">
        <v>9</v>
      </c>
      <c r="F5" s="3">
        <v>12</v>
      </c>
      <c r="G5" s="4">
        <f t="shared" si="0"/>
        <v>28</v>
      </c>
    </row>
    <row r="6" spans="1:7" x14ac:dyDescent="0.15">
      <c r="A6" s="2" t="s">
        <v>53</v>
      </c>
      <c r="B6" s="3" t="s">
        <v>26</v>
      </c>
      <c r="C6" s="3" t="s">
        <v>37</v>
      </c>
      <c r="D6" s="3">
        <v>7</v>
      </c>
      <c r="E6" s="3">
        <v>14</v>
      </c>
      <c r="F6" s="3">
        <v>14</v>
      </c>
      <c r="G6" s="4">
        <f t="shared" si="0"/>
        <v>35</v>
      </c>
    </row>
    <row r="7" spans="1:7" x14ac:dyDescent="0.15">
      <c r="A7" s="2" t="s">
        <v>55</v>
      </c>
      <c r="B7" s="3" t="s">
        <v>27</v>
      </c>
      <c r="C7" s="3" t="s">
        <v>38</v>
      </c>
      <c r="D7" s="3">
        <v>8</v>
      </c>
      <c r="E7" s="3">
        <v>15</v>
      </c>
      <c r="F7" s="3">
        <v>15</v>
      </c>
      <c r="G7" s="4">
        <f t="shared" si="0"/>
        <v>38</v>
      </c>
    </row>
    <row r="8" spans="1:7" x14ac:dyDescent="0.15">
      <c r="A8" s="2" t="s">
        <v>55</v>
      </c>
      <c r="B8" s="3" t="s">
        <v>24</v>
      </c>
      <c r="C8" s="3" t="s">
        <v>49</v>
      </c>
      <c r="D8" s="3">
        <v>8</v>
      </c>
      <c r="E8" s="3">
        <v>14</v>
      </c>
      <c r="F8" s="3">
        <v>9</v>
      </c>
      <c r="G8" s="4">
        <f t="shared" si="0"/>
        <v>31</v>
      </c>
    </row>
    <row r="9" spans="1:7" x14ac:dyDescent="0.15">
      <c r="A9" s="2" t="s">
        <v>54</v>
      </c>
      <c r="B9" s="3" t="s">
        <v>22</v>
      </c>
      <c r="C9" s="3" t="s">
        <v>47</v>
      </c>
      <c r="D9" s="3">
        <v>10</v>
      </c>
      <c r="E9" s="3">
        <v>9</v>
      </c>
      <c r="F9" s="3">
        <v>13</v>
      </c>
      <c r="G9" s="4">
        <f t="shared" si="0"/>
        <v>32</v>
      </c>
    </row>
    <row r="10" spans="1:7" x14ac:dyDescent="0.15">
      <c r="A10" s="2" t="s">
        <v>54</v>
      </c>
      <c r="B10" s="3" t="s">
        <v>5</v>
      </c>
      <c r="C10" s="3" t="s">
        <v>28</v>
      </c>
      <c r="D10" s="3">
        <v>10</v>
      </c>
      <c r="E10" s="3">
        <v>9</v>
      </c>
      <c r="F10" s="3">
        <v>11</v>
      </c>
      <c r="G10" s="4">
        <f t="shared" si="0"/>
        <v>30</v>
      </c>
    </row>
    <row r="11" spans="1:7" x14ac:dyDescent="0.15">
      <c r="A11" s="2" t="s">
        <v>53</v>
      </c>
      <c r="B11" s="3" t="s">
        <v>13</v>
      </c>
      <c r="C11" s="3" t="s">
        <v>34</v>
      </c>
      <c r="D11" s="3">
        <v>11</v>
      </c>
      <c r="E11" s="3">
        <v>11</v>
      </c>
      <c r="F11" s="3">
        <v>7</v>
      </c>
      <c r="G11" s="4">
        <f t="shared" si="0"/>
        <v>29</v>
      </c>
    </row>
    <row r="12" spans="1:7" x14ac:dyDescent="0.15">
      <c r="A12" s="2" t="s">
        <v>54</v>
      </c>
      <c r="B12" s="3" t="s">
        <v>14</v>
      </c>
      <c r="C12" s="3" t="s">
        <v>41</v>
      </c>
      <c r="D12" s="3">
        <v>9</v>
      </c>
      <c r="E12" s="3">
        <v>8</v>
      </c>
      <c r="F12" s="3">
        <v>15</v>
      </c>
      <c r="G12" s="4">
        <f t="shared" si="0"/>
        <v>32</v>
      </c>
    </row>
    <row r="13" spans="1:7" x14ac:dyDescent="0.15">
      <c r="A13" s="2" t="s">
        <v>55</v>
      </c>
      <c r="B13" s="3" t="s">
        <v>15</v>
      </c>
      <c r="C13" s="3" t="s">
        <v>42</v>
      </c>
      <c r="D13" s="3">
        <v>15</v>
      </c>
      <c r="E13" s="3">
        <v>14</v>
      </c>
      <c r="F13" s="3">
        <v>13</v>
      </c>
      <c r="G13" s="4">
        <f t="shared" si="0"/>
        <v>42</v>
      </c>
    </row>
    <row r="14" spans="1:7" x14ac:dyDescent="0.15">
      <c r="A14" s="2" t="s">
        <v>53</v>
      </c>
      <c r="B14" s="3" t="s">
        <v>16</v>
      </c>
      <c r="C14" s="3" t="s">
        <v>43</v>
      </c>
      <c r="D14" s="3">
        <v>13</v>
      </c>
      <c r="E14" s="3">
        <v>8</v>
      </c>
      <c r="F14" s="3">
        <v>9</v>
      </c>
      <c r="G14" s="4">
        <f t="shared" si="0"/>
        <v>30</v>
      </c>
    </row>
    <row r="15" spans="1:7" x14ac:dyDescent="0.15">
      <c r="A15" s="2" t="s">
        <v>54</v>
      </c>
      <c r="B15" s="3" t="s">
        <v>17</v>
      </c>
      <c r="C15" s="3" t="s">
        <v>44</v>
      </c>
      <c r="D15" s="3">
        <v>12</v>
      </c>
      <c r="E15" s="3">
        <v>13</v>
      </c>
      <c r="F15" s="3">
        <v>7</v>
      </c>
      <c r="G15" s="4">
        <f t="shared" si="0"/>
        <v>32</v>
      </c>
    </row>
    <row r="16" spans="1:7" x14ac:dyDescent="0.15">
      <c r="A16" s="2" t="s">
        <v>53</v>
      </c>
      <c r="B16" s="3" t="s">
        <v>18</v>
      </c>
      <c r="C16" s="3" t="s">
        <v>45</v>
      </c>
      <c r="D16" s="3">
        <v>14</v>
      </c>
      <c r="E16" s="3">
        <v>15</v>
      </c>
      <c r="F16" s="3">
        <v>10</v>
      </c>
      <c r="G16" s="4">
        <f t="shared" si="0"/>
        <v>39</v>
      </c>
    </row>
    <row r="17" spans="1:7" x14ac:dyDescent="0.15">
      <c r="A17" s="2" t="s">
        <v>55</v>
      </c>
      <c r="B17" s="3" t="s">
        <v>11</v>
      </c>
      <c r="C17" s="3" t="s">
        <v>32</v>
      </c>
      <c r="D17" s="3">
        <v>13</v>
      </c>
      <c r="E17" s="3">
        <v>10</v>
      </c>
      <c r="F17" s="3">
        <v>7</v>
      </c>
      <c r="G17" s="4">
        <f t="shared" si="0"/>
        <v>30</v>
      </c>
    </row>
    <row r="18" spans="1:7" x14ac:dyDescent="0.15">
      <c r="A18" s="2" t="s">
        <v>53</v>
      </c>
      <c r="B18" s="3" t="s">
        <v>6</v>
      </c>
      <c r="C18" s="3" t="s">
        <v>29</v>
      </c>
      <c r="D18" s="3">
        <v>14</v>
      </c>
      <c r="E18" s="3">
        <v>12</v>
      </c>
      <c r="F18" s="3">
        <v>14</v>
      </c>
      <c r="G18" s="4">
        <f t="shared" si="0"/>
        <v>40</v>
      </c>
    </row>
    <row r="19" spans="1:7" x14ac:dyDescent="0.15">
      <c r="A19" s="2" t="s">
        <v>54</v>
      </c>
      <c r="B19" s="3" t="s">
        <v>21</v>
      </c>
      <c r="C19" s="3" t="s">
        <v>36</v>
      </c>
      <c r="D19" s="3">
        <v>13</v>
      </c>
      <c r="E19" s="3">
        <v>15</v>
      </c>
      <c r="F19" s="3">
        <v>7</v>
      </c>
      <c r="G19" s="4">
        <f t="shared" si="0"/>
        <v>35</v>
      </c>
    </row>
    <row r="20" spans="1:7" x14ac:dyDescent="0.15">
      <c r="A20" s="2" t="s">
        <v>54</v>
      </c>
      <c r="B20" s="3" t="s">
        <v>7</v>
      </c>
      <c r="C20" s="3" t="s">
        <v>30</v>
      </c>
      <c r="D20" s="3">
        <v>10</v>
      </c>
      <c r="E20" s="3">
        <v>13</v>
      </c>
      <c r="F20" s="3">
        <v>13</v>
      </c>
      <c r="G20" s="4">
        <f t="shared" si="0"/>
        <v>36</v>
      </c>
    </row>
    <row r="21" spans="1:7" x14ac:dyDescent="0.15">
      <c r="A21" s="2" t="s">
        <v>53</v>
      </c>
      <c r="B21" s="3" t="s">
        <v>23</v>
      </c>
      <c r="C21" s="3" t="s">
        <v>48</v>
      </c>
      <c r="D21" s="3">
        <v>12</v>
      </c>
      <c r="E21" s="3">
        <v>15</v>
      </c>
      <c r="F21" s="3">
        <v>14</v>
      </c>
      <c r="G21" s="4">
        <f t="shared" si="0"/>
        <v>41</v>
      </c>
    </row>
    <row r="22" spans="1:7" x14ac:dyDescent="0.15">
      <c r="A22" s="2" t="s">
        <v>53</v>
      </c>
      <c r="B22" s="3" t="s">
        <v>8</v>
      </c>
      <c r="C22" s="3" t="s">
        <v>39</v>
      </c>
      <c r="D22" s="3">
        <v>14</v>
      </c>
      <c r="E22" s="3">
        <v>10</v>
      </c>
      <c r="F22" s="3">
        <v>15</v>
      </c>
      <c r="G22" s="4">
        <f t="shared" si="0"/>
        <v>39</v>
      </c>
    </row>
    <row r="23" spans="1:7" x14ac:dyDescent="0.15">
      <c r="A23" s="2" t="s">
        <v>54</v>
      </c>
      <c r="B23" s="3" t="s">
        <v>25</v>
      </c>
      <c r="C23" s="3" t="s">
        <v>50</v>
      </c>
      <c r="D23" s="3">
        <v>11</v>
      </c>
      <c r="E23" s="3">
        <v>15</v>
      </c>
      <c r="F23" s="3">
        <v>11</v>
      </c>
      <c r="G23" s="4">
        <f t="shared" si="0"/>
        <v>37</v>
      </c>
    </row>
    <row r="24" spans="1:7" x14ac:dyDescent="0.15">
      <c r="A24" s="2" t="s">
        <v>55</v>
      </c>
      <c r="B24" s="3" t="s">
        <v>10</v>
      </c>
      <c r="C24" s="3" t="s">
        <v>31</v>
      </c>
      <c r="D24" s="3">
        <v>8</v>
      </c>
      <c r="E24" s="3">
        <v>9</v>
      </c>
      <c r="F24" s="3">
        <v>13</v>
      </c>
      <c r="G24" s="4">
        <f t="shared" si="0"/>
        <v>30</v>
      </c>
    </row>
    <row r="25" spans="1:7" ht="15" thickBot="1" x14ac:dyDescent="0.2">
      <c r="A25" s="5" t="s">
        <v>53</v>
      </c>
      <c r="B25" s="6" t="s">
        <v>19</v>
      </c>
      <c r="C25" s="6" t="s">
        <v>35</v>
      </c>
      <c r="D25" s="6">
        <v>15</v>
      </c>
      <c r="E25" s="6">
        <v>8</v>
      </c>
      <c r="F25" s="6">
        <v>7</v>
      </c>
      <c r="G25" s="7">
        <f t="shared" si="0"/>
        <v>30</v>
      </c>
    </row>
    <row r="26" spans="1:7" ht="15" thickTop="1" x14ac:dyDescent="0.15"/>
  </sheetData>
  <mergeCells count="1">
    <mergeCell ref="A1:G1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firstPageNumber="3" orientation="portrait" useFirstPageNumber="1" r:id="rId1"/>
  <headerFooter alignWithMargins="0">
    <oddHeader>&amp;C&amp;"幼圆,加粗倾斜"&amp;10三项比赛汇总</oddHeader>
    <oddFooter>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P11" sqref="P11"/>
    </sheetView>
  </sheetViews>
  <sheetFormatPr defaultRowHeight="14.25" outlineLevelRow="2" x14ac:dyDescent="0.15"/>
  <cols>
    <col min="3" max="3" width="11.625" bestFit="1" customWidth="1"/>
  </cols>
  <sheetData>
    <row r="1" spans="1:7" x14ac:dyDescent="0.15">
      <c r="A1" t="s">
        <v>51</v>
      </c>
      <c r="B1" t="s">
        <v>0</v>
      </c>
      <c r="C1" t="s">
        <v>56</v>
      </c>
      <c r="D1" t="s">
        <v>2</v>
      </c>
      <c r="E1" t="s">
        <v>1</v>
      </c>
      <c r="F1" t="s">
        <v>3</v>
      </c>
      <c r="G1" t="s">
        <v>4</v>
      </c>
    </row>
    <row r="2" spans="1:7" outlineLevel="2" x14ac:dyDescent="0.15">
      <c r="A2" t="s">
        <v>53</v>
      </c>
      <c r="B2" t="s">
        <v>13</v>
      </c>
      <c r="C2" t="s">
        <v>34</v>
      </c>
      <c r="D2">
        <v>11</v>
      </c>
      <c r="E2">
        <v>11</v>
      </c>
      <c r="F2">
        <v>7</v>
      </c>
      <c r="G2">
        <f>SUM(D2:F2)</f>
        <v>29</v>
      </c>
    </row>
    <row r="3" spans="1:7" outlineLevel="2" x14ac:dyDescent="0.15">
      <c r="A3" t="s">
        <v>53</v>
      </c>
      <c r="B3" t="s">
        <v>16</v>
      </c>
      <c r="C3" t="s">
        <v>43</v>
      </c>
      <c r="D3">
        <v>13</v>
      </c>
      <c r="E3">
        <v>8</v>
      </c>
      <c r="F3">
        <v>9</v>
      </c>
      <c r="G3">
        <f>SUM(D3:F3)</f>
        <v>30</v>
      </c>
    </row>
    <row r="4" spans="1:7" outlineLevel="2" x14ac:dyDescent="0.15">
      <c r="A4" t="s">
        <v>53</v>
      </c>
      <c r="B4" t="s">
        <v>19</v>
      </c>
      <c r="C4" t="s">
        <v>35</v>
      </c>
      <c r="D4">
        <v>15</v>
      </c>
      <c r="E4">
        <v>8</v>
      </c>
      <c r="F4">
        <v>7</v>
      </c>
      <c r="G4">
        <f>SUM(D4:F4)</f>
        <v>30</v>
      </c>
    </row>
    <row r="5" spans="1:7" outlineLevel="2" x14ac:dyDescent="0.15">
      <c r="A5" t="s">
        <v>53</v>
      </c>
      <c r="B5" t="s">
        <v>26</v>
      </c>
      <c r="C5" t="s">
        <v>37</v>
      </c>
      <c r="D5">
        <v>7</v>
      </c>
      <c r="E5">
        <v>14</v>
      </c>
      <c r="F5">
        <v>14</v>
      </c>
      <c r="G5">
        <f>SUM(D5:F5)</f>
        <v>35</v>
      </c>
    </row>
    <row r="6" spans="1:7" outlineLevel="2" x14ac:dyDescent="0.15">
      <c r="A6" t="s">
        <v>53</v>
      </c>
      <c r="B6" t="s">
        <v>12</v>
      </c>
      <c r="C6" t="s">
        <v>33</v>
      </c>
      <c r="D6">
        <v>14</v>
      </c>
      <c r="E6">
        <v>9</v>
      </c>
      <c r="F6">
        <v>13</v>
      </c>
      <c r="G6">
        <f>SUM(D6:F6)</f>
        <v>36</v>
      </c>
    </row>
    <row r="7" spans="1:7" outlineLevel="2" x14ac:dyDescent="0.15">
      <c r="A7" t="s">
        <v>53</v>
      </c>
      <c r="B7" t="s">
        <v>18</v>
      </c>
      <c r="C7" t="s">
        <v>45</v>
      </c>
      <c r="D7">
        <v>14</v>
      </c>
      <c r="E7">
        <v>15</v>
      </c>
      <c r="F7">
        <v>10</v>
      </c>
      <c r="G7">
        <f>SUM(D7:F7)</f>
        <v>39</v>
      </c>
    </row>
    <row r="8" spans="1:7" outlineLevel="2" x14ac:dyDescent="0.15">
      <c r="A8" t="s">
        <v>53</v>
      </c>
      <c r="B8" t="s">
        <v>8</v>
      </c>
      <c r="C8" t="s">
        <v>39</v>
      </c>
      <c r="D8">
        <v>14</v>
      </c>
      <c r="E8">
        <v>10</v>
      </c>
      <c r="F8">
        <v>15</v>
      </c>
      <c r="G8">
        <f>SUM(D8:F8)</f>
        <v>39</v>
      </c>
    </row>
    <row r="9" spans="1:7" outlineLevel="2" x14ac:dyDescent="0.15">
      <c r="A9" t="s">
        <v>53</v>
      </c>
      <c r="B9" t="s">
        <v>6</v>
      </c>
      <c r="C9" t="s">
        <v>29</v>
      </c>
      <c r="D9">
        <v>14</v>
      </c>
      <c r="E9">
        <v>12</v>
      </c>
      <c r="F9">
        <v>14</v>
      </c>
      <c r="G9">
        <f>SUM(D9:F9)</f>
        <v>40</v>
      </c>
    </row>
    <row r="10" spans="1:7" outlineLevel="2" x14ac:dyDescent="0.15">
      <c r="A10" t="s">
        <v>53</v>
      </c>
      <c r="B10" t="s">
        <v>23</v>
      </c>
      <c r="C10" t="s">
        <v>48</v>
      </c>
      <c r="D10">
        <v>12</v>
      </c>
      <c r="E10">
        <v>15</v>
      </c>
      <c r="F10">
        <v>14</v>
      </c>
      <c r="G10">
        <f>SUM(D10:F10)</f>
        <v>41</v>
      </c>
    </row>
    <row r="11" spans="1:7" outlineLevel="1" x14ac:dyDescent="0.15">
      <c r="A11" s="11" t="s">
        <v>59</v>
      </c>
      <c r="D11">
        <f>SUBTOTAL(4,D2:D10)</f>
        <v>15</v>
      </c>
      <c r="E11">
        <f>SUBTOTAL(4,E2:E10)</f>
        <v>15</v>
      </c>
      <c r="F11">
        <f>SUBTOTAL(4,F2:F10)</f>
        <v>15</v>
      </c>
    </row>
    <row r="12" spans="1:7" outlineLevel="2" x14ac:dyDescent="0.15">
      <c r="A12" t="s">
        <v>54</v>
      </c>
      <c r="B12" t="s">
        <v>9</v>
      </c>
      <c r="C12" t="s">
        <v>40</v>
      </c>
      <c r="D12">
        <v>7</v>
      </c>
      <c r="E12">
        <v>9</v>
      </c>
      <c r="F12">
        <v>12</v>
      </c>
      <c r="G12">
        <f>SUM(D12:F12)</f>
        <v>28</v>
      </c>
    </row>
    <row r="13" spans="1:7" outlineLevel="2" x14ac:dyDescent="0.15">
      <c r="A13" t="s">
        <v>54</v>
      </c>
      <c r="B13" t="s">
        <v>5</v>
      </c>
      <c r="C13" t="s">
        <v>28</v>
      </c>
      <c r="D13">
        <v>10</v>
      </c>
      <c r="E13">
        <v>9</v>
      </c>
      <c r="F13">
        <v>11</v>
      </c>
      <c r="G13">
        <f>SUM(D13:F13)</f>
        <v>30</v>
      </c>
    </row>
    <row r="14" spans="1:7" outlineLevel="2" x14ac:dyDescent="0.15">
      <c r="A14" t="s">
        <v>54</v>
      </c>
      <c r="B14" t="s">
        <v>22</v>
      </c>
      <c r="C14" t="s">
        <v>47</v>
      </c>
      <c r="D14">
        <v>10</v>
      </c>
      <c r="E14">
        <v>9</v>
      </c>
      <c r="F14">
        <v>13</v>
      </c>
      <c r="G14">
        <f>SUM(D14:F14)</f>
        <v>32</v>
      </c>
    </row>
    <row r="15" spans="1:7" outlineLevel="2" x14ac:dyDescent="0.15">
      <c r="A15" t="s">
        <v>54</v>
      </c>
      <c r="B15" t="s">
        <v>14</v>
      </c>
      <c r="C15" t="s">
        <v>41</v>
      </c>
      <c r="D15">
        <v>9</v>
      </c>
      <c r="E15">
        <v>8</v>
      </c>
      <c r="F15">
        <v>15</v>
      </c>
      <c r="G15">
        <f>SUM(D15:F15)</f>
        <v>32</v>
      </c>
    </row>
    <row r="16" spans="1:7" outlineLevel="2" x14ac:dyDescent="0.15">
      <c r="A16" t="s">
        <v>54</v>
      </c>
      <c r="B16" t="s">
        <v>17</v>
      </c>
      <c r="C16" t="s">
        <v>44</v>
      </c>
      <c r="D16">
        <v>12</v>
      </c>
      <c r="E16">
        <v>13</v>
      </c>
      <c r="F16">
        <v>7</v>
      </c>
      <c r="G16">
        <f>SUM(D16:F16)</f>
        <v>32</v>
      </c>
    </row>
    <row r="17" spans="1:7" outlineLevel="2" x14ac:dyDescent="0.15">
      <c r="A17" t="s">
        <v>54</v>
      </c>
      <c r="B17" t="s">
        <v>21</v>
      </c>
      <c r="C17" t="s">
        <v>36</v>
      </c>
      <c r="D17">
        <v>13</v>
      </c>
      <c r="E17">
        <v>15</v>
      </c>
      <c r="F17">
        <v>7</v>
      </c>
      <c r="G17">
        <f>SUM(D17:F17)</f>
        <v>35</v>
      </c>
    </row>
    <row r="18" spans="1:7" outlineLevel="2" x14ac:dyDescent="0.15">
      <c r="A18" t="s">
        <v>54</v>
      </c>
      <c r="B18" t="s">
        <v>7</v>
      </c>
      <c r="C18" t="s">
        <v>30</v>
      </c>
      <c r="D18">
        <v>10</v>
      </c>
      <c r="E18">
        <v>13</v>
      </c>
      <c r="F18">
        <v>13</v>
      </c>
      <c r="G18">
        <f>SUM(D18:F18)</f>
        <v>36</v>
      </c>
    </row>
    <row r="19" spans="1:7" outlineLevel="2" x14ac:dyDescent="0.15">
      <c r="A19" t="s">
        <v>54</v>
      </c>
      <c r="B19" t="s">
        <v>25</v>
      </c>
      <c r="C19" t="s">
        <v>50</v>
      </c>
      <c r="D19">
        <v>11</v>
      </c>
      <c r="E19">
        <v>15</v>
      </c>
      <c r="F19">
        <v>11</v>
      </c>
      <c r="G19">
        <f>SUM(D19:F19)</f>
        <v>37</v>
      </c>
    </row>
    <row r="20" spans="1:7" outlineLevel="2" x14ac:dyDescent="0.15">
      <c r="A20" t="s">
        <v>52</v>
      </c>
      <c r="B20" t="s">
        <v>20</v>
      </c>
      <c r="C20" t="s">
        <v>46</v>
      </c>
      <c r="D20">
        <v>10</v>
      </c>
      <c r="E20">
        <v>13</v>
      </c>
      <c r="F20">
        <v>15</v>
      </c>
      <c r="G20">
        <f>SUM(D20:F20)</f>
        <v>38</v>
      </c>
    </row>
    <row r="21" spans="1:7" outlineLevel="1" x14ac:dyDescent="0.15">
      <c r="A21" s="11" t="s">
        <v>60</v>
      </c>
      <c r="D21">
        <f>SUBTOTAL(4,D12:D20)</f>
        <v>13</v>
      </c>
      <c r="E21">
        <f>SUBTOTAL(4,E12:E20)</f>
        <v>15</v>
      </c>
      <c r="F21">
        <f>SUBTOTAL(4,F12:F20)</f>
        <v>15</v>
      </c>
    </row>
    <row r="22" spans="1:7" outlineLevel="2" x14ac:dyDescent="0.15">
      <c r="A22" t="s">
        <v>55</v>
      </c>
      <c r="B22" t="s">
        <v>11</v>
      </c>
      <c r="C22" t="s">
        <v>32</v>
      </c>
      <c r="D22">
        <v>13</v>
      </c>
      <c r="E22">
        <v>10</v>
      </c>
      <c r="F22">
        <v>7</v>
      </c>
      <c r="G22">
        <f>SUM(D22:F22)</f>
        <v>30</v>
      </c>
    </row>
    <row r="23" spans="1:7" outlineLevel="2" x14ac:dyDescent="0.15">
      <c r="A23" t="s">
        <v>55</v>
      </c>
      <c r="B23" t="s">
        <v>10</v>
      </c>
      <c r="C23" t="s">
        <v>31</v>
      </c>
      <c r="D23">
        <v>8</v>
      </c>
      <c r="E23">
        <v>9</v>
      </c>
      <c r="F23">
        <v>13</v>
      </c>
      <c r="G23">
        <f>SUM(D23:F23)</f>
        <v>30</v>
      </c>
    </row>
    <row r="24" spans="1:7" outlineLevel="2" x14ac:dyDescent="0.15">
      <c r="A24" t="s">
        <v>55</v>
      </c>
      <c r="B24" t="s">
        <v>24</v>
      </c>
      <c r="C24" t="s">
        <v>49</v>
      </c>
      <c r="D24">
        <v>8</v>
      </c>
      <c r="E24">
        <v>14</v>
      </c>
      <c r="F24">
        <v>9</v>
      </c>
      <c r="G24">
        <f>SUM(D24:F24)</f>
        <v>31</v>
      </c>
    </row>
    <row r="25" spans="1:7" outlineLevel="2" x14ac:dyDescent="0.15">
      <c r="A25" t="s">
        <v>55</v>
      </c>
      <c r="B25" t="s">
        <v>27</v>
      </c>
      <c r="C25" t="s">
        <v>38</v>
      </c>
      <c r="D25">
        <v>8</v>
      </c>
      <c r="E25">
        <v>15</v>
      </c>
      <c r="F25">
        <v>15</v>
      </c>
      <c r="G25">
        <f>SUM(D25:F25)</f>
        <v>38</v>
      </c>
    </row>
    <row r="26" spans="1:7" outlineLevel="2" x14ac:dyDescent="0.15">
      <c r="A26" t="s">
        <v>55</v>
      </c>
      <c r="B26" t="s">
        <v>15</v>
      </c>
      <c r="C26" t="s">
        <v>42</v>
      </c>
      <c r="D26">
        <v>15</v>
      </c>
      <c r="E26">
        <v>14</v>
      </c>
      <c r="F26">
        <v>13</v>
      </c>
      <c r="G26">
        <f>SUM(D26:F26)</f>
        <v>42</v>
      </c>
    </row>
    <row r="27" spans="1:7" outlineLevel="1" x14ac:dyDescent="0.15">
      <c r="A27" s="11" t="s">
        <v>61</v>
      </c>
      <c r="D27">
        <f>SUBTOTAL(4,D22:D26)</f>
        <v>15</v>
      </c>
      <c r="E27">
        <f>SUBTOTAL(4,E22:E26)</f>
        <v>15</v>
      </c>
      <c r="F27">
        <f>SUBTOTAL(4,F22:F26)</f>
        <v>15</v>
      </c>
    </row>
    <row r="28" spans="1:7" x14ac:dyDescent="0.15">
      <c r="A28" s="11" t="s">
        <v>62</v>
      </c>
      <c r="D28">
        <f>SUBTOTAL(4,D2:D26)</f>
        <v>15</v>
      </c>
      <c r="E28">
        <f>SUBTOTAL(4,E2:E26)</f>
        <v>15</v>
      </c>
      <c r="F28">
        <f>SUBTOTAL(4,F2:F26)</f>
        <v>15</v>
      </c>
    </row>
  </sheetData>
  <sortState ref="A2:G24">
    <sortCondition ref="A2:A24" customList="五(一)班,五(二)班,五(三)班"/>
    <sortCondition ref="G2:G24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E11" sqref="E11"/>
    </sheetView>
  </sheetViews>
  <sheetFormatPr defaultRowHeight="14.25" x14ac:dyDescent="0.15"/>
  <sheetData>
    <row r="1" spans="1:7" x14ac:dyDescent="0.15">
      <c r="A1" t="s">
        <v>63</v>
      </c>
      <c r="B1" t="s">
        <v>64</v>
      </c>
      <c r="C1" t="s">
        <v>65</v>
      </c>
    </row>
    <row r="2" spans="1:7" x14ac:dyDescent="0.15">
      <c r="A2" t="s">
        <v>66</v>
      </c>
      <c r="B2" t="s">
        <v>66</v>
      </c>
      <c r="C2" t="s">
        <v>66</v>
      </c>
    </row>
    <row r="6" spans="1:7" x14ac:dyDescent="0.15">
      <c r="A6" t="s">
        <v>51</v>
      </c>
      <c r="B6" t="s">
        <v>0</v>
      </c>
      <c r="C6" t="s">
        <v>56</v>
      </c>
      <c r="D6" t="s">
        <v>2</v>
      </c>
      <c r="E6" t="s">
        <v>1</v>
      </c>
      <c r="F6" t="s">
        <v>3</v>
      </c>
      <c r="G6" t="s">
        <v>4</v>
      </c>
    </row>
    <row r="7" spans="1:7" x14ac:dyDescent="0.15">
      <c r="A7" t="s">
        <v>52</v>
      </c>
      <c r="B7" t="s">
        <v>20</v>
      </c>
      <c r="C7" t="s">
        <v>46</v>
      </c>
      <c r="D7">
        <v>10</v>
      </c>
      <c r="E7">
        <v>13</v>
      </c>
      <c r="F7">
        <v>15</v>
      </c>
      <c r="G7">
        <v>38</v>
      </c>
    </row>
    <row r="8" spans="1:7" x14ac:dyDescent="0.15">
      <c r="A8" t="s">
        <v>55</v>
      </c>
      <c r="B8" t="s">
        <v>15</v>
      </c>
      <c r="C8" t="s">
        <v>42</v>
      </c>
      <c r="D8">
        <v>15</v>
      </c>
      <c r="E8">
        <v>14</v>
      </c>
      <c r="F8">
        <v>13</v>
      </c>
      <c r="G8">
        <v>42</v>
      </c>
    </row>
    <row r="9" spans="1:7" x14ac:dyDescent="0.15">
      <c r="A9" t="s">
        <v>53</v>
      </c>
      <c r="B9" t="s">
        <v>18</v>
      </c>
      <c r="C9" t="s">
        <v>45</v>
      </c>
      <c r="D9">
        <v>14</v>
      </c>
      <c r="E9">
        <v>15</v>
      </c>
      <c r="F9">
        <v>10</v>
      </c>
      <c r="G9">
        <v>39</v>
      </c>
    </row>
    <row r="10" spans="1:7" x14ac:dyDescent="0.15">
      <c r="A10" t="s">
        <v>53</v>
      </c>
      <c r="B10" t="s">
        <v>6</v>
      </c>
      <c r="C10" t="s">
        <v>29</v>
      </c>
      <c r="D10">
        <v>14</v>
      </c>
      <c r="E10">
        <v>12</v>
      </c>
      <c r="F10">
        <v>14</v>
      </c>
      <c r="G10">
        <v>40</v>
      </c>
    </row>
    <row r="11" spans="1:7" x14ac:dyDescent="0.15">
      <c r="A11" t="s">
        <v>54</v>
      </c>
      <c r="B11" t="s">
        <v>7</v>
      </c>
      <c r="C11" t="s">
        <v>30</v>
      </c>
      <c r="D11">
        <v>10</v>
      </c>
      <c r="E11">
        <v>13</v>
      </c>
      <c r="F11">
        <v>13</v>
      </c>
      <c r="G11">
        <v>36</v>
      </c>
    </row>
    <row r="12" spans="1:7" x14ac:dyDescent="0.15">
      <c r="A12" t="s">
        <v>53</v>
      </c>
      <c r="B12" t="s">
        <v>23</v>
      </c>
      <c r="C12" t="s">
        <v>48</v>
      </c>
      <c r="D12">
        <v>12</v>
      </c>
      <c r="E12">
        <v>15</v>
      </c>
      <c r="F12">
        <v>14</v>
      </c>
      <c r="G12">
        <v>41</v>
      </c>
    </row>
    <row r="13" spans="1:7" x14ac:dyDescent="0.15">
      <c r="A13" t="s">
        <v>53</v>
      </c>
      <c r="B13" t="s">
        <v>8</v>
      </c>
      <c r="C13" t="s">
        <v>39</v>
      </c>
      <c r="D13">
        <v>14</v>
      </c>
      <c r="E13">
        <v>10</v>
      </c>
      <c r="F13">
        <v>15</v>
      </c>
      <c r="G13">
        <v>39</v>
      </c>
    </row>
    <row r="14" spans="1:7" x14ac:dyDescent="0.15">
      <c r="A14" t="s">
        <v>54</v>
      </c>
      <c r="B14" t="s">
        <v>25</v>
      </c>
      <c r="C14" t="s">
        <v>50</v>
      </c>
      <c r="D14">
        <v>11</v>
      </c>
      <c r="E14">
        <v>15</v>
      </c>
      <c r="F14">
        <v>11</v>
      </c>
      <c r="G14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工作表</vt:lpstr>
      </vt:variant>
      <vt:variant>
        <vt:i4>5</vt:i4>
      </vt:variant>
      <vt:variant>
        <vt:lpstr>图表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8" baseType="lpstr">
      <vt:lpstr>五年级体育成绩表</vt:lpstr>
      <vt:lpstr>Sheet2</vt:lpstr>
      <vt:lpstr>Sheet3</vt:lpstr>
      <vt:lpstr>分类汇总</vt:lpstr>
      <vt:lpstr>筛选</vt:lpstr>
      <vt:lpstr>图表</vt:lpstr>
      <vt:lpstr>筛选!Criteria</vt:lpstr>
      <vt:lpstr>筛选!提取</vt:lpstr>
    </vt:vector>
  </TitlesOfParts>
  <Company>jsj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jsj</dc:creator>
  <cp:lastModifiedBy>SD</cp:lastModifiedBy>
  <dcterms:created xsi:type="dcterms:W3CDTF">2017-02-26T00:57:44Z</dcterms:created>
  <dcterms:modified xsi:type="dcterms:W3CDTF">2018-09-12T07:47:54Z</dcterms:modified>
</cp:coreProperties>
</file>