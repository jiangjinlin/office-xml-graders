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3230" windowHeight="5850" activeTab="3"/>
  </bookViews>
  <sheets>
    <sheet name="商品目录" sheetId="2" r:id="rId1"/>
    <sheet name="1月份" sheetId="3" r:id="rId2"/>
    <sheet name="2月份" sheetId="4" r:id="rId3"/>
    <sheet name="3月份" sheetId="5" r:id="rId4"/>
    <sheet name="一季度" sheetId="6" r:id="rId5"/>
  </sheets>
  <definedNames>
    <definedName name="_xlnm._FilterDatabase" localSheetId="2" hidden="1">'2月份'!$A$1:$D$11</definedName>
    <definedName name="_xlnm.Criteria" localSheetId="2">'2月份'!$A$15:$B$17</definedName>
    <definedName name="_xlnm.Extract" localSheetId="2">'2月份'!$B$20:$E$20</definedName>
  </definedNames>
  <calcPr calcId="144525"/>
</workbook>
</file>

<file path=xl/calcChain.xml><?xml version="1.0" encoding="utf-8"?>
<calcChain xmlns="http://schemas.openxmlformats.org/spreadsheetml/2006/main">
  <c r="B13" i="3" l="1"/>
  <c r="D16" i="2"/>
  <c r="D15" i="2"/>
  <c r="D12" i="2"/>
  <c r="D9" i="2"/>
  <c r="D6" i="2"/>
  <c r="D4" i="6"/>
  <c r="D5" i="6"/>
  <c r="D6" i="6"/>
  <c r="D7" i="6"/>
  <c r="D8" i="6"/>
  <c r="D9" i="6"/>
  <c r="D10" i="6"/>
  <c r="D11" i="6"/>
  <c r="D12" i="6"/>
  <c r="D3" i="6"/>
</calcChain>
</file>

<file path=xl/sharedStrings.xml><?xml version="1.0" encoding="utf-8"?>
<sst xmlns="http://schemas.openxmlformats.org/spreadsheetml/2006/main" count="206" uniqueCount="41">
  <si>
    <t>商品类别</t>
    <phoneticPr fontId="1" type="noConversion"/>
  </si>
  <si>
    <t>商品名</t>
    <phoneticPr fontId="1" type="noConversion"/>
  </si>
  <si>
    <t>单价</t>
    <phoneticPr fontId="1" type="noConversion"/>
  </si>
  <si>
    <t>日用品</t>
    <phoneticPr fontId="1" type="noConversion"/>
  </si>
  <si>
    <t>电器</t>
    <phoneticPr fontId="1" type="noConversion"/>
  </si>
  <si>
    <r>
      <t>电器</t>
    </r>
    <r>
      <rPr>
        <sz val="12"/>
        <rFont val="Times New Roman"/>
        <family val="1"/>
      </rPr>
      <t xml:space="preserve"> </t>
    </r>
    <phoneticPr fontId="1" type="noConversion"/>
  </si>
  <si>
    <t>女大衣</t>
    <phoneticPr fontId="1" type="noConversion"/>
  </si>
  <si>
    <t>热水瓶</t>
    <phoneticPr fontId="1" type="noConversion"/>
  </si>
  <si>
    <t>服装</t>
    <phoneticPr fontId="1" type="noConversion"/>
  </si>
  <si>
    <t>彩电</t>
    <phoneticPr fontId="1" type="noConversion"/>
  </si>
  <si>
    <r>
      <t>音响</t>
    </r>
    <r>
      <rPr>
        <sz val="12"/>
        <rFont val="Times New Roman"/>
        <family val="1"/>
      </rPr>
      <t xml:space="preserve"> </t>
    </r>
    <phoneticPr fontId="1" type="noConversion"/>
  </si>
  <si>
    <t>冰箱</t>
    <phoneticPr fontId="1" type="noConversion"/>
  </si>
  <si>
    <t>西装</t>
    <phoneticPr fontId="1" type="noConversion"/>
  </si>
  <si>
    <t>高压锅</t>
    <phoneticPr fontId="1" type="noConversion"/>
  </si>
  <si>
    <t>化妆品</t>
    <phoneticPr fontId="1" type="noConversion"/>
  </si>
  <si>
    <t>护肤霜</t>
    <phoneticPr fontId="1" type="noConversion"/>
  </si>
  <si>
    <t>洗发水</t>
    <phoneticPr fontId="1" type="noConversion"/>
  </si>
  <si>
    <t>空调</t>
    <phoneticPr fontId="1" type="noConversion"/>
  </si>
  <si>
    <t>商品编号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</si>
  <si>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</si>
  <si>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</si>
  <si>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</si>
  <si>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</si>
  <si>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</si>
  <si>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</si>
  <si>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</si>
  <si>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</si>
  <si>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</si>
  <si>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</si>
  <si>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销售数量</t>
    <phoneticPr fontId="1" type="noConversion"/>
  </si>
  <si>
    <t>含水商品名：</t>
    <phoneticPr fontId="1" type="noConversion"/>
  </si>
  <si>
    <t>一季度商品销售数量统计</t>
    <phoneticPr fontId="1" type="noConversion"/>
  </si>
  <si>
    <t>电器 平均值</t>
  </si>
  <si>
    <t>服装 平均值</t>
  </si>
  <si>
    <t>化妆品 平均值</t>
  </si>
  <si>
    <t>日用品 平均值</t>
  </si>
  <si>
    <t>总计平均值</t>
  </si>
  <si>
    <t>商品类别</t>
  </si>
  <si>
    <t>销售数量</t>
  </si>
  <si>
    <t>电器</t>
  </si>
  <si>
    <t>&gt;=45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</si>
</sst>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8"/>
      <color rgb="FFFF0000"/>
      <name val="隶书"/>
      <family val="3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FF0000"/>
      </left>
      <right style="thin">
        <color rgb="FF00B050"/>
      </right>
      <top style="double">
        <color rgb="FFFF000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FF0000"/>
      </top>
      <bottom style="thin">
        <color rgb="FF00B050"/>
      </bottom>
      <diagonal/>
    </border>
    <border>
      <left style="thin">
        <color rgb="FF00B050"/>
      </left>
      <right style="double">
        <color rgb="FFFF0000"/>
      </right>
      <top style="double">
        <color rgb="FFFF0000"/>
      </top>
      <bottom style="thin">
        <color rgb="FF00B050"/>
      </bottom>
      <diagonal/>
    </border>
    <border>
      <left style="double">
        <color rgb="FFFF000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double">
        <color rgb="FFFF0000"/>
      </right>
      <top style="thin">
        <color rgb="FF00B050"/>
      </top>
      <bottom style="thin">
        <color rgb="FF00B050"/>
      </bottom>
      <diagonal/>
    </border>
    <border>
      <left style="double">
        <color rgb="FFFF0000"/>
      </left>
      <right style="thin">
        <color rgb="FF00B050"/>
      </right>
      <top style="thin">
        <color rgb="FF00B050"/>
      </top>
      <bottom style="double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FF0000"/>
      </bottom>
      <diagonal/>
    </border>
    <border>
      <left style="thin">
        <color rgb="FF00B050"/>
      </left>
      <right style="double">
        <color rgb="FFFF0000"/>
      </right>
      <top style="thin">
        <color rgb="FF00B050"/>
      </top>
      <bottom style="double">
        <color rgb="FFFF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zh-CN" sz="1800" b="0" i="0" baseline="0">
                <a:effectLst/>
              </a:rPr>
              <a:t>各类商品销售统计图</a:t>
            </a:r>
            <a:endParaRPr lang="zh-CN" altLang="zh-CN">
              <a:effectLst/>
            </a:endParaRP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'3月份'!$D$1</c:f>
              <c:strCache>
                <c:ptCount val="1"/>
                <c:pt idx="0">
                  <c:v>销售数量</c:v>
                </c:pt>
              </c:strCache>
            </c:strRef>
          </c:tx>
          <c:cat>
            <c:strRef>
              <c:f>'3月份'!$B$1:$B$11</c:f>
              <c:strCache>
                <c:ptCount val="11"/>
                <c:pt idx="0">
                  <c:v>商品名</c:v>
                </c:pt>
                <c:pt idx="1">
                  <c:v>高压锅</c:v>
                </c:pt>
                <c:pt idx="2">
                  <c:v>冰箱</c:v>
                </c:pt>
                <c:pt idx="3">
                  <c:v>音响 </c:v>
                </c:pt>
                <c:pt idx="4">
                  <c:v>女大衣</c:v>
                </c:pt>
                <c:pt idx="5">
                  <c:v>彩电</c:v>
                </c:pt>
                <c:pt idx="6">
                  <c:v>热水瓶</c:v>
                </c:pt>
                <c:pt idx="7">
                  <c:v>西装</c:v>
                </c:pt>
                <c:pt idx="8">
                  <c:v>护肤霜</c:v>
                </c:pt>
                <c:pt idx="9">
                  <c:v>空调</c:v>
                </c:pt>
                <c:pt idx="10">
                  <c:v>洗发水</c:v>
                </c:pt>
              </c:strCache>
            </c:strRef>
          </c:cat>
          <c:val>
            <c:numRef>
              <c:f>'3月份'!$D$2:$D$11</c:f>
              <c:numCache>
                <c:formatCode>General</c:formatCode>
                <c:ptCount val="10"/>
                <c:pt idx="0">
                  <c:v>10</c:v>
                </c:pt>
                <c:pt idx="1">
                  <c:v>30</c:v>
                </c:pt>
                <c:pt idx="2">
                  <c:v>15</c:v>
                </c:pt>
                <c:pt idx="3">
                  <c:v>68</c:v>
                </c:pt>
                <c:pt idx="4">
                  <c:v>45</c:v>
                </c:pt>
                <c:pt idx="5">
                  <c:v>26</c:v>
                </c:pt>
                <c:pt idx="6">
                  <c:v>50</c:v>
                </c:pt>
                <c:pt idx="7">
                  <c:v>16</c:v>
                </c:pt>
                <c:pt idx="8">
                  <c:v>26</c:v>
                </c:pt>
                <c:pt idx="9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</xdr:colOff>
      <xdr:row>12</xdr:row>
      <xdr:rowOff>14287</xdr:rowOff>
    </xdr:from>
    <xdr:to>
      <xdr:col>6</xdr:col>
      <xdr:colOff>481012</xdr:colOff>
      <xdr:row>27</xdr:row>
      <xdr:rowOff>42862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33" sqref="A33"/>
    </sheetView>
  </sheetViews>
  <sheetFormatPr defaultRowHeight="14.25" outlineLevelRow="2" x14ac:dyDescent="0.15"/>
  <cols>
    <col min="1" max="1" width="13.875" bestFit="1" customWidth="1"/>
  </cols>
  <sheetData>
    <row r="1" spans="1:4" x14ac:dyDescent="0.15">
      <c r="A1" t="s">
        <v>18</v>
      </c>
      <c r="B1" t="s">
        <v>1</v>
      </c>
      <c r="C1" t="s">
        <v>0</v>
      </c>
      <c r="D1" t="s">
        <v>2</v>
      </c>
    </row>
    <row r="2" spans="1:4" outlineLevel="2" x14ac:dyDescent="0.15">
      <c r="A2" s="1" t="s">
        <v>20</v>
      </c>
      <c r="B2" t="s">
        <v>11</v>
      </c>
      <c r="C2" t="s">
        <v>4</v>
      </c>
      <c r="D2">
        <v>2780</v>
      </c>
    </row>
    <row r="3" spans="1:4" outlineLevel="2" x14ac:dyDescent="0.15">
      <c r="A3" s="1" t="s">
        <v>23</v>
      </c>
      <c r="B3" t="s">
        <v>9</v>
      </c>
      <c r="C3" t="s">
        <v>4</v>
      </c>
      <c r="D3">
        <v>3800</v>
      </c>
    </row>
    <row r="4" spans="1:4" outlineLevel="2" x14ac:dyDescent="0.15">
      <c r="A4" s="1" t="s">
        <v>27</v>
      </c>
      <c r="B4" t="s">
        <v>17</v>
      </c>
      <c r="C4" t="s">
        <v>4</v>
      </c>
      <c r="D4">
        <v>2800</v>
      </c>
    </row>
    <row r="5" spans="1:4" ht="15.75" outlineLevel="2" x14ac:dyDescent="0.25">
      <c r="A5" s="1" t="s">
        <v>21</v>
      </c>
      <c r="B5" t="s">
        <v>10</v>
      </c>
      <c r="C5" t="s">
        <v>5</v>
      </c>
      <c r="D5">
        <v>4200</v>
      </c>
    </row>
    <row r="6" spans="1:4" outlineLevel="1" x14ac:dyDescent="0.15">
      <c r="A6" s="1"/>
      <c r="C6" s="3" t="s">
        <v>32</v>
      </c>
      <c r="D6">
        <f>SUBTOTAL(1,D2:D5)</f>
        <v>3395</v>
      </c>
    </row>
    <row r="7" spans="1:4" outlineLevel="2" x14ac:dyDescent="0.15">
      <c r="A7" s="1" t="s">
        <v>22</v>
      </c>
      <c r="B7" t="s">
        <v>6</v>
      </c>
      <c r="C7" t="s">
        <v>8</v>
      </c>
      <c r="D7">
        <v>457</v>
      </c>
    </row>
    <row r="8" spans="1:4" outlineLevel="2" x14ac:dyDescent="0.15">
      <c r="A8" s="1" t="s">
        <v>25</v>
      </c>
      <c r="B8" t="s">
        <v>12</v>
      </c>
      <c r="C8" t="s">
        <v>8</v>
      </c>
      <c r="D8">
        <v>382</v>
      </c>
    </row>
    <row r="9" spans="1:4" outlineLevel="1" x14ac:dyDescent="0.15">
      <c r="A9" s="1"/>
      <c r="C9" s="3" t="s">
        <v>33</v>
      </c>
      <c r="D9">
        <f>SUBTOTAL(1,D7:D8)</f>
        <v>419.5</v>
      </c>
    </row>
    <row r="10" spans="1:4" outlineLevel="2" x14ac:dyDescent="0.15">
      <c r="A10" s="1" t="s">
        <v>26</v>
      </c>
      <c r="B10" t="s">
        <v>15</v>
      </c>
      <c r="C10" t="s">
        <v>14</v>
      </c>
      <c r="D10">
        <v>80</v>
      </c>
    </row>
    <row r="11" spans="1:4" outlineLevel="2" x14ac:dyDescent="0.15">
      <c r="A11" s="1" t="s">
        <v>28</v>
      </c>
      <c r="B11" t="s">
        <v>16</v>
      </c>
      <c r="C11" t="s">
        <v>14</v>
      </c>
      <c r="D11">
        <v>65</v>
      </c>
    </row>
    <row r="12" spans="1:4" outlineLevel="1" x14ac:dyDescent="0.15">
      <c r="A12" s="1"/>
      <c r="C12" s="3" t="s">
        <v>34</v>
      </c>
      <c r="D12">
        <f>SUBTOTAL(1,D10:D11)</f>
        <v>72.5</v>
      </c>
    </row>
    <row r="13" spans="1:4" outlineLevel="2" x14ac:dyDescent="0.15">
      <c r="A13" s="1" t="s">
        <v>19</v>
      </c>
      <c r="B13" t="s">
        <v>13</v>
      </c>
      <c r="C13" t="s">
        <v>3</v>
      </c>
      <c r="D13">
        <v>68</v>
      </c>
    </row>
    <row r="14" spans="1:4" outlineLevel="2" x14ac:dyDescent="0.15">
      <c r="A14" s="1" t="s">
        <v>24</v>
      </c>
      <c r="B14" t="s">
        <v>7</v>
      </c>
      <c r="C14" t="s">
        <v>3</v>
      </c>
      <c r="D14">
        <v>32</v>
      </c>
    </row>
    <row r="15" spans="1:4" outlineLevel="1" x14ac:dyDescent="0.15">
      <c r="A15" s="1"/>
      <c r="C15" s="3" t="s">
        <v>35</v>
      </c>
      <c r="D15">
        <f>SUBTOTAL(1,D13:D14)</f>
        <v>50</v>
      </c>
    </row>
    <row r="16" spans="1:4" x14ac:dyDescent="0.15">
      <c r="A16" s="1"/>
      <c r="C16" s="3" t="s">
        <v>36</v>
      </c>
      <c r="D16">
        <f>SUBTOTAL(1,D2:D14)</f>
        <v>1466.4</v>
      </c>
    </row>
  </sheetData>
  <sortState ref="A2:D11">
    <sortCondition ref="C2:C11"/>
  </sortState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F18" sqref="F18"/>
    </sheetView>
  </sheetViews>
  <sheetFormatPr defaultRowHeight="14.25" x14ac:dyDescent="0.15"/>
  <cols>
    <col min="1" max="1" width="13.875" bestFit="1" customWidth="1"/>
  </cols>
  <sheetData>
    <row r="1" spans="1:4" ht="15" thickTop="1" x14ac:dyDescent="0.15">
      <c r="A1" s="4" t="s">
        <v>18</v>
      </c>
      <c r="B1" s="5" t="s">
        <v>1</v>
      </c>
      <c r="C1" s="5" t="s">
        <v>0</v>
      </c>
      <c r="D1" s="6" t="s">
        <v>29</v>
      </c>
    </row>
    <row r="2" spans="1:4" x14ac:dyDescent="0.15">
      <c r="A2" s="7" t="s">
        <v>19</v>
      </c>
      <c r="B2" s="8" t="s">
        <v>13</v>
      </c>
      <c r="C2" s="8" t="s">
        <v>3</v>
      </c>
      <c r="D2" s="9">
        <v>10</v>
      </c>
    </row>
    <row r="3" spans="1:4" x14ac:dyDescent="0.15">
      <c r="A3" s="7" t="s">
        <v>20</v>
      </c>
      <c r="B3" s="8" t="s">
        <v>11</v>
      </c>
      <c r="C3" s="8" t="s">
        <v>4</v>
      </c>
      <c r="D3" s="9">
        <v>30</v>
      </c>
    </row>
    <row r="4" spans="1:4" ht="15.75" x14ac:dyDescent="0.15">
      <c r="A4" s="7" t="s">
        <v>21</v>
      </c>
      <c r="B4" s="8" t="s">
        <v>10</v>
      </c>
      <c r="C4" s="8" t="s">
        <v>5</v>
      </c>
      <c r="D4" s="9">
        <v>15</v>
      </c>
    </row>
    <row r="5" spans="1:4" x14ac:dyDescent="0.15">
      <c r="A5" s="7" t="s">
        <v>22</v>
      </c>
      <c r="B5" s="8" t="s">
        <v>6</v>
      </c>
      <c r="C5" s="8" t="s">
        <v>8</v>
      </c>
      <c r="D5" s="9">
        <v>60</v>
      </c>
    </row>
    <row r="6" spans="1:4" x14ac:dyDescent="0.15">
      <c r="A6" s="7" t="s">
        <v>23</v>
      </c>
      <c r="B6" s="8" t="s">
        <v>9</v>
      </c>
      <c r="C6" s="8" t="s">
        <v>4</v>
      </c>
      <c r="D6" s="9">
        <v>50</v>
      </c>
    </row>
    <row r="7" spans="1:4" x14ac:dyDescent="0.15">
      <c r="A7" s="7" t="s">
        <v>24</v>
      </c>
      <c r="B7" s="8" t="s">
        <v>7</v>
      </c>
      <c r="C7" s="8" t="s">
        <v>3</v>
      </c>
      <c r="D7" s="9">
        <v>40</v>
      </c>
    </row>
    <row r="8" spans="1:4" x14ac:dyDescent="0.15">
      <c r="A8" s="7" t="s">
        <v>25</v>
      </c>
      <c r="B8" s="8" t="s">
        <v>12</v>
      </c>
      <c r="C8" s="8" t="s">
        <v>8</v>
      </c>
      <c r="D8" s="9">
        <v>85</v>
      </c>
    </row>
    <row r="9" spans="1:4" x14ac:dyDescent="0.15">
      <c r="A9" s="7" t="s">
        <v>26</v>
      </c>
      <c r="B9" s="8" t="s">
        <v>15</v>
      </c>
      <c r="C9" s="8" t="s">
        <v>14</v>
      </c>
      <c r="D9" s="9">
        <v>12</v>
      </c>
    </row>
    <row r="10" spans="1:4" x14ac:dyDescent="0.15">
      <c r="A10" s="7" t="s">
        <v>27</v>
      </c>
      <c r="B10" s="8" t="s">
        <v>17</v>
      </c>
      <c r="C10" s="8" t="s">
        <v>4</v>
      </c>
      <c r="D10" s="9">
        <v>60</v>
      </c>
    </row>
    <row r="11" spans="1:4" x14ac:dyDescent="0.15">
      <c r="A11" s="7" t="s">
        <v>28</v>
      </c>
      <c r="B11" s="8" t="s">
        <v>16</v>
      </c>
      <c r="C11" s="8" t="s">
        <v>14</v>
      </c>
      <c r="D11" s="9">
        <v>45</v>
      </c>
    </row>
    <row r="12" spans="1:4" x14ac:dyDescent="0.15">
      <c r="A12" s="10"/>
      <c r="B12" s="8"/>
      <c r="C12" s="8"/>
      <c r="D12" s="9"/>
    </row>
    <row r="13" spans="1:4" ht="15" thickBot="1" x14ac:dyDescent="0.2">
      <c r="A13" s="11" t="s">
        <v>30</v>
      </c>
      <c r="B13" s="12">
        <f>COUNTIF(B2:B11,"*水*")</f>
        <v>2</v>
      </c>
      <c r="C13" s="12"/>
      <c r="D13" s="13"/>
    </row>
    <row r="14" spans="1:4" ht="15" thickTop="1" x14ac:dyDescent="0.15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I19" sqref="I19"/>
    </sheetView>
  </sheetViews>
  <sheetFormatPr defaultRowHeight="14.25" x14ac:dyDescent="0.15"/>
  <sheetData>
    <row r="1" spans="1:4" x14ac:dyDescent="0.15">
      <c r="A1" t="s">
        <v>18</v>
      </c>
      <c r="B1" t="s">
        <v>1</v>
      </c>
      <c r="C1" t="s">
        <v>0</v>
      </c>
      <c r="D1" t="s">
        <v>29</v>
      </c>
    </row>
    <row r="2" spans="1:4" x14ac:dyDescent="0.15">
      <c r="A2" s="1" t="s">
        <v>19</v>
      </c>
      <c r="B2" t="s">
        <v>13</v>
      </c>
      <c r="C2" t="s">
        <v>3</v>
      </c>
      <c r="D2">
        <v>5</v>
      </c>
    </row>
    <row r="3" spans="1:4" x14ac:dyDescent="0.15">
      <c r="A3" s="1" t="s">
        <v>20</v>
      </c>
      <c r="B3" t="s">
        <v>11</v>
      </c>
      <c r="C3" t="s">
        <v>4</v>
      </c>
      <c r="D3">
        <v>25</v>
      </c>
    </row>
    <row r="4" spans="1:4" ht="15.75" x14ac:dyDescent="0.25">
      <c r="A4" s="1" t="s">
        <v>21</v>
      </c>
      <c r="B4" t="s">
        <v>10</v>
      </c>
      <c r="C4" t="s">
        <v>5</v>
      </c>
      <c r="D4">
        <v>20</v>
      </c>
    </row>
    <row r="5" spans="1:4" x14ac:dyDescent="0.15">
      <c r="A5" s="1" t="s">
        <v>22</v>
      </c>
      <c r="B5" t="s">
        <v>6</v>
      </c>
      <c r="C5" t="s">
        <v>8</v>
      </c>
      <c r="D5">
        <v>45</v>
      </c>
    </row>
    <row r="6" spans="1:4" x14ac:dyDescent="0.15">
      <c r="A6" s="1" t="s">
        <v>23</v>
      </c>
      <c r="B6" t="s">
        <v>9</v>
      </c>
      <c r="C6" t="s">
        <v>4</v>
      </c>
      <c r="D6">
        <v>37</v>
      </c>
    </row>
    <row r="7" spans="1:4" x14ac:dyDescent="0.15">
      <c r="A7" s="1" t="s">
        <v>24</v>
      </c>
      <c r="B7" t="s">
        <v>7</v>
      </c>
      <c r="C7" t="s">
        <v>3</v>
      </c>
      <c r="D7">
        <v>10</v>
      </c>
    </row>
    <row r="8" spans="1:4" x14ac:dyDescent="0.15">
      <c r="A8" s="1" t="s">
        <v>25</v>
      </c>
      <c r="B8" t="s">
        <v>12</v>
      </c>
      <c r="C8" t="s">
        <v>8</v>
      </c>
      <c r="D8">
        <v>100</v>
      </c>
    </row>
    <row r="9" spans="1:4" x14ac:dyDescent="0.15">
      <c r="A9" s="1" t="s">
        <v>26</v>
      </c>
      <c r="B9" t="s">
        <v>15</v>
      </c>
      <c r="C9" t="s">
        <v>14</v>
      </c>
      <c r="D9">
        <v>10</v>
      </c>
    </row>
    <row r="10" spans="1:4" x14ac:dyDescent="0.15">
      <c r="A10" s="1" t="s">
        <v>27</v>
      </c>
      <c r="B10" t="s">
        <v>17</v>
      </c>
      <c r="C10" t="s">
        <v>4</v>
      </c>
      <c r="D10">
        <v>60</v>
      </c>
    </row>
    <row r="11" spans="1:4" x14ac:dyDescent="0.15">
      <c r="A11" s="1" t="s">
        <v>28</v>
      </c>
      <c r="B11" t="s">
        <v>16</v>
      </c>
      <c r="C11" t="s">
        <v>14</v>
      </c>
      <c r="D11">
        <v>45</v>
      </c>
    </row>
    <row r="15" spans="1:4" x14ac:dyDescent="0.15">
      <c r="A15" t="s">
        <v>37</v>
      </c>
      <c r="B15" t="s">
        <v>38</v>
      </c>
    </row>
    <row r="16" spans="1:4" x14ac:dyDescent="0.15">
      <c r="A16" t="s">
        <v>39</v>
      </c>
    </row>
    <row r="17" spans="2:5" x14ac:dyDescent="0.15">
      <c r="B17" t="s">
        <v>40</v>
      </c>
    </row>
    <row r="20" spans="2:5" x14ac:dyDescent="0.15">
      <c r="B20" t="s">
        <v>18</v>
      </c>
      <c r="C20" t="s">
        <v>1</v>
      </c>
      <c r="D20" t="s">
        <v>0</v>
      </c>
      <c r="E20" t="s">
        <v>29</v>
      </c>
    </row>
    <row r="21" spans="2:5" x14ac:dyDescent="0.15">
      <c r="B21" s="1" t="s">
        <v>20</v>
      </c>
      <c r="C21" t="s">
        <v>11</v>
      </c>
      <c r="D21" t="s">
        <v>4</v>
      </c>
      <c r="E21">
        <v>25</v>
      </c>
    </row>
    <row r="22" spans="2:5" ht="15.75" x14ac:dyDescent="0.25">
      <c r="B22" s="1" t="s">
        <v>21</v>
      </c>
      <c r="C22" t="s">
        <v>10</v>
      </c>
      <c r="D22" t="s">
        <v>5</v>
      </c>
      <c r="E22">
        <v>20</v>
      </c>
    </row>
    <row r="23" spans="2:5" x14ac:dyDescent="0.15">
      <c r="B23" s="1" t="s">
        <v>22</v>
      </c>
      <c r="C23" t="s">
        <v>6</v>
      </c>
      <c r="D23" t="s">
        <v>8</v>
      </c>
      <c r="E23">
        <v>45</v>
      </c>
    </row>
    <row r="24" spans="2:5" x14ac:dyDescent="0.15">
      <c r="B24" s="1" t="s">
        <v>23</v>
      </c>
      <c r="C24" t="s">
        <v>9</v>
      </c>
      <c r="D24" t="s">
        <v>4</v>
      </c>
      <c r="E24">
        <v>37</v>
      </c>
    </row>
    <row r="25" spans="2:5" x14ac:dyDescent="0.15">
      <c r="B25" s="1" t="s">
        <v>25</v>
      </c>
      <c r="C25" t="s">
        <v>12</v>
      </c>
      <c r="D25" t="s">
        <v>8</v>
      </c>
      <c r="E25">
        <v>100</v>
      </c>
    </row>
    <row r="26" spans="2:5" x14ac:dyDescent="0.15">
      <c r="B26" s="1" t="s">
        <v>27</v>
      </c>
      <c r="C26" t="s">
        <v>17</v>
      </c>
      <c r="D26" t="s">
        <v>4</v>
      </c>
      <c r="E26">
        <v>60</v>
      </c>
    </row>
    <row r="27" spans="2:5" x14ac:dyDescent="0.15">
      <c r="B27" s="1" t="s">
        <v>28</v>
      </c>
      <c r="C27" t="s">
        <v>16</v>
      </c>
      <c r="D27" t="s">
        <v>14</v>
      </c>
      <c r="E27">
        <v>45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J26" sqref="J26"/>
    </sheetView>
  </sheetViews>
  <sheetFormatPr defaultRowHeight="14.25" x14ac:dyDescent="0.15"/>
  <sheetData>
    <row r="1" spans="1:4" x14ac:dyDescent="0.15">
      <c r="A1" t="s">
        <v>18</v>
      </c>
      <c r="B1" t="s">
        <v>1</v>
      </c>
      <c r="C1" t="s">
        <v>0</v>
      </c>
      <c r="D1" t="s">
        <v>29</v>
      </c>
    </row>
    <row r="2" spans="1:4" x14ac:dyDescent="0.15">
      <c r="A2" s="1" t="s">
        <v>19</v>
      </c>
      <c r="B2" t="s">
        <v>13</v>
      </c>
      <c r="C2" t="s">
        <v>3</v>
      </c>
      <c r="D2">
        <v>10</v>
      </c>
    </row>
    <row r="3" spans="1:4" x14ac:dyDescent="0.15">
      <c r="A3" s="1" t="s">
        <v>20</v>
      </c>
      <c r="B3" t="s">
        <v>11</v>
      </c>
      <c r="C3" t="s">
        <v>4</v>
      </c>
      <c r="D3">
        <v>30</v>
      </c>
    </row>
    <row r="4" spans="1:4" ht="15.75" x14ac:dyDescent="0.25">
      <c r="A4" s="1" t="s">
        <v>21</v>
      </c>
      <c r="B4" t="s">
        <v>10</v>
      </c>
      <c r="C4" t="s">
        <v>5</v>
      </c>
      <c r="D4">
        <v>15</v>
      </c>
    </row>
    <row r="5" spans="1:4" x14ac:dyDescent="0.15">
      <c r="A5" s="1" t="s">
        <v>22</v>
      </c>
      <c r="B5" t="s">
        <v>6</v>
      </c>
      <c r="C5" t="s">
        <v>8</v>
      </c>
      <c r="D5">
        <v>68</v>
      </c>
    </row>
    <row r="6" spans="1:4" x14ac:dyDescent="0.15">
      <c r="A6" s="1" t="s">
        <v>23</v>
      </c>
      <c r="B6" t="s">
        <v>9</v>
      </c>
      <c r="C6" t="s">
        <v>4</v>
      </c>
      <c r="D6">
        <v>45</v>
      </c>
    </row>
    <row r="7" spans="1:4" x14ac:dyDescent="0.15">
      <c r="A7" s="1" t="s">
        <v>24</v>
      </c>
      <c r="B7" t="s">
        <v>7</v>
      </c>
      <c r="C7" t="s">
        <v>3</v>
      </c>
      <c r="D7">
        <v>26</v>
      </c>
    </row>
    <row r="8" spans="1:4" x14ac:dyDescent="0.15">
      <c r="A8" s="1" t="s">
        <v>25</v>
      </c>
      <c r="B8" t="s">
        <v>12</v>
      </c>
      <c r="C8" t="s">
        <v>8</v>
      </c>
      <c r="D8">
        <v>50</v>
      </c>
    </row>
    <row r="9" spans="1:4" x14ac:dyDescent="0.15">
      <c r="A9" s="1" t="s">
        <v>26</v>
      </c>
      <c r="B9" t="s">
        <v>15</v>
      </c>
      <c r="C9" t="s">
        <v>14</v>
      </c>
      <c r="D9">
        <v>16</v>
      </c>
    </row>
    <row r="10" spans="1:4" x14ac:dyDescent="0.15">
      <c r="A10" s="1" t="s">
        <v>27</v>
      </c>
      <c r="B10" t="s">
        <v>17</v>
      </c>
      <c r="C10" t="s">
        <v>4</v>
      </c>
      <c r="D10">
        <v>26</v>
      </c>
    </row>
    <row r="11" spans="1:4" x14ac:dyDescent="0.15">
      <c r="A11" s="1" t="s">
        <v>28</v>
      </c>
      <c r="B11" t="s">
        <v>16</v>
      </c>
      <c r="C11" t="s">
        <v>14</v>
      </c>
      <c r="D11">
        <v>32</v>
      </c>
    </row>
  </sheetData>
  <phoneticPr fontId="1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7" sqref="C17"/>
    </sheetView>
  </sheetViews>
  <sheetFormatPr defaultRowHeight="14.25" x14ac:dyDescent="0.15"/>
  <sheetData>
    <row r="1" spans="1:4" ht="30" customHeight="1" x14ac:dyDescent="0.15">
      <c r="A1" s="2" t="s">
        <v>31</v>
      </c>
      <c r="B1" s="2"/>
      <c r="C1" s="2"/>
      <c r="D1" s="2"/>
    </row>
    <row r="2" spans="1:4" x14ac:dyDescent="0.15">
      <c r="A2" t="s">
        <v>18</v>
      </c>
      <c r="B2" t="s">
        <v>1</v>
      </c>
      <c r="C2" t="s">
        <v>0</v>
      </c>
      <c r="D2" t="s">
        <v>29</v>
      </c>
    </row>
    <row r="3" spans="1:4" x14ac:dyDescent="0.15">
      <c r="A3" s="1" t="s">
        <v>19</v>
      </c>
      <c r="B3" t="s">
        <v>13</v>
      </c>
      <c r="C3" t="s">
        <v>3</v>
      </c>
      <c r="D3">
        <f>'1月份'!D2+'2月份'!D2+'3月份'!D2</f>
        <v>25</v>
      </c>
    </row>
    <row r="4" spans="1:4" x14ac:dyDescent="0.15">
      <c r="A4" s="1" t="s">
        <v>20</v>
      </c>
      <c r="B4" t="s">
        <v>11</v>
      </c>
      <c r="C4" t="s">
        <v>4</v>
      </c>
      <c r="D4">
        <f>'1月份'!D3+'2月份'!D3+'3月份'!D3</f>
        <v>85</v>
      </c>
    </row>
    <row r="5" spans="1:4" ht="15.75" x14ac:dyDescent="0.25">
      <c r="A5" s="1" t="s">
        <v>21</v>
      </c>
      <c r="B5" t="s">
        <v>10</v>
      </c>
      <c r="C5" t="s">
        <v>5</v>
      </c>
      <c r="D5">
        <f>'1月份'!D4+'2月份'!D4+'3月份'!D4</f>
        <v>50</v>
      </c>
    </row>
    <row r="6" spans="1:4" x14ac:dyDescent="0.15">
      <c r="A6" s="1" t="s">
        <v>22</v>
      </c>
      <c r="B6" t="s">
        <v>6</v>
      </c>
      <c r="C6" t="s">
        <v>8</v>
      </c>
      <c r="D6">
        <f>'1月份'!D5+'2月份'!D5+'3月份'!D5</f>
        <v>173</v>
      </c>
    </row>
    <row r="7" spans="1:4" x14ac:dyDescent="0.15">
      <c r="A7" s="1" t="s">
        <v>23</v>
      </c>
      <c r="B7" t="s">
        <v>9</v>
      </c>
      <c r="C7" t="s">
        <v>4</v>
      </c>
      <c r="D7">
        <f>'1月份'!D6+'2月份'!D6+'3月份'!D6</f>
        <v>132</v>
      </c>
    </row>
    <row r="8" spans="1:4" x14ac:dyDescent="0.15">
      <c r="A8" s="1" t="s">
        <v>24</v>
      </c>
      <c r="B8" t="s">
        <v>7</v>
      </c>
      <c r="C8" t="s">
        <v>3</v>
      </c>
      <c r="D8">
        <f>'1月份'!D7+'2月份'!D7+'3月份'!D7</f>
        <v>76</v>
      </c>
    </row>
    <row r="9" spans="1:4" x14ac:dyDescent="0.15">
      <c r="A9" s="1" t="s">
        <v>25</v>
      </c>
      <c r="B9" t="s">
        <v>12</v>
      </c>
      <c r="C9" t="s">
        <v>8</v>
      </c>
      <c r="D9">
        <f>'1月份'!D8+'2月份'!D8+'3月份'!D8</f>
        <v>235</v>
      </c>
    </row>
    <row r="10" spans="1:4" x14ac:dyDescent="0.15">
      <c r="A10" s="1" t="s">
        <v>26</v>
      </c>
      <c r="B10" t="s">
        <v>15</v>
      </c>
      <c r="C10" t="s">
        <v>14</v>
      </c>
      <c r="D10">
        <f>'1月份'!D9+'2月份'!D9+'3月份'!D9</f>
        <v>38</v>
      </c>
    </row>
    <row r="11" spans="1:4" x14ac:dyDescent="0.15">
      <c r="A11" s="1" t="s">
        <v>27</v>
      </c>
      <c r="B11" t="s">
        <v>17</v>
      </c>
      <c r="C11" t="s">
        <v>4</v>
      </c>
      <c r="D11">
        <f>'1月份'!D10+'2月份'!D10+'3月份'!D10</f>
        <v>146</v>
      </c>
    </row>
    <row r="12" spans="1:4" x14ac:dyDescent="0.15">
      <c r="A12" s="1" t="s">
        <v>28</v>
      </c>
      <c r="B12" t="s">
        <v>16</v>
      </c>
      <c r="C12" t="s">
        <v>14</v>
      </c>
      <c r="D12">
        <f>'1月份'!D11+'2月份'!D11+'3月份'!D11</f>
        <v>122</v>
      </c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商品目录</vt:lpstr>
      <vt:lpstr>1月份</vt:lpstr>
      <vt:lpstr>2月份</vt:lpstr>
      <vt:lpstr>3月份</vt:lpstr>
      <vt:lpstr>一季度</vt:lpstr>
      <vt:lpstr>'2月份'!Criteria</vt:lpstr>
      <vt:lpstr>'2月份'!提取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wwjt</cp:lastModifiedBy>
  <dcterms:created xsi:type="dcterms:W3CDTF">2001-11-20T10:25:52Z</dcterms:created>
  <dcterms:modified xsi:type="dcterms:W3CDTF">2018-10-18T06:12:26Z</dcterms:modified>
</cp:coreProperties>
</file>