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955" windowHeight="7965"/>
  </bookViews>
  <sheets>
    <sheet name="Sheet1" sheetId="1" r:id="rId1"/>
    <sheet name="部分学生语数英平均分" sheetId="4" r:id="rId2"/>
    <sheet name="Sheet2" sheetId="2" r:id="rId3"/>
    <sheet name="Sheet3" sheetId="3" r:id="rId4"/>
  </sheets>
  <definedNames>
    <definedName name="_xlnm.Criteria" localSheetId="2">Sheet2!$A$1:$B$3</definedName>
    <definedName name="_xlnm.Extract" localSheetId="2">Sheet2!$A$6:$I$6</definedName>
  </definedNames>
  <calcPr calcId="144525"/>
  <pivotCaches>
    <pivotCache cacheId="7" r:id="rId5"/>
  </pivotCaches>
</workbook>
</file>

<file path=xl/calcChain.xml><?xml version="1.0" encoding="utf-8"?>
<calcChain xmlns="http://schemas.openxmlformats.org/spreadsheetml/2006/main">
  <c r="C34" i="1" l="1"/>
  <c r="C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</calcChain>
</file>

<file path=xl/sharedStrings.xml><?xml version="1.0" encoding="utf-8"?>
<sst xmlns="http://schemas.openxmlformats.org/spreadsheetml/2006/main" count="144" uniqueCount="55">
  <si>
    <t>姓名</t>
  </si>
  <si>
    <t>性别</t>
  </si>
  <si>
    <t>语文</t>
  </si>
  <si>
    <t>数学</t>
  </si>
  <si>
    <t>英语</t>
  </si>
  <si>
    <t>物理</t>
  </si>
  <si>
    <t>化学</t>
  </si>
  <si>
    <t>政治</t>
  </si>
  <si>
    <t>胡晓兵</t>
  </si>
  <si>
    <t>男</t>
  </si>
  <si>
    <t>黄心迪</t>
  </si>
  <si>
    <t>女</t>
  </si>
  <si>
    <t>王欣雨</t>
  </si>
  <si>
    <t>程本基</t>
  </si>
  <si>
    <t>邵军</t>
  </si>
  <si>
    <t>陈新平</t>
  </si>
  <si>
    <t>刘彬彬</t>
  </si>
  <si>
    <t>吴健树</t>
  </si>
  <si>
    <t>李东敏</t>
  </si>
  <si>
    <t>金凯</t>
  </si>
  <si>
    <t>王海明</t>
  </si>
  <si>
    <t>李月玫</t>
  </si>
  <si>
    <t>张伟</t>
  </si>
  <si>
    <t>金亦坚</t>
  </si>
  <si>
    <t>陈水君</t>
  </si>
  <si>
    <t>何进</t>
  </si>
  <si>
    <t>朱宇强</t>
  </si>
  <si>
    <t>张长荣</t>
  </si>
  <si>
    <t>沈丽</t>
  </si>
  <si>
    <t>冯志林</t>
  </si>
  <si>
    <t>周文萍</t>
  </si>
  <si>
    <t>徐君秀</t>
  </si>
  <si>
    <t>陈云竹</t>
  </si>
  <si>
    <t>高宝根</t>
  </si>
  <si>
    <t>陈小狗</t>
  </si>
  <si>
    <t>陈弦</t>
  </si>
  <si>
    <t>毛阿敏</t>
  </si>
  <si>
    <t>张云</t>
  </si>
  <si>
    <t>白雪</t>
  </si>
  <si>
    <t>王大刚</t>
  </si>
  <si>
    <t>女生均分：</t>
    <phoneticPr fontId="1" type="noConversion"/>
  </si>
  <si>
    <t>男生均分：</t>
    <phoneticPr fontId="1" type="noConversion"/>
  </si>
  <si>
    <t>平均分</t>
  </si>
  <si>
    <t>学生成绩统计</t>
    <phoneticPr fontId="1" type="noConversion"/>
  </si>
  <si>
    <t>&gt;=80</t>
  </si>
  <si>
    <t>陈*</t>
  </si>
  <si>
    <t>行标签</t>
  </si>
  <si>
    <t>总计</t>
  </si>
  <si>
    <t>列标签</t>
  </si>
  <si>
    <t>平均值项:语文汇总</t>
  </si>
  <si>
    <t>平均值项:语文</t>
  </si>
  <si>
    <t>平均值项:数学汇总</t>
  </si>
  <si>
    <t>平均值项:数学</t>
  </si>
  <si>
    <t>平均值项:英语汇总</t>
  </si>
  <si>
    <t>平均值项:英语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</si>
</sst>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;[Red]0.0"/>
    <numFmt numFmtId="177" formatCode="0.00;[Red]0.00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8"/>
      <color rgb="FFFFC000"/>
      <name val="华文中宋"/>
      <family val="3"/>
      <charset val="134"/>
    </font>
    <font>
      <b/>
      <sz val="16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ck">
        <color rgb="FF00B0F0"/>
      </left>
      <right style="thin">
        <color rgb="FFFF0000"/>
      </right>
      <top style="thick">
        <color rgb="FF00B0F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ck">
        <color rgb="FF00B0F0"/>
      </top>
      <bottom style="thin">
        <color rgb="FFFF0000"/>
      </bottom>
      <diagonal/>
    </border>
    <border>
      <left style="thin">
        <color rgb="FFFF0000"/>
      </left>
      <right style="thick">
        <color rgb="FF00B0F0"/>
      </right>
      <top style="thick">
        <color rgb="FF00B0F0"/>
      </top>
      <bottom style="thin">
        <color rgb="FFFF0000"/>
      </bottom>
      <diagonal/>
    </border>
    <border>
      <left style="thick">
        <color rgb="FF00B0F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00B0F0"/>
      </right>
      <top style="thin">
        <color rgb="FFFF0000"/>
      </top>
      <bottom style="thin">
        <color rgb="FFFF0000"/>
      </bottom>
      <diagonal/>
    </border>
    <border>
      <left style="thick">
        <color rgb="FF00B0F0"/>
      </left>
      <right style="thin">
        <color rgb="FFFF0000"/>
      </right>
      <top style="thin">
        <color rgb="FFFF0000"/>
      </top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00B0F0"/>
      </bottom>
      <diagonal/>
    </border>
    <border>
      <left style="thin">
        <color rgb="FFFF0000"/>
      </left>
      <right style="thick">
        <color rgb="FF00B0F0"/>
      </right>
      <top style="thin">
        <color rgb="FFFF0000"/>
      </top>
      <bottom style="thick">
        <color rgb="FF00B0F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77" fontId="3" fillId="0" borderId="0" xfId="0" applyNumberFormat="1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176" fontId="0" fillId="2" borderId="6" xfId="0" applyNumberFormat="1" applyFill="1" applyBorder="1">
      <alignment vertical="center"/>
    </xf>
    <xf numFmtId="1" fontId="0" fillId="2" borderId="4" xfId="0" applyNumberFormat="1" applyFill="1" applyBorder="1">
      <alignment vertical="center"/>
    </xf>
    <xf numFmtId="1" fontId="0" fillId="2" borderId="7" xfId="0" applyNumberFormat="1" applyFill="1" applyBorder="1">
      <alignment vertical="center"/>
    </xf>
    <xf numFmtId="0" fontId="0" fillId="2" borderId="8" xfId="0" applyFill="1" applyBorder="1">
      <alignment vertical="center"/>
    </xf>
    <xf numFmtId="176" fontId="0" fillId="2" borderId="9" xfId="0" applyNumberForma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wjt" refreshedDate="43392.411554398146" createdVersion="4" refreshedVersion="4" minRefreshableVersion="3" recordCount="15">
  <cacheSource type="worksheet">
    <worksheetSource ref="A6:I21" sheet="Sheet2"/>
  </cacheSource>
  <cacheFields count="9">
    <cacheField name="姓名" numFmtId="0">
      <sharedItems count="15">
        <s v="胡晓兵"/>
        <s v="邵军"/>
        <s v="陈新平"/>
        <s v="李月玫"/>
        <s v="张伟"/>
        <s v="金亦坚"/>
        <s v="陈水君"/>
        <s v="何进"/>
        <s v="朱宇强"/>
        <s v="徐君秀"/>
        <s v="陈云竹"/>
        <s v="高宝根"/>
        <s v="陈小狗"/>
        <s v="陈弦"/>
        <s v="毛阿敏"/>
      </sharedItems>
    </cacheField>
    <cacheField name="性别" numFmtId="0">
      <sharedItems count="2">
        <s v="男"/>
        <s v="女"/>
      </sharedItems>
    </cacheField>
    <cacheField name="语文" numFmtId="0">
      <sharedItems containsSemiMixedTypes="0" containsString="0" containsNumber="1" containsInteger="1" minValue="56" maxValue="98" count="13">
        <n v="87"/>
        <n v="84"/>
        <n v="68"/>
        <n v="88"/>
        <n v="76"/>
        <n v="65"/>
        <n v="66"/>
        <n v="78"/>
        <n v="90"/>
        <n v="56"/>
        <n v="98"/>
        <n v="80"/>
        <n v="95"/>
      </sharedItems>
    </cacheField>
    <cacheField name="数学" numFmtId="0">
      <sharedItems containsSemiMixedTypes="0" containsString="0" containsNumber="1" containsInteger="1" minValue="57" maxValue="96" count="10">
        <n v="82"/>
        <n v="89"/>
        <n v="92"/>
        <n v="57"/>
        <n v="90"/>
        <n v="75"/>
        <n v="94"/>
        <n v="70"/>
        <n v="96"/>
        <n v="80"/>
      </sharedItems>
    </cacheField>
    <cacheField name="英语" numFmtId="0">
      <sharedItems containsSemiMixedTypes="0" containsString="0" containsNumber="1" containsInteger="1" minValue="55" maxValue="97" count="10">
        <n v="82"/>
        <n v="93"/>
        <n v="66"/>
        <n v="67"/>
        <n v="55"/>
        <n v="97"/>
        <n v="87"/>
        <n v="90"/>
        <n v="94"/>
        <n v="95"/>
      </sharedItems>
    </cacheField>
    <cacheField name="物理" numFmtId="0">
      <sharedItems containsSemiMixedTypes="0" containsString="0" containsNumber="1" containsInteger="1" minValue="57" maxValue="94"/>
    </cacheField>
    <cacheField name="化学" numFmtId="0">
      <sharedItems containsSemiMixedTypes="0" containsString="0" containsNumber="1" containsInteger="1" minValue="55" maxValue="98"/>
    </cacheField>
    <cacheField name="政治" numFmtId="0">
      <sharedItems containsSemiMixedTypes="0" containsString="0" containsNumber="1" containsInteger="1" minValue="70" maxValue="99"/>
    </cacheField>
    <cacheField name="平均分" numFmtId="176">
      <sharedItems containsSemiMixedTypes="0" containsString="0" containsNumber="1" minValue="74.5" maxValue="90.333333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n v="89"/>
    <n v="92"/>
    <n v="88"/>
    <n v="86.666666666666671"/>
  </r>
  <r>
    <x v="1"/>
    <x v="0"/>
    <x v="1"/>
    <x v="1"/>
    <x v="1"/>
    <n v="86"/>
    <n v="94"/>
    <n v="96"/>
    <n v="90.333333333333329"/>
  </r>
  <r>
    <x v="2"/>
    <x v="1"/>
    <x v="2"/>
    <x v="2"/>
    <x v="2"/>
    <n v="74"/>
    <n v="72"/>
    <n v="83"/>
    <n v="75.833333333333329"/>
  </r>
  <r>
    <x v="3"/>
    <x v="1"/>
    <x v="0"/>
    <x v="1"/>
    <x v="1"/>
    <n v="86"/>
    <n v="55"/>
    <n v="75"/>
    <n v="80.833333333333329"/>
  </r>
  <r>
    <x v="4"/>
    <x v="1"/>
    <x v="3"/>
    <x v="2"/>
    <x v="2"/>
    <n v="74"/>
    <n v="88"/>
    <n v="99"/>
    <n v="84.5"/>
  </r>
  <r>
    <x v="5"/>
    <x v="0"/>
    <x v="4"/>
    <x v="1"/>
    <x v="3"/>
    <n v="87"/>
    <n v="86"/>
    <n v="95"/>
    <n v="83.333333333333329"/>
  </r>
  <r>
    <x v="6"/>
    <x v="1"/>
    <x v="5"/>
    <x v="3"/>
    <x v="4"/>
    <n v="94"/>
    <n v="78"/>
    <n v="98"/>
    <n v="74.5"/>
  </r>
  <r>
    <x v="7"/>
    <x v="1"/>
    <x v="6"/>
    <x v="4"/>
    <x v="5"/>
    <n v="88"/>
    <n v="88"/>
    <n v="92"/>
    <n v="86.833333333333329"/>
  </r>
  <r>
    <x v="8"/>
    <x v="0"/>
    <x v="7"/>
    <x v="5"/>
    <x v="6"/>
    <n v="88"/>
    <n v="84"/>
    <n v="86"/>
    <n v="83"/>
  </r>
  <r>
    <x v="9"/>
    <x v="1"/>
    <x v="8"/>
    <x v="6"/>
    <x v="5"/>
    <n v="76"/>
    <n v="65"/>
    <n v="78"/>
    <n v="83.333333333333329"/>
  </r>
  <r>
    <x v="10"/>
    <x v="1"/>
    <x v="9"/>
    <x v="7"/>
    <x v="7"/>
    <n v="65"/>
    <n v="98"/>
    <n v="70"/>
    <n v="74.833333333333329"/>
  </r>
  <r>
    <x v="11"/>
    <x v="0"/>
    <x v="10"/>
    <x v="1"/>
    <x v="8"/>
    <n v="76"/>
    <n v="65"/>
    <n v="98"/>
    <n v="86.666666666666671"/>
  </r>
  <r>
    <x v="12"/>
    <x v="0"/>
    <x v="11"/>
    <x v="8"/>
    <x v="7"/>
    <n v="57"/>
    <n v="78"/>
    <n v="86"/>
    <n v="81.166666666666671"/>
  </r>
  <r>
    <x v="13"/>
    <x v="1"/>
    <x v="8"/>
    <x v="9"/>
    <x v="7"/>
    <n v="89"/>
    <n v="65"/>
    <n v="89"/>
    <n v="83.833333333333329"/>
  </r>
  <r>
    <x v="14"/>
    <x v="0"/>
    <x v="12"/>
    <x v="4"/>
    <x v="9"/>
    <n v="92"/>
    <n v="79"/>
    <n v="80"/>
    <n v="88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7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5:J23" firstHeaderRow="1" firstDataRow="3" firstDataCol="1"/>
  <pivotFields count="9">
    <pivotField axis="axisRow" showAll="0">
      <items count="16">
        <item x="6"/>
        <item x="13"/>
        <item x="12"/>
        <item x="2"/>
        <item x="10"/>
        <item x="11"/>
        <item x="7"/>
        <item x="0"/>
        <item x="5"/>
        <item x="3"/>
        <item x="14"/>
        <item x="1"/>
        <item x="9"/>
        <item x="4"/>
        <item x="8"/>
        <item t="default"/>
      </items>
    </pivotField>
    <pivotField axis="axisCol" showAll="0">
      <items count="3">
        <item x="0"/>
        <item x="1"/>
        <item t="default"/>
      </items>
    </pivotField>
    <pivotField dataField="1" showAll="0" avgSubtotal="1">
      <items count="14">
        <item x="9"/>
        <item x="5"/>
        <item x="6"/>
        <item x="2"/>
        <item x="4"/>
        <item x="7"/>
        <item x="11"/>
        <item x="1"/>
        <item x="0"/>
        <item x="3"/>
        <item x="8"/>
        <item x="12"/>
        <item x="10"/>
        <item t="avg"/>
      </items>
    </pivotField>
    <pivotField dataField="1" showAll="0">
      <items count="11">
        <item x="3"/>
        <item x="7"/>
        <item x="5"/>
        <item x="9"/>
        <item x="0"/>
        <item x="1"/>
        <item x="4"/>
        <item x="2"/>
        <item x="6"/>
        <item x="8"/>
        <item t="default"/>
      </items>
    </pivotField>
    <pivotField dataField="1" showAll="0">
      <items count="11">
        <item x="4"/>
        <item x="2"/>
        <item x="3"/>
        <item x="0"/>
        <item x="6"/>
        <item x="7"/>
        <item x="1"/>
        <item x="8"/>
        <item x="9"/>
        <item x="5"/>
        <item t="default"/>
      </items>
    </pivotField>
    <pivotField showAll="0"/>
    <pivotField showAll="0"/>
    <pivotField showAll="0"/>
    <pivotField numFmtId="176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1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平均值项:语文" fld="2" subtotal="average" baseField="0" baseItem="14"/>
    <dataField name="平均值项:数学" fld="3" subtotal="average" baseField="0" baseItem="14"/>
    <dataField name="平均值项:英语" fld="4" subtotal="average" baseField="0" baseItem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K33" sqref="K33"/>
    </sheetView>
  </sheetViews>
  <sheetFormatPr defaultRowHeight="14.25" x14ac:dyDescent="0.15"/>
  <cols>
    <col min="3" max="3" width="9.25" bestFit="1" customWidth="1"/>
  </cols>
  <sheetData>
    <row r="1" spans="1:9" ht="26.1" customHeight="1" thickBot="1" x14ac:dyDescent="0.2">
      <c r="A1" s="1" t="s">
        <v>43</v>
      </c>
      <c r="B1" s="2"/>
      <c r="C1" s="2"/>
      <c r="D1" s="2"/>
      <c r="E1" s="2"/>
      <c r="F1" s="2"/>
      <c r="G1" s="2"/>
      <c r="H1" s="2"/>
      <c r="I1" s="2"/>
    </row>
    <row r="2" spans="1:9" ht="15" thickTop="1" x14ac:dyDescent="0.1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42</v>
      </c>
    </row>
    <row r="3" spans="1:9" x14ac:dyDescent="0.15">
      <c r="A3" s="7" t="s">
        <v>8</v>
      </c>
      <c r="B3" s="8" t="s">
        <v>9</v>
      </c>
      <c r="C3" s="8">
        <v>87</v>
      </c>
      <c r="D3" s="8">
        <v>82</v>
      </c>
      <c r="E3" s="8">
        <v>82</v>
      </c>
      <c r="F3" s="8">
        <v>89</v>
      </c>
      <c r="G3" s="8">
        <v>92</v>
      </c>
      <c r="H3" s="8">
        <v>88</v>
      </c>
      <c r="I3" s="9">
        <f>AVERAGE(C3:H3)</f>
        <v>86.666666666666671</v>
      </c>
    </row>
    <row r="4" spans="1:9" x14ac:dyDescent="0.15">
      <c r="A4" s="7" t="s">
        <v>10</v>
      </c>
      <c r="B4" s="8" t="s">
        <v>11</v>
      </c>
      <c r="C4" s="8">
        <v>74</v>
      </c>
      <c r="D4" s="8">
        <v>72</v>
      </c>
      <c r="E4" s="8">
        <v>70</v>
      </c>
      <c r="F4" s="8">
        <v>75</v>
      </c>
      <c r="G4" s="8">
        <v>67</v>
      </c>
      <c r="H4" s="8">
        <v>85</v>
      </c>
      <c r="I4" s="9">
        <f t="shared" ref="I4:I32" si="0">AVERAGE(C4:H4)</f>
        <v>73.833333333333329</v>
      </c>
    </row>
    <row r="5" spans="1:9" x14ac:dyDescent="0.15">
      <c r="A5" s="7" t="s">
        <v>12</v>
      </c>
      <c r="B5" s="8" t="s">
        <v>11</v>
      </c>
      <c r="C5" s="8">
        <v>21</v>
      </c>
      <c r="D5" s="8">
        <v>74</v>
      </c>
      <c r="E5" s="8">
        <v>73</v>
      </c>
      <c r="F5" s="8">
        <v>89</v>
      </c>
      <c r="G5" s="8">
        <v>72</v>
      </c>
      <c r="H5" s="8">
        <v>83</v>
      </c>
      <c r="I5" s="9">
        <f t="shared" si="0"/>
        <v>68.666666666666671</v>
      </c>
    </row>
    <row r="6" spans="1:9" x14ac:dyDescent="0.15">
      <c r="A6" s="7" t="s">
        <v>13</v>
      </c>
      <c r="B6" s="8" t="s">
        <v>9</v>
      </c>
      <c r="C6" s="8">
        <v>52</v>
      </c>
      <c r="D6" s="8">
        <v>40</v>
      </c>
      <c r="E6" s="8">
        <v>71</v>
      </c>
      <c r="F6" s="8">
        <v>57</v>
      </c>
      <c r="G6" s="8">
        <v>36</v>
      </c>
      <c r="H6" s="8">
        <v>57</v>
      </c>
      <c r="I6" s="9">
        <f t="shared" si="0"/>
        <v>52.166666666666664</v>
      </c>
    </row>
    <row r="7" spans="1:9" x14ac:dyDescent="0.15">
      <c r="A7" s="7" t="s">
        <v>14</v>
      </c>
      <c r="B7" s="8" t="s">
        <v>9</v>
      </c>
      <c r="C7" s="8">
        <v>84</v>
      </c>
      <c r="D7" s="8">
        <v>89</v>
      </c>
      <c r="E7" s="8">
        <v>93</v>
      </c>
      <c r="F7" s="8">
        <v>86</v>
      </c>
      <c r="G7" s="8">
        <v>94</v>
      </c>
      <c r="H7" s="8">
        <v>96</v>
      </c>
      <c r="I7" s="9">
        <f t="shared" si="0"/>
        <v>90.333333333333329</v>
      </c>
    </row>
    <row r="8" spans="1:9" x14ac:dyDescent="0.15">
      <c r="A8" s="7" t="s">
        <v>15</v>
      </c>
      <c r="B8" s="8" t="s">
        <v>11</v>
      </c>
      <c r="C8" s="8">
        <v>68</v>
      </c>
      <c r="D8" s="8">
        <v>92</v>
      </c>
      <c r="E8" s="8">
        <v>66</v>
      </c>
      <c r="F8" s="8">
        <v>74</v>
      </c>
      <c r="G8" s="8">
        <v>72</v>
      </c>
      <c r="H8" s="8">
        <v>83</v>
      </c>
      <c r="I8" s="9">
        <f t="shared" si="0"/>
        <v>75.833333333333329</v>
      </c>
    </row>
    <row r="9" spans="1:9" x14ac:dyDescent="0.15">
      <c r="A9" s="7" t="s">
        <v>16</v>
      </c>
      <c r="B9" s="8" t="s">
        <v>9</v>
      </c>
      <c r="C9" s="8">
        <v>62</v>
      </c>
      <c r="D9" s="8">
        <v>82</v>
      </c>
      <c r="E9" s="8">
        <v>72</v>
      </c>
      <c r="F9" s="8">
        <v>87</v>
      </c>
      <c r="G9" s="8">
        <v>75</v>
      </c>
      <c r="H9" s="8">
        <v>65</v>
      </c>
      <c r="I9" s="9">
        <f t="shared" si="0"/>
        <v>73.833333333333329</v>
      </c>
    </row>
    <row r="10" spans="1:9" x14ac:dyDescent="0.15">
      <c r="A10" s="7" t="s">
        <v>17</v>
      </c>
      <c r="B10" s="8" t="s">
        <v>9</v>
      </c>
      <c r="C10" s="8">
        <v>65</v>
      </c>
      <c r="D10" s="8">
        <v>52</v>
      </c>
      <c r="E10" s="8">
        <v>66</v>
      </c>
      <c r="F10" s="8">
        <v>86</v>
      </c>
      <c r="G10" s="8">
        <v>67</v>
      </c>
      <c r="H10" s="8">
        <v>53</v>
      </c>
      <c r="I10" s="9">
        <f t="shared" si="0"/>
        <v>64.833333333333329</v>
      </c>
    </row>
    <row r="11" spans="1:9" x14ac:dyDescent="0.15">
      <c r="A11" s="7" t="s">
        <v>18</v>
      </c>
      <c r="B11" s="8" t="s">
        <v>11</v>
      </c>
      <c r="C11" s="8">
        <v>50</v>
      </c>
      <c r="D11" s="8">
        <v>68</v>
      </c>
      <c r="E11" s="8">
        <v>70</v>
      </c>
      <c r="F11" s="8">
        <v>71</v>
      </c>
      <c r="G11" s="8">
        <v>84</v>
      </c>
      <c r="H11" s="8">
        <v>75</v>
      </c>
      <c r="I11" s="9">
        <f t="shared" si="0"/>
        <v>69.666666666666671</v>
      </c>
    </row>
    <row r="12" spans="1:9" x14ac:dyDescent="0.15">
      <c r="A12" s="7" t="s">
        <v>19</v>
      </c>
      <c r="B12" s="8" t="s">
        <v>11</v>
      </c>
      <c r="C12" s="8">
        <v>51</v>
      </c>
      <c r="D12" s="8">
        <v>74</v>
      </c>
      <c r="E12" s="8">
        <v>73</v>
      </c>
      <c r="F12" s="8">
        <v>89</v>
      </c>
      <c r="G12" s="8">
        <v>67</v>
      </c>
      <c r="H12" s="8">
        <v>60</v>
      </c>
      <c r="I12" s="9">
        <f t="shared" si="0"/>
        <v>69</v>
      </c>
    </row>
    <row r="13" spans="1:9" x14ac:dyDescent="0.15">
      <c r="A13" s="10" t="s">
        <v>20</v>
      </c>
      <c r="B13" s="8" t="s">
        <v>9</v>
      </c>
      <c r="C13" s="8">
        <v>65</v>
      </c>
      <c r="D13" s="8">
        <v>40</v>
      </c>
      <c r="E13" s="8">
        <v>71</v>
      </c>
      <c r="F13" s="8">
        <v>57</v>
      </c>
      <c r="G13" s="8">
        <v>55</v>
      </c>
      <c r="H13" s="8">
        <v>65</v>
      </c>
      <c r="I13" s="9">
        <f t="shared" si="0"/>
        <v>58.833333333333336</v>
      </c>
    </row>
    <row r="14" spans="1:9" x14ac:dyDescent="0.15">
      <c r="A14" s="10" t="s">
        <v>21</v>
      </c>
      <c r="B14" s="8" t="s">
        <v>11</v>
      </c>
      <c r="C14" s="8">
        <v>87</v>
      </c>
      <c r="D14" s="8">
        <v>89</v>
      </c>
      <c r="E14" s="8">
        <v>93</v>
      </c>
      <c r="F14" s="8">
        <v>86</v>
      </c>
      <c r="G14" s="8">
        <v>55</v>
      </c>
      <c r="H14" s="8">
        <v>75</v>
      </c>
      <c r="I14" s="9">
        <f t="shared" si="0"/>
        <v>80.833333333333329</v>
      </c>
    </row>
    <row r="15" spans="1:9" x14ac:dyDescent="0.15">
      <c r="A15" s="10" t="s">
        <v>22</v>
      </c>
      <c r="B15" s="8" t="s">
        <v>11</v>
      </c>
      <c r="C15" s="8">
        <v>88</v>
      </c>
      <c r="D15" s="8">
        <v>92</v>
      </c>
      <c r="E15" s="8">
        <v>66</v>
      </c>
      <c r="F15" s="8">
        <v>74</v>
      </c>
      <c r="G15" s="8">
        <v>88</v>
      </c>
      <c r="H15" s="8">
        <v>99</v>
      </c>
      <c r="I15" s="9">
        <f t="shared" si="0"/>
        <v>84.5</v>
      </c>
    </row>
    <row r="16" spans="1:9" x14ac:dyDescent="0.15">
      <c r="A16" s="10" t="s">
        <v>23</v>
      </c>
      <c r="B16" s="8" t="s">
        <v>9</v>
      </c>
      <c r="C16" s="8">
        <v>76</v>
      </c>
      <c r="D16" s="8">
        <v>89</v>
      </c>
      <c r="E16" s="8">
        <v>67</v>
      </c>
      <c r="F16" s="8">
        <v>87</v>
      </c>
      <c r="G16" s="8">
        <v>86</v>
      </c>
      <c r="H16" s="8">
        <v>95</v>
      </c>
      <c r="I16" s="9">
        <f t="shared" si="0"/>
        <v>83.333333333333329</v>
      </c>
    </row>
    <row r="17" spans="1:9" x14ac:dyDescent="0.15">
      <c r="A17" s="10" t="s">
        <v>24</v>
      </c>
      <c r="B17" s="8" t="s">
        <v>11</v>
      </c>
      <c r="C17" s="8">
        <v>65</v>
      </c>
      <c r="D17" s="8">
        <v>57</v>
      </c>
      <c r="E17" s="8">
        <v>55</v>
      </c>
      <c r="F17" s="8">
        <v>94</v>
      </c>
      <c r="G17" s="8">
        <v>78</v>
      </c>
      <c r="H17" s="8">
        <v>98</v>
      </c>
      <c r="I17" s="9">
        <f t="shared" si="0"/>
        <v>74.5</v>
      </c>
    </row>
    <row r="18" spans="1:9" x14ac:dyDescent="0.15">
      <c r="A18" s="10" t="s">
        <v>25</v>
      </c>
      <c r="B18" s="8" t="s">
        <v>11</v>
      </c>
      <c r="C18" s="8">
        <v>66</v>
      </c>
      <c r="D18" s="8">
        <v>90</v>
      </c>
      <c r="E18" s="8">
        <v>97</v>
      </c>
      <c r="F18" s="8">
        <v>88</v>
      </c>
      <c r="G18" s="8">
        <v>88</v>
      </c>
      <c r="H18" s="8">
        <v>92</v>
      </c>
      <c r="I18" s="9">
        <f t="shared" si="0"/>
        <v>86.833333333333329</v>
      </c>
    </row>
    <row r="19" spans="1:9" x14ac:dyDescent="0.15">
      <c r="A19" s="10" t="s">
        <v>26</v>
      </c>
      <c r="B19" s="8" t="s">
        <v>9</v>
      </c>
      <c r="C19" s="8">
        <v>78</v>
      </c>
      <c r="D19" s="8">
        <v>75</v>
      </c>
      <c r="E19" s="8">
        <v>87</v>
      </c>
      <c r="F19" s="8">
        <v>88</v>
      </c>
      <c r="G19" s="8">
        <v>84</v>
      </c>
      <c r="H19" s="8">
        <v>86</v>
      </c>
      <c r="I19" s="9">
        <f t="shared" si="0"/>
        <v>83</v>
      </c>
    </row>
    <row r="20" spans="1:9" x14ac:dyDescent="0.15">
      <c r="A20" s="10" t="s">
        <v>27</v>
      </c>
      <c r="B20" s="8" t="s">
        <v>9</v>
      </c>
      <c r="C20" s="8">
        <v>94</v>
      </c>
      <c r="D20" s="8">
        <v>90</v>
      </c>
      <c r="E20" s="8">
        <v>75</v>
      </c>
      <c r="F20" s="8">
        <v>55</v>
      </c>
      <c r="G20" s="8">
        <v>65</v>
      </c>
      <c r="H20" s="8">
        <v>76</v>
      </c>
      <c r="I20" s="9">
        <f t="shared" si="0"/>
        <v>75.833333333333329</v>
      </c>
    </row>
    <row r="21" spans="1:9" x14ac:dyDescent="0.15">
      <c r="A21" s="10" t="s">
        <v>28</v>
      </c>
      <c r="B21" s="8" t="s">
        <v>11</v>
      </c>
      <c r="C21" s="8">
        <v>34</v>
      </c>
      <c r="D21" s="8">
        <v>87</v>
      </c>
      <c r="E21" s="8">
        <v>76</v>
      </c>
      <c r="F21" s="8">
        <v>76</v>
      </c>
      <c r="G21" s="8">
        <v>87</v>
      </c>
      <c r="H21" s="8">
        <v>90</v>
      </c>
      <c r="I21" s="9">
        <f t="shared" si="0"/>
        <v>75</v>
      </c>
    </row>
    <row r="22" spans="1:9" x14ac:dyDescent="0.15">
      <c r="A22" s="10" t="s">
        <v>29</v>
      </c>
      <c r="B22" s="8" t="s">
        <v>11</v>
      </c>
      <c r="C22" s="8">
        <v>52</v>
      </c>
      <c r="D22" s="8">
        <v>67</v>
      </c>
      <c r="E22" s="8">
        <v>80</v>
      </c>
      <c r="F22" s="8">
        <v>90</v>
      </c>
      <c r="G22" s="8">
        <v>92</v>
      </c>
      <c r="H22" s="8">
        <v>95</v>
      </c>
      <c r="I22" s="9">
        <f t="shared" si="0"/>
        <v>79.333333333333329</v>
      </c>
    </row>
    <row r="23" spans="1:9" x14ac:dyDescent="0.15">
      <c r="A23" s="10" t="s">
        <v>30</v>
      </c>
      <c r="B23" s="8" t="s">
        <v>9</v>
      </c>
      <c r="C23" s="8">
        <v>60</v>
      </c>
      <c r="D23" s="8">
        <v>58</v>
      </c>
      <c r="E23" s="8">
        <v>75</v>
      </c>
      <c r="F23" s="8">
        <v>57</v>
      </c>
      <c r="G23" s="8">
        <v>78</v>
      </c>
      <c r="H23" s="8">
        <v>84</v>
      </c>
      <c r="I23" s="9">
        <f t="shared" si="0"/>
        <v>68.666666666666671</v>
      </c>
    </row>
    <row r="24" spans="1:9" x14ac:dyDescent="0.15">
      <c r="A24" s="10" t="s">
        <v>31</v>
      </c>
      <c r="B24" s="8" t="s">
        <v>11</v>
      </c>
      <c r="C24" s="8">
        <v>90</v>
      </c>
      <c r="D24" s="8">
        <v>94</v>
      </c>
      <c r="E24" s="8">
        <v>97</v>
      </c>
      <c r="F24" s="8">
        <v>76</v>
      </c>
      <c r="G24" s="8">
        <v>65</v>
      </c>
      <c r="H24" s="8">
        <v>78</v>
      </c>
      <c r="I24" s="9">
        <f t="shared" si="0"/>
        <v>83.333333333333329</v>
      </c>
    </row>
    <row r="25" spans="1:9" x14ac:dyDescent="0.15">
      <c r="A25" s="10" t="s">
        <v>32</v>
      </c>
      <c r="B25" s="8" t="s">
        <v>11</v>
      </c>
      <c r="C25" s="8">
        <v>56</v>
      </c>
      <c r="D25" s="8">
        <v>70</v>
      </c>
      <c r="E25" s="8">
        <v>90</v>
      </c>
      <c r="F25" s="8">
        <v>65</v>
      </c>
      <c r="G25" s="8">
        <v>98</v>
      </c>
      <c r="H25" s="8">
        <v>70</v>
      </c>
      <c r="I25" s="9">
        <f t="shared" si="0"/>
        <v>74.833333333333329</v>
      </c>
    </row>
    <row r="26" spans="1:9" x14ac:dyDescent="0.15">
      <c r="A26" s="10" t="s">
        <v>33</v>
      </c>
      <c r="B26" s="8" t="s">
        <v>9</v>
      </c>
      <c r="C26" s="8">
        <v>98</v>
      </c>
      <c r="D26" s="8">
        <v>89</v>
      </c>
      <c r="E26" s="8">
        <v>94</v>
      </c>
      <c r="F26" s="8">
        <v>76</v>
      </c>
      <c r="G26" s="8">
        <v>65</v>
      </c>
      <c r="H26" s="8">
        <v>98</v>
      </c>
      <c r="I26" s="9">
        <f t="shared" si="0"/>
        <v>86.666666666666671</v>
      </c>
    </row>
    <row r="27" spans="1:9" x14ac:dyDescent="0.15">
      <c r="A27" s="10" t="s">
        <v>34</v>
      </c>
      <c r="B27" s="8" t="s">
        <v>9</v>
      </c>
      <c r="C27" s="8">
        <v>80</v>
      </c>
      <c r="D27" s="8">
        <v>96</v>
      </c>
      <c r="E27" s="8">
        <v>90</v>
      </c>
      <c r="F27" s="8">
        <v>57</v>
      </c>
      <c r="G27" s="8">
        <v>78</v>
      </c>
      <c r="H27" s="8">
        <v>86</v>
      </c>
      <c r="I27" s="9">
        <f t="shared" si="0"/>
        <v>81.166666666666671</v>
      </c>
    </row>
    <row r="28" spans="1:9" x14ac:dyDescent="0.15">
      <c r="A28" s="10" t="s">
        <v>35</v>
      </c>
      <c r="B28" s="8" t="s">
        <v>11</v>
      </c>
      <c r="C28" s="8">
        <v>90</v>
      </c>
      <c r="D28" s="8">
        <v>80</v>
      </c>
      <c r="E28" s="8">
        <v>90</v>
      </c>
      <c r="F28" s="8">
        <v>89</v>
      </c>
      <c r="G28" s="8">
        <v>65</v>
      </c>
      <c r="H28" s="8">
        <v>89</v>
      </c>
      <c r="I28" s="9">
        <f t="shared" si="0"/>
        <v>83.833333333333329</v>
      </c>
    </row>
    <row r="29" spans="1:9" x14ac:dyDescent="0.15">
      <c r="A29" s="10" t="s">
        <v>36</v>
      </c>
      <c r="B29" s="8" t="s">
        <v>9</v>
      </c>
      <c r="C29" s="8">
        <v>95</v>
      </c>
      <c r="D29" s="8">
        <v>90</v>
      </c>
      <c r="E29" s="8">
        <v>95</v>
      </c>
      <c r="F29" s="8">
        <v>92</v>
      </c>
      <c r="G29" s="8">
        <v>79</v>
      </c>
      <c r="H29" s="8">
        <v>80</v>
      </c>
      <c r="I29" s="9">
        <f t="shared" si="0"/>
        <v>88.5</v>
      </c>
    </row>
    <row r="30" spans="1:9" x14ac:dyDescent="0.15">
      <c r="A30" s="10" t="s">
        <v>37</v>
      </c>
      <c r="B30" s="8" t="s">
        <v>11</v>
      </c>
      <c r="C30" s="8">
        <v>87</v>
      </c>
      <c r="D30" s="8">
        <v>86</v>
      </c>
      <c r="E30" s="8">
        <v>43</v>
      </c>
      <c r="F30" s="8">
        <v>97</v>
      </c>
      <c r="G30" s="8">
        <v>26</v>
      </c>
      <c r="H30" s="8">
        <v>40</v>
      </c>
      <c r="I30" s="9">
        <f t="shared" si="0"/>
        <v>63.166666666666664</v>
      </c>
    </row>
    <row r="31" spans="1:9" x14ac:dyDescent="0.15">
      <c r="A31" s="10" t="s">
        <v>38</v>
      </c>
      <c r="B31" s="8" t="s">
        <v>11</v>
      </c>
      <c r="C31" s="8">
        <v>98</v>
      </c>
      <c r="D31" s="8">
        <v>23</v>
      </c>
      <c r="E31" s="8">
        <v>90</v>
      </c>
      <c r="F31" s="8">
        <v>65</v>
      </c>
      <c r="G31" s="8">
        <v>81</v>
      </c>
      <c r="H31" s="8">
        <v>87</v>
      </c>
      <c r="I31" s="9">
        <f t="shared" si="0"/>
        <v>74</v>
      </c>
    </row>
    <row r="32" spans="1:9" ht="15" thickBot="1" x14ac:dyDescent="0.2">
      <c r="A32" s="11" t="s">
        <v>39</v>
      </c>
      <c r="B32" s="12" t="s">
        <v>9</v>
      </c>
      <c r="C32" s="12">
        <v>88</v>
      </c>
      <c r="D32" s="12">
        <v>65</v>
      </c>
      <c r="E32" s="12">
        <v>58</v>
      </c>
      <c r="F32" s="12">
        <v>92</v>
      </c>
      <c r="G32" s="12">
        <v>54</v>
      </c>
      <c r="H32" s="12">
        <v>93</v>
      </c>
      <c r="I32" s="13">
        <f t="shared" si="0"/>
        <v>75</v>
      </c>
    </row>
    <row r="33" spans="2:3" ht="21" thickTop="1" x14ac:dyDescent="0.15">
      <c r="B33" t="s">
        <v>40</v>
      </c>
      <c r="C33" s="3">
        <f>SUMIF(B$3:B$32,"女",I$3:I$32)/COUNTIF(B$3:B$32,"女")</f>
        <v>76.072916666666671</v>
      </c>
    </row>
    <row r="34" spans="2:3" ht="20.25" x14ac:dyDescent="0.15">
      <c r="B34" t="s">
        <v>41</v>
      </c>
      <c r="C34" s="3">
        <f>SUMIF(B$3:B$32,"男",I$3:I$32)/COUNTIF(B$3:B$32,"男")</f>
        <v>76.345238095238088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23"/>
  <sheetViews>
    <sheetView workbookViewId="0">
      <selection activeCell="C29" sqref="C29"/>
    </sheetView>
  </sheetViews>
  <sheetFormatPr defaultRowHeight="14.25" x14ac:dyDescent="0.15"/>
  <cols>
    <col min="1" max="1" width="10.125" customWidth="1"/>
    <col min="2" max="7" width="16.25" customWidth="1"/>
    <col min="8" max="10" width="20.875" customWidth="1"/>
  </cols>
  <sheetData>
    <row r="5" spans="1:10" x14ac:dyDescent="0.15">
      <c r="B5" s="14" t="s">
        <v>48</v>
      </c>
    </row>
    <row r="6" spans="1:10" x14ac:dyDescent="0.15">
      <c r="B6" t="s">
        <v>9</v>
      </c>
      <c r="E6" t="s">
        <v>11</v>
      </c>
      <c r="H6" t="s">
        <v>49</v>
      </c>
      <c r="I6" t="s">
        <v>51</v>
      </c>
      <c r="J6" t="s">
        <v>53</v>
      </c>
    </row>
    <row r="7" spans="1:10" x14ac:dyDescent="0.15">
      <c r="A7" s="14" t="s">
        <v>46</v>
      </c>
      <c r="B7" t="s">
        <v>50</v>
      </c>
      <c r="C7" t="s">
        <v>52</v>
      </c>
      <c r="D7" t="s">
        <v>54</v>
      </c>
      <c r="E7" t="s">
        <v>50</v>
      </c>
      <c r="F7" t="s">
        <v>52</v>
      </c>
      <c r="G7" t="s">
        <v>54</v>
      </c>
    </row>
    <row r="8" spans="1:10" x14ac:dyDescent="0.15">
      <c r="A8" s="15" t="s">
        <v>24</v>
      </c>
      <c r="B8" s="16"/>
      <c r="C8" s="16"/>
      <c r="D8" s="16"/>
      <c r="E8" s="16">
        <v>65</v>
      </c>
      <c r="F8" s="16">
        <v>57</v>
      </c>
      <c r="G8" s="16">
        <v>55</v>
      </c>
      <c r="H8" s="16">
        <v>65</v>
      </c>
      <c r="I8" s="16">
        <v>57</v>
      </c>
      <c r="J8" s="16">
        <v>55</v>
      </c>
    </row>
    <row r="9" spans="1:10" x14ac:dyDescent="0.15">
      <c r="A9" s="15" t="s">
        <v>35</v>
      </c>
      <c r="B9" s="16"/>
      <c r="C9" s="16"/>
      <c r="D9" s="16"/>
      <c r="E9" s="16">
        <v>90</v>
      </c>
      <c r="F9" s="16">
        <v>80</v>
      </c>
      <c r="G9" s="16">
        <v>90</v>
      </c>
      <c r="H9" s="16">
        <v>90</v>
      </c>
      <c r="I9" s="16">
        <v>80</v>
      </c>
      <c r="J9" s="16">
        <v>90</v>
      </c>
    </row>
    <row r="10" spans="1:10" x14ac:dyDescent="0.15">
      <c r="A10" s="15" t="s">
        <v>34</v>
      </c>
      <c r="B10" s="16">
        <v>80</v>
      </c>
      <c r="C10" s="16">
        <v>96</v>
      </c>
      <c r="D10" s="16">
        <v>90</v>
      </c>
      <c r="E10" s="16"/>
      <c r="F10" s="16"/>
      <c r="G10" s="16"/>
      <c r="H10" s="16">
        <v>80</v>
      </c>
      <c r="I10" s="16">
        <v>96</v>
      </c>
      <c r="J10" s="16">
        <v>90</v>
      </c>
    </row>
    <row r="11" spans="1:10" x14ac:dyDescent="0.15">
      <c r="A11" s="15" t="s">
        <v>15</v>
      </c>
      <c r="B11" s="16"/>
      <c r="C11" s="16"/>
      <c r="D11" s="16"/>
      <c r="E11" s="16">
        <v>68</v>
      </c>
      <c r="F11" s="16">
        <v>92</v>
      </c>
      <c r="G11" s="16">
        <v>66</v>
      </c>
      <c r="H11" s="16">
        <v>68</v>
      </c>
      <c r="I11" s="16">
        <v>92</v>
      </c>
      <c r="J11" s="16">
        <v>66</v>
      </c>
    </row>
    <row r="12" spans="1:10" x14ac:dyDescent="0.15">
      <c r="A12" s="15" t="s">
        <v>32</v>
      </c>
      <c r="B12" s="16"/>
      <c r="C12" s="16"/>
      <c r="D12" s="16"/>
      <c r="E12" s="16">
        <v>56</v>
      </c>
      <c r="F12" s="16">
        <v>70</v>
      </c>
      <c r="G12" s="16">
        <v>90</v>
      </c>
      <c r="H12" s="16">
        <v>56</v>
      </c>
      <c r="I12" s="16">
        <v>70</v>
      </c>
      <c r="J12" s="16">
        <v>90</v>
      </c>
    </row>
    <row r="13" spans="1:10" x14ac:dyDescent="0.15">
      <c r="A13" s="15" t="s">
        <v>33</v>
      </c>
      <c r="B13" s="16">
        <v>98</v>
      </c>
      <c r="C13" s="16">
        <v>89</v>
      </c>
      <c r="D13" s="16">
        <v>94</v>
      </c>
      <c r="E13" s="16"/>
      <c r="F13" s="16"/>
      <c r="G13" s="16"/>
      <c r="H13" s="16">
        <v>98</v>
      </c>
      <c r="I13" s="16">
        <v>89</v>
      </c>
      <c r="J13" s="16">
        <v>94</v>
      </c>
    </row>
    <row r="14" spans="1:10" x14ac:dyDescent="0.15">
      <c r="A14" s="15" t="s">
        <v>25</v>
      </c>
      <c r="B14" s="16"/>
      <c r="C14" s="16"/>
      <c r="D14" s="16"/>
      <c r="E14" s="16">
        <v>66</v>
      </c>
      <c r="F14" s="16">
        <v>90</v>
      </c>
      <c r="G14" s="16">
        <v>97</v>
      </c>
      <c r="H14" s="16">
        <v>66</v>
      </c>
      <c r="I14" s="16">
        <v>90</v>
      </c>
      <c r="J14" s="16">
        <v>97</v>
      </c>
    </row>
    <row r="15" spans="1:10" x14ac:dyDescent="0.15">
      <c r="A15" s="15" t="s">
        <v>8</v>
      </c>
      <c r="B15" s="16">
        <v>87</v>
      </c>
      <c r="C15" s="16">
        <v>82</v>
      </c>
      <c r="D15" s="16">
        <v>82</v>
      </c>
      <c r="E15" s="16"/>
      <c r="F15" s="16"/>
      <c r="G15" s="16"/>
      <c r="H15" s="16">
        <v>87</v>
      </c>
      <c r="I15" s="16">
        <v>82</v>
      </c>
      <c r="J15" s="16">
        <v>82</v>
      </c>
    </row>
    <row r="16" spans="1:10" x14ac:dyDescent="0.15">
      <c r="A16" s="15" t="s">
        <v>23</v>
      </c>
      <c r="B16" s="16">
        <v>76</v>
      </c>
      <c r="C16" s="16">
        <v>89</v>
      </c>
      <c r="D16" s="16">
        <v>67</v>
      </c>
      <c r="E16" s="16"/>
      <c r="F16" s="16"/>
      <c r="G16" s="16"/>
      <c r="H16" s="16">
        <v>76</v>
      </c>
      <c r="I16" s="16">
        <v>89</v>
      </c>
      <c r="J16" s="16">
        <v>67</v>
      </c>
    </row>
    <row r="17" spans="1:10" x14ac:dyDescent="0.15">
      <c r="A17" s="15" t="s">
        <v>21</v>
      </c>
      <c r="B17" s="16"/>
      <c r="C17" s="16"/>
      <c r="D17" s="16"/>
      <c r="E17" s="16">
        <v>87</v>
      </c>
      <c r="F17" s="16">
        <v>89</v>
      </c>
      <c r="G17" s="16">
        <v>93</v>
      </c>
      <c r="H17" s="16">
        <v>87</v>
      </c>
      <c r="I17" s="16">
        <v>89</v>
      </c>
      <c r="J17" s="16">
        <v>93</v>
      </c>
    </row>
    <row r="18" spans="1:10" x14ac:dyDescent="0.15">
      <c r="A18" s="15" t="s">
        <v>36</v>
      </c>
      <c r="B18" s="16">
        <v>95</v>
      </c>
      <c r="C18" s="16">
        <v>90</v>
      </c>
      <c r="D18" s="16">
        <v>95</v>
      </c>
      <c r="E18" s="16"/>
      <c r="F18" s="16"/>
      <c r="G18" s="16"/>
      <c r="H18" s="16">
        <v>95</v>
      </c>
      <c r="I18" s="16">
        <v>90</v>
      </c>
      <c r="J18" s="16">
        <v>95</v>
      </c>
    </row>
    <row r="19" spans="1:10" x14ac:dyDescent="0.15">
      <c r="A19" s="15" t="s">
        <v>14</v>
      </c>
      <c r="B19" s="16">
        <v>84</v>
      </c>
      <c r="C19" s="16">
        <v>89</v>
      </c>
      <c r="D19" s="16">
        <v>93</v>
      </c>
      <c r="E19" s="16"/>
      <c r="F19" s="16"/>
      <c r="G19" s="16"/>
      <c r="H19" s="16">
        <v>84</v>
      </c>
      <c r="I19" s="16">
        <v>89</v>
      </c>
      <c r="J19" s="16">
        <v>93</v>
      </c>
    </row>
    <row r="20" spans="1:10" x14ac:dyDescent="0.15">
      <c r="A20" s="15" t="s">
        <v>31</v>
      </c>
      <c r="B20" s="16"/>
      <c r="C20" s="16"/>
      <c r="D20" s="16"/>
      <c r="E20" s="16">
        <v>90</v>
      </c>
      <c r="F20" s="16">
        <v>94</v>
      </c>
      <c r="G20" s="16">
        <v>97</v>
      </c>
      <c r="H20" s="16">
        <v>90</v>
      </c>
      <c r="I20" s="16">
        <v>94</v>
      </c>
      <c r="J20" s="16">
        <v>97</v>
      </c>
    </row>
    <row r="21" spans="1:10" x14ac:dyDescent="0.15">
      <c r="A21" s="15" t="s">
        <v>22</v>
      </c>
      <c r="B21" s="16"/>
      <c r="C21" s="16"/>
      <c r="D21" s="16"/>
      <c r="E21" s="16">
        <v>88</v>
      </c>
      <c r="F21" s="16">
        <v>92</v>
      </c>
      <c r="G21" s="16">
        <v>66</v>
      </c>
      <c r="H21" s="16">
        <v>88</v>
      </c>
      <c r="I21" s="16">
        <v>92</v>
      </c>
      <c r="J21" s="16">
        <v>66</v>
      </c>
    </row>
    <row r="22" spans="1:10" x14ac:dyDescent="0.15">
      <c r="A22" s="15" t="s">
        <v>26</v>
      </c>
      <c r="B22" s="16">
        <v>78</v>
      </c>
      <c r="C22" s="16">
        <v>75</v>
      </c>
      <c r="D22" s="16">
        <v>87</v>
      </c>
      <c r="E22" s="16"/>
      <c r="F22" s="16"/>
      <c r="G22" s="16"/>
      <c r="H22" s="16">
        <v>78</v>
      </c>
      <c r="I22" s="16">
        <v>75</v>
      </c>
      <c r="J22" s="16">
        <v>87</v>
      </c>
    </row>
    <row r="23" spans="1:10" x14ac:dyDescent="0.15">
      <c r="A23" s="15" t="s">
        <v>47</v>
      </c>
      <c r="B23" s="16">
        <v>85.428571428571431</v>
      </c>
      <c r="C23" s="16">
        <v>87.142857142857139</v>
      </c>
      <c r="D23" s="16">
        <v>86.857142857142861</v>
      </c>
      <c r="E23" s="16">
        <v>76.25</v>
      </c>
      <c r="F23" s="16">
        <v>83</v>
      </c>
      <c r="G23" s="16">
        <v>81.75</v>
      </c>
      <c r="H23" s="16">
        <v>80.533333333333331</v>
      </c>
      <c r="I23" s="16">
        <v>84.933333333333337</v>
      </c>
      <c r="J23" s="16">
        <v>84.13333333333334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A6" sqref="A6:I21"/>
    </sheetView>
  </sheetViews>
  <sheetFormatPr defaultRowHeight="14.25" x14ac:dyDescent="0.15"/>
  <sheetData>
    <row r="1" spans="1:9" x14ac:dyDescent="0.15">
      <c r="A1" t="s">
        <v>42</v>
      </c>
      <c r="B1" t="s">
        <v>0</v>
      </c>
    </row>
    <row r="2" spans="1:9" x14ac:dyDescent="0.15">
      <c r="A2" t="s">
        <v>44</v>
      </c>
    </row>
    <row r="3" spans="1:9" x14ac:dyDescent="0.15">
      <c r="B3" t="s">
        <v>45</v>
      </c>
    </row>
    <row r="5" spans="1:9" ht="15" thickBot="1" x14ac:dyDescent="0.2"/>
    <row r="6" spans="1:9" ht="15" thickTop="1" x14ac:dyDescent="0.15">
      <c r="A6" s="4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6" t="s">
        <v>42</v>
      </c>
    </row>
    <row r="7" spans="1:9" x14ac:dyDescent="0.15">
      <c r="A7" s="7" t="s">
        <v>8</v>
      </c>
      <c r="B7" s="8" t="s">
        <v>9</v>
      </c>
      <c r="C7" s="8">
        <v>87</v>
      </c>
      <c r="D7" s="8">
        <v>82</v>
      </c>
      <c r="E7" s="8">
        <v>82</v>
      </c>
      <c r="F7" s="8">
        <v>89</v>
      </c>
      <c r="G7" s="8">
        <v>92</v>
      </c>
      <c r="H7" s="8">
        <v>88</v>
      </c>
      <c r="I7" s="9">
        <v>86.666666666666671</v>
      </c>
    </row>
    <row r="8" spans="1:9" x14ac:dyDescent="0.15">
      <c r="A8" s="7" t="s">
        <v>14</v>
      </c>
      <c r="B8" s="8" t="s">
        <v>9</v>
      </c>
      <c r="C8" s="8">
        <v>84</v>
      </c>
      <c r="D8" s="8">
        <v>89</v>
      </c>
      <c r="E8" s="8">
        <v>93</v>
      </c>
      <c r="F8" s="8">
        <v>86</v>
      </c>
      <c r="G8" s="8">
        <v>94</v>
      </c>
      <c r="H8" s="8">
        <v>96</v>
      </c>
      <c r="I8" s="9">
        <v>90.333333333333329</v>
      </c>
    </row>
    <row r="9" spans="1:9" x14ac:dyDescent="0.15">
      <c r="A9" s="7" t="s">
        <v>15</v>
      </c>
      <c r="B9" s="8" t="s">
        <v>11</v>
      </c>
      <c r="C9" s="8">
        <v>68</v>
      </c>
      <c r="D9" s="8">
        <v>92</v>
      </c>
      <c r="E9" s="8">
        <v>66</v>
      </c>
      <c r="F9" s="8">
        <v>74</v>
      </c>
      <c r="G9" s="8">
        <v>72</v>
      </c>
      <c r="H9" s="8">
        <v>83</v>
      </c>
      <c r="I9" s="9">
        <v>75.833333333333329</v>
      </c>
    </row>
    <row r="10" spans="1:9" x14ac:dyDescent="0.15">
      <c r="A10" s="10" t="s">
        <v>21</v>
      </c>
      <c r="B10" s="8" t="s">
        <v>11</v>
      </c>
      <c r="C10" s="8">
        <v>87</v>
      </c>
      <c r="D10" s="8">
        <v>89</v>
      </c>
      <c r="E10" s="8">
        <v>93</v>
      </c>
      <c r="F10" s="8">
        <v>86</v>
      </c>
      <c r="G10" s="8">
        <v>55</v>
      </c>
      <c r="H10" s="8">
        <v>75</v>
      </c>
      <c r="I10" s="9">
        <v>80.833333333333329</v>
      </c>
    </row>
    <row r="11" spans="1:9" x14ac:dyDescent="0.15">
      <c r="A11" s="10" t="s">
        <v>22</v>
      </c>
      <c r="B11" s="8" t="s">
        <v>11</v>
      </c>
      <c r="C11" s="8">
        <v>88</v>
      </c>
      <c r="D11" s="8">
        <v>92</v>
      </c>
      <c r="E11" s="8">
        <v>66</v>
      </c>
      <c r="F11" s="8">
        <v>74</v>
      </c>
      <c r="G11" s="8">
        <v>88</v>
      </c>
      <c r="H11" s="8">
        <v>99</v>
      </c>
      <c r="I11" s="9">
        <v>84.5</v>
      </c>
    </row>
    <row r="12" spans="1:9" x14ac:dyDescent="0.15">
      <c r="A12" s="10" t="s">
        <v>23</v>
      </c>
      <c r="B12" s="8" t="s">
        <v>9</v>
      </c>
      <c r="C12" s="8">
        <v>76</v>
      </c>
      <c r="D12" s="8">
        <v>89</v>
      </c>
      <c r="E12" s="8">
        <v>67</v>
      </c>
      <c r="F12" s="8">
        <v>87</v>
      </c>
      <c r="G12" s="8">
        <v>86</v>
      </c>
      <c r="H12" s="8">
        <v>95</v>
      </c>
      <c r="I12" s="9">
        <v>83.333333333333329</v>
      </c>
    </row>
    <row r="13" spans="1:9" x14ac:dyDescent="0.15">
      <c r="A13" s="10" t="s">
        <v>24</v>
      </c>
      <c r="B13" s="8" t="s">
        <v>11</v>
      </c>
      <c r="C13" s="8">
        <v>65</v>
      </c>
      <c r="D13" s="8">
        <v>57</v>
      </c>
      <c r="E13" s="8">
        <v>55</v>
      </c>
      <c r="F13" s="8">
        <v>94</v>
      </c>
      <c r="G13" s="8">
        <v>78</v>
      </c>
      <c r="H13" s="8">
        <v>98</v>
      </c>
      <c r="I13" s="9">
        <v>74.5</v>
      </c>
    </row>
    <row r="14" spans="1:9" x14ac:dyDescent="0.15">
      <c r="A14" s="10" t="s">
        <v>25</v>
      </c>
      <c r="B14" s="8" t="s">
        <v>11</v>
      </c>
      <c r="C14" s="8">
        <v>66</v>
      </c>
      <c r="D14" s="8">
        <v>90</v>
      </c>
      <c r="E14" s="8">
        <v>97</v>
      </c>
      <c r="F14" s="8">
        <v>88</v>
      </c>
      <c r="G14" s="8">
        <v>88</v>
      </c>
      <c r="H14" s="8">
        <v>92</v>
      </c>
      <c r="I14" s="9">
        <v>86.833333333333329</v>
      </c>
    </row>
    <row r="15" spans="1:9" x14ac:dyDescent="0.15">
      <c r="A15" s="10" t="s">
        <v>26</v>
      </c>
      <c r="B15" s="8" t="s">
        <v>9</v>
      </c>
      <c r="C15" s="8">
        <v>78</v>
      </c>
      <c r="D15" s="8">
        <v>75</v>
      </c>
      <c r="E15" s="8">
        <v>87</v>
      </c>
      <c r="F15" s="8">
        <v>88</v>
      </c>
      <c r="G15" s="8">
        <v>84</v>
      </c>
      <c r="H15" s="8">
        <v>86</v>
      </c>
      <c r="I15" s="9">
        <v>83</v>
      </c>
    </row>
    <row r="16" spans="1:9" x14ac:dyDescent="0.15">
      <c r="A16" s="10" t="s">
        <v>31</v>
      </c>
      <c r="B16" s="8" t="s">
        <v>11</v>
      </c>
      <c r="C16" s="8">
        <v>90</v>
      </c>
      <c r="D16" s="8">
        <v>94</v>
      </c>
      <c r="E16" s="8">
        <v>97</v>
      </c>
      <c r="F16" s="8">
        <v>76</v>
      </c>
      <c r="G16" s="8">
        <v>65</v>
      </c>
      <c r="H16" s="8">
        <v>78</v>
      </c>
      <c r="I16" s="9">
        <v>83.333333333333329</v>
      </c>
    </row>
    <row r="17" spans="1:9" x14ac:dyDescent="0.15">
      <c r="A17" s="10" t="s">
        <v>32</v>
      </c>
      <c r="B17" s="8" t="s">
        <v>11</v>
      </c>
      <c r="C17" s="8">
        <v>56</v>
      </c>
      <c r="D17" s="8">
        <v>70</v>
      </c>
      <c r="E17" s="8">
        <v>90</v>
      </c>
      <c r="F17" s="8">
        <v>65</v>
      </c>
      <c r="G17" s="8">
        <v>98</v>
      </c>
      <c r="H17" s="8">
        <v>70</v>
      </c>
      <c r="I17" s="9">
        <v>74.833333333333329</v>
      </c>
    </row>
    <row r="18" spans="1:9" x14ac:dyDescent="0.15">
      <c r="A18" s="10" t="s">
        <v>33</v>
      </c>
      <c r="B18" s="8" t="s">
        <v>9</v>
      </c>
      <c r="C18" s="8">
        <v>98</v>
      </c>
      <c r="D18" s="8">
        <v>89</v>
      </c>
      <c r="E18" s="8">
        <v>94</v>
      </c>
      <c r="F18" s="8">
        <v>76</v>
      </c>
      <c r="G18" s="8">
        <v>65</v>
      </c>
      <c r="H18" s="8">
        <v>98</v>
      </c>
      <c r="I18" s="9">
        <v>86.666666666666671</v>
      </c>
    </row>
    <row r="19" spans="1:9" x14ac:dyDescent="0.15">
      <c r="A19" s="10" t="s">
        <v>34</v>
      </c>
      <c r="B19" s="8" t="s">
        <v>9</v>
      </c>
      <c r="C19" s="8">
        <v>80</v>
      </c>
      <c r="D19" s="8">
        <v>96</v>
      </c>
      <c r="E19" s="8">
        <v>90</v>
      </c>
      <c r="F19" s="8">
        <v>57</v>
      </c>
      <c r="G19" s="8">
        <v>78</v>
      </c>
      <c r="H19" s="8">
        <v>86</v>
      </c>
      <c r="I19" s="9">
        <v>81.166666666666671</v>
      </c>
    </row>
    <row r="20" spans="1:9" x14ac:dyDescent="0.15">
      <c r="A20" s="10" t="s">
        <v>35</v>
      </c>
      <c r="B20" s="8" t="s">
        <v>11</v>
      </c>
      <c r="C20" s="8">
        <v>90</v>
      </c>
      <c r="D20" s="8">
        <v>80</v>
      </c>
      <c r="E20" s="8">
        <v>90</v>
      </c>
      <c r="F20" s="8">
        <v>89</v>
      </c>
      <c r="G20" s="8">
        <v>65</v>
      </c>
      <c r="H20" s="8">
        <v>89</v>
      </c>
      <c r="I20" s="9">
        <v>83.833333333333329</v>
      </c>
    </row>
    <row r="21" spans="1:9" x14ac:dyDescent="0.15">
      <c r="A21" s="10" t="s">
        <v>36</v>
      </c>
      <c r="B21" s="8" t="s">
        <v>9</v>
      </c>
      <c r="C21" s="8">
        <v>95</v>
      </c>
      <c r="D21" s="8">
        <v>90</v>
      </c>
      <c r="E21" s="8">
        <v>95</v>
      </c>
      <c r="F21" s="8">
        <v>92</v>
      </c>
      <c r="G21" s="8">
        <v>79</v>
      </c>
      <c r="H21" s="8">
        <v>80</v>
      </c>
      <c r="I21" s="9">
        <v>88.5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Sheet1</vt:lpstr>
      <vt:lpstr>部分学生语数英平均分</vt:lpstr>
      <vt:lpstr>Sheet2</vt:lpstr>
      <vt:lpstr>Sheet3</vt:lpstr>
      <vt:lpstr>Sheet2!Criteria</vt:lpstr>
      <vt:lpstr>Sheet2!提取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wwjt</cp:lastModifiedBy>
  <dcterms:created xsi:type="dcterms:W3CDTF">2013-03-03T06:32:15Z</dcterms:created>
  <dcterms:modified xsi:type="dcterms:W3CDTF">2018-10-19T01:59:22Z</dcterms:modified>
</cp:coreProperties>
</file>