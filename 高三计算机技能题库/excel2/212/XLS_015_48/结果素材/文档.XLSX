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Sheet1!$A$2:$H$32</definedName>
    <definedName name="_xlnm.Criteria" localSheetId="2">Sheet3!$A$1:$B$2</definedName>
    <definedName name="_xlnm.Extract" localSheetId="2">Sheet3!$A$6:$H$6</definedName>
  </definedNames>
  <calcPr calcId="144525"/>
</workbook>
</file>

<file path=xl/calcChain.xml><?xml version="1.0" encoding="utf-8"?>
<calcChain xmlns="http://schemas.openxmlformats.org/spreadsheetml/2006/main">
  <c r="H36" i="2" l="1"/>
  <c r="E36" i="2"/>
  <c r="H31" i="2"/>
  <c r="E31" i="2"/>
  <c r="H25" i="2"/>
  <c r="E25" i="2"/>
  <c r="H16" i="2"/>
  <c r="E16" i="2"/>
  <c r="H5" i="2"/>
  <c r="H37" i="2" s="1"/>
  <c r="E5" i="2"/>
  <c r="E37" i="2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</calcChain>
</file>

<file path=xl/sharedStrings.xml><?xml version="1.0" encoding="utf-8"?>
<sst xmlns="http://schemas.openxmlformats.org/spreadsheetml/2006/main" count="291" uniqueCount="130">
  <si>
    <t>部门</t>
    <phoneticPr fontId="1" type="noConversion"/>
  </si>
  <si>
    <t>编号</t>
    <phoneticPr fontId="1" type="noConversion"/>
  </si>
  <si>
    <t>姓名</t>
    <phoneticPr fontId="1" type="noConversion"/>
  </si>
  <si>
    <t>性别</t>
    <phoneticPr fontId="1" type="noConversion"/>
  </si>
  <si>
    <t>基本工资</t>
    <phoneticPr fontId="1" type="noConversion"/>
  </si>
  <si>
    <t>各项补帖</t>
    <phoneticPr fontId="1" type="noConversion"/>
  </si>
  <si>
    <t>工会费</t>
    <phoneticPr fontId="1" type="noConversion"/>
  </si>
  <si>
    <t>实发工资</t>
    <phoneticPr fontId="1" type="noConversion"/>
  </si>
  <si>
    <t>财务处</t>
    <phoneticPr fontId="1" type="noConversion"/>
  </si>
  <si>
    <t>王茵</t>
    <phoneticPr fontId="1" type="noConversion"/>
  </si>
  <si>
    <t>女</t>
    <phoneticPr fontId="1" type="noConversion"/>
  </si>
  <si>
    <t>朱一样</t>
    <phoneticPr fontId="1" type="noConversion"/>
  </si>
  <si>
    <t>男</t>
    <phoneticPr fontId="1" type="noConversion"/>
  </si>
  <si>
    <t>方虹</t>
    <phoneticPr fontId="1" type="noConversion"/>
  </si>
  <si>
    <t>人事处</t>
    <phoneticPr fontId="1" type="noConversion"/>
  </si>
  <si>
    <t>计算中心</t>
    <phoneticPr fontId="1" type="noConversion"/>
  </si>
  <si>
    <t>金丽雯</t>
    <phoneticPr fontId="1" type="noConversion"/>
  </si>
  <si>
    <t>林建伟</t>
    <phoneticPr fontId="1" type="noConversion"/>
  </si>
  <si>
    <t>吴贻</t>
    <phoneticPr fontId="1" type="noConversion"/>
  </si>
  <si>
    <t>教导处</t>
    <phoneticPr fontId="1" type="noConversion"/>
  </si>
  <si>
    <t>李瑞生</t>
    <phoneticPr fontId="1" type="noConversion"/>
  </si>
  <si>
    <t>徐建峰</t>
    <phoneticPr fontId="1" type="noConversion"/>
  </si>
  <si>
    <r>
      <t>王咏</t>
    </r>
    <r>
      <rPr>
        <sz val="9"/>
        <rFont val="Times New Roman"/>
        <family val="1"/>
      </rPr>
      <t xml:space="preserve"> </t>
    </r>
    <phoneticPr fontId="1" type="noConversion"/>
  </si>
  <si>
    <t>杜秋林</t>
    <phoneticPr fontId="1" type="noConversion"/>
  </si>
  <si>
    <t>综合处</t>
    <phoneticPr fontId="1" type="noConversion"/>
  </si>
  <si>
    <t>蒋湛</t>
    <phoneticPr fontId="1" type="noConversion"/>
  </si>
  <si>
    <t>丁伟</t>
    <phoneticPr fontId="1" type="noConversion"/>
  </si>
  <si>
    <t>冯晓钢</t>
    <phoneticPr fontId="1" type="noConversion"/>
  </si>
  <si>
    <t>赵建军</t>
    <phoneticPr fontId="1" type="noConversion"/>
  </si>
  <si>
    <t>赵悦</t>
    <phoneticPr fontId="1" type="noConversion"/>
  </si>
  <si>
    <t>陈莉</t>
    <phoneticPr fontId="1" type="noConversion"/>
  </si>
  <si>
    <t>王沁</t>
    <phoneticPr fontId="1" type="noConversion"/>
  </si>
  <si>
    <t>张扬</t>
    <phoneticPr fontId="1" type="noConversion"/>
  </si>
  <si>
    <t>吴强</t>
    <phoneticPr fontId="1" type="noConversion"/>
  </si>
  <si>
    <t>汤小怡</t>
    <phoneticPr fontId="1" type="noConversion"/>
  </si>
  <si>
    <t>何建强</t>
    <phoneticPr fontId="1" type="noConversion"/>
  </si>
  <si>
    <t>方芳</t>
    <phoneticPr fontId="1" type="noConversion"/>
  </si>
  <si>
    <t>林巍</t>
    <phoneticPr fontId="1" type="noConversion"/>
  </si>
  <si>
    <t>俞岚</t>
    <phoneticPr fontId="1" type="noConversion"/>
  </si>
  <si>
    <t>陈妍</t>
    <phoneticPr fontId="1" type="noConversion"/>
  </si>
  <si>
    <t>张晓林</t>
    <phoneticPr fontId="1" type="noConversion"/>
  </si>
  <si>
    <t>恽晖</t>
    <phoneticPr fontId="1" type="noConversion"/>
  </si>
  <si>
    <t>徐茜</t>
    <phoneticPr fontId="1" type="noConversion"/>
  </si>
  <si>
    <r>
      <t>沈晔</t>
    </r>
    <r>
      <rPr>
        <sz val="9"/>
        <rFont val="Times New Roman"/>
        <family val="1"/>
      </rPr>
      <t xml:space="preserve"> </t>
    </r>
    <phoneticPr fontId="1" type="noConversion"/>
  </si>
  <si>
    <t>001</t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</si>
  <si>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</si>
  <si>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</si>
  <si>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</si>
  <si>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</si>
  <si>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</si>
  <si>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</si>
  <si>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</si>
  <si>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</si>
  <si>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</si>
  <si>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</si>
  <si>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</si>
  <si>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</si>
  <si>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</si>
  <si>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</si>
  <si>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</si>
  <si>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</si>
  <si>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</si>
  <si>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</si>
  <si>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</si>
  <si>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</si>
  <si>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</si>
  <si>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</si>
  <si>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</si>
  <si>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</si>
  <si>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</si>
  <si>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</si>
  <si>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</si>
  <si>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</si>
  <si>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</si>
  <si>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</si>
  <si>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部门</t>
  </si>
  <si>
    <t>编号</t>
  </si>
  <si>
    <t>姓名</t>
  </si>
  <si>
    <t>性别</t>
  </si>
  <si>
    <t>基本工资</t>
  </si>
  <si>
    <t>各项补帖</t>
  </si>
  <si>
    <t>工会费</t>
  </si>
  <si>
    <t>实发工资</t>
  </si>
  <si>
    <t>财务处</t>
  </si>
  <si>
    <t>王茵</t>
  </si>
  <si>
    <t>女</t>
  </si>
  <si>
    <t>朱一样</t>
  </si>
  <si>
    <t>男</t>
  </si>
  <si>
    <t>方虹</t>
  </si>
  <si>
    <t>人事处</t>
  </si>
  <si>
    <t>韦唯</t>
  </si>
  <si>
    <t>计算中心</t>
  </si>
  <si>
    <t>金丽雯</t>
  </si>
  <si>
    <t>林建伟</t>
  </si>
  <si>
    <t>吴贻</t>
  </si>
  <si>
    <t>教导处</t>
  </si>
  <si>
    <t>李瑞生</t>
  </si>
  <si>
    <t>徐建峰</t>
  </si>
  <si>
    <t xml:space="preserve">王咏 </t>
  </si>
  <si>
    <t>杜秋林</t>
  </si>
  <si>
    <t>综合处</t>
  </si>
  <si>
    <t>蒋湛</t>
  </si>
  <si>
    <t>丁伟</t>
  </si>
  <si>
    <t>冯晓钢</t>
  </si>
  <si>
    <t>赵建军</t>
  </si>
  <si>
    <t>赵悦</t>
  </si>
  <si>
    <t>陈莉</t>
  </si>
  <si>
    <t>王沁</t>
  </si>
  <si>
    <t>张扬</t>
  </si>
  <si>
    <t>吴强</t>
  </si>
  <si>
    <t>汤小怡</t>
  </si>
  <si>
    <t>何建强</t>
  </si>
  <si>
    <t>方芳</t>
  </si>
  <si>
    <t>林巍</t>
  </si>
  <si>
    <t>俞岚</t>
  </si>
  <si>
    <t>陈妍</t>
  </si>
  <si>
    <t>张晓林</t>
  </si>
  <si>
    <t>恽晖</t>
  </si>
  <si>
    <t>徐茜</t>
  </si>
  <si>
    <t xml:space="preserve">沈晔 </t>
  </si>
  <si>
    <t>财务处 最大值</t>
  </si>
  <si>
    <t>计算中心 最大值</t>
  </si>
  <si>
    <t>教导处 最大值</t>
  </si>
  <si>
    <t>人事处 最大值</t>
  </si>
  <si>
    <t>综合处 最大值</t>
  </si>
  <si>
    <t>总计最大值</t>
  </si>
  <si>
    <t>韦唯</t>
    <phoneticPr fontId="1" type="noConversion"/>
  </si>
  <si>
    <t>某单位人员情况表</t>
    <phoneticPr fontId="1" type="noConversion"/>
  </si>
  <si>
    <t>&gt;1000</t>
    <phoneticPr fontId="1" type="noConversion"/>
  </si>
  <si>
    <t>&lt;=1000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</si>
</sst>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18"/>
      <color indexed="10"/>
      <name val="黑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10"/>
      </left>
      <right style="thin">
        <color indexed="12"/>
      </right>
      <top style="thick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ck">
        <color indexed="10"/>
      </top>
      <bottom style="thin">
        <color indexed="12"/>
      </bottom>
      <diagonal/>
    </border>
    <border>
      <left style="thin">
        <color indexed="12"/>
      </left>
      <right style="thick">
        <color indexed="10"/>
      </right>
      <top style="thick">
        <color indexed="10"/>
      </top>
      <bottom style="thin">
        <color indexed="12"/>
      </bottom>
      <diagonal/>
    </border>
    <border>
      <left style="thick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ck">
        <color indexed="10"/>
      </right>
      <top style="thin">
        <color indexed="12"/>
      </top>
      <bottom style="thin">
        <color indexed="12"/>
      </bottom>
      <diagonal/>
    </border>
    <border>
      <left style="thick">
        <color indexed="10"/>
      </left>
      <right style="thin">
        <color indexed="12"/>
      </right>
      <top style="thin">
        <color indexed="12"/>
      </top>
      <bottom style="thick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ck">
        <color indexed="10"/>
      </bottom>
      <diagonal/>
    </border>
    <border>
      <left style="thin">
        <color indexed="12"/>
      </left>
      <right style="thick">
        <color indexed="10"/>
      </right>
      <top style="thin">
        <color indexed="12"/>
      </top>
      <bottom style="thick">
        <color indexed="1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0" applyFont="1"/>
    <xf numFmtId="0" fontId="3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3"/>
  <sheetViews>
    <sheetView workbookViewId="0">
      <selection sqref="A1:H1"/>
    </sheetView>
  </sheetViews>
  <sheetFormatPr defaultRowHeight="14.25" x14ac:dyDescent="0.15"/>
  <sheetData>
    <row r="1" spans="1:8" ht="27.95" customHeight="1" thickBot="1" x14ac:dyDescent="0.2">
      <c r="A1" s="13" t="s">
        <v>127</v>
      </c>
      <c r="B1" s="13"/>
      <c r="C1" s="13"/>
      <c r="D1" s="13"/>
      <c r="E1" s="13"/>
      <c r="F1" s="13"/>
      <c r="G1" s="13"/>
      <c r="H1" s="13"/>
    </row>
    <row r="2" spans="1:8" ht="15" thickTop="1" x14ac:dyDescent="0.1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ht="15" x14ac:dyDescent="0.2">
      <c r="A3" s="4" t="s">
        <v>8</v>
      </c>
      <c r="B3" s="5" t="s">
        <v>45</v>
      </c>
      <c r="C3" s="6" t="s">
        <v>9</v>
      </c>
      <c r="D3" s="6" t="s">
        <v>10</v>
      </c>
      <c r="E3" s="6">
        <v>980</v>
      </c>
      <c r="F3" s="6">
        <v>78</v>
      </c>
      <c r="G3" s="6">
        <v>22</v>
      </c>
      <c r="H3" s="7">
        <f>E3+F3-G3</f>
        <v>1036</v>
      </c>
    </row>
    <row r="4" spans="1:8" ht="15" x14ac:dyDescent="0.2">
      <c r="A4" s="4" t="s">
        <v>8</v>
      </c>
      <c r="B4" s="5" t="s">
        <v>46</v>
      </c>
      <c r="C4" s="6" t="s">
        <v>11</v>
      </c>
      <c r="D4" s="6" t="s">
        <v>12</v>
      </c>
      <c r="E4" s="6">
        <v>650</v>
      </c>
      <c r="F4" s="6">
        <v>57</v>
      </c>
      <c r="G4" s="6">
        <v>12</v>
      </c>
      <c r="H4" s="7">
        <f t="shared" ref="H4:H32" si="0">E4+F4-G4</f>
        <v>695</v>
      </c>
    </row>
    <row r="5" spans="1:8" ht="15" x14ac:dyDescent="0.2">
      <c r="A5" s="4" t="s">
        <v>8</v>
      </c>
      <c r="B5" s="5" t="s">
        <v>47</v>
      </c>
      <c r="C5" s="6" t="s">
        <v>13</v>
      </c>
      <c r="D5" s="6" t="s">
        <v>10</v>
      </c>
      <c r="E5" s="6">
        <v>670</v>
      </c>
      <c r="F5" s="6">
        <v>89</v>
      </c>
      <c r="G5" s="6">
        <v>15</v>
      </c>
      <c r="H5" s="7">
        <f t="shared" si="0"/>
        <v>744</v>
      </c>
    </row>
    <row r="6" spans="1:8" ht="15" x14ac:dyDescent="0.2">
      <c r="A6" s="4" t="s">
        <v>14</v>
      </c>
      <c r="B6" s="5" t="s">
        <v>48</v>
      </c>
      <c r="C6" s="6" t="s">
        <v>126</v>
      </c>
      <c r="D6" s="6" t="s">
        <v>12</v>
      </c>
      <c r="E6" s="6">
        <v>1000</v>
      </c>
      <c r="F6" s="6">
        <v>73</v>
      </c>
      <c r="G6" s="6">
        <v>26</v>
      </c>
      <c r="H6" s="7">
        <f t="shared" si="0"/>
        <v>1047</v>
      </c>
    </row>
    <row r="7" spans="1:8" ht="15" x14ac:dyDescent="0.2">
      <c r="A7" s="4" t="s">
        <v>15</v>
      </c>
      <c r="B7" s="5" t="s">
        <v>49</v>
      </c>
      <c r="C7" s="6" t="s">
        <v>16</v>
      </c>
      <c r="D7" s="6" t="s">
        <v>10</v>
      </c>
      <c r="E7" s="6">
        <v>1200</v>
      </c>
      <c r="F7" s="6">
        <v>85</v>
      </c>
      <c r="G7" s="6">
        <v>28</v>
      </c>
      <c r="H7" s="7">
        <f t="shared" si="0"/>
        <v>1257</v>
      </c>
    </row>
    <row r="8" spans="1:8" ht="15" x14ac:dyDescent="0.2">
      <c r="A8" s="4" t="s">
        <v>15</v>
      </c>
      <c r="B8" s="5" t="s">
        <v>50</v>
      </c>
      <c r="C8" s="6" t="s">
        <v>17</v>
      </c>
      <c r="D8" s="6" t="s">
        <v>12</v>
      </c>
      <c r="E8" s="6">
        <v>790</v>
      </c>
      <c r="F8" s="6">
        <v>75</v>
      </c>
      <c r="G8" s="6">
        <v>20</v>
      </c>
      <c r="H8" s="7">
        <f t="shared" si="0"/>
        <v>845</v>
      </c>
    </row>
    <row r="9" spans="1:8" ht="15" x14ac:dyDescent="0.2">
      <c r="A9" s="4" t="s">
        <v>15</v>
      </c>
      <c r="B9" s="5" t="s">
        <v>51</v>
      </c>
      <c r="C9" s="6" t="s">
        <v>18</v>
      </c>
      <c r="D9" s="6" t="s">
        <v>12</v>
      </c>
      <c r="E9" s="6">
        <v>885</v>
      </c>
      <c r="F9" s="6">
        <v>85</v>
      </c>
      <c r="G9" s="6">
        <v>22</v>
      </c>
      <c r="H9" s="7">
        <f t="shared" si="0"/>
        <v>948</v>
      </c>
    </row>
    <row r="10" spans="1:8" ht="15" x14ac:dyDescent="0.2">
      <c r="A10" s="4" t="s">
        <v>19</v>
      </c>
      <c r="B10" s="5" t="s">
        <v>52</v>
      </c>
      <c r="C10" s="6" t="s">
        <v>20</v>
      </c>
      <c r="D10" s="6" t="s">
        <v>12</v>
      </c>
      <c r="E10" s="6">
        <v>760</v>
      </c>
      <c r="F10" s="6">
        <v>65</v>
      </c>
      <c r="G10" s="6">
        <v>18</v>
      </c>
      <c r="H10" s="7">
        <f t="shared" si="0"/>
        <v>807</v>
      </c>
    </row>
    <row r="11" spans="1:8" ht="15" x14ac:dyDescent="0.2">
      <c r="A11" s="4" t="s">
        <v>15</v>
      </c>
      <c r="B11" s="5" t="s">
        <v>53</v>
      </c>
      <c r="C11" s="6" t="s">
        <v>21</v>
      </c>
      <c r="D11" s="6" t="s">
        <v>12</v>
      </c>
      <c r="E11" s="6">
        <v>1200</v>
      </c>
      <c r="F11" s="6">
        <v>95</v>
      </c>
      <c r="G11" s="6">
        <v>25</v>
      </c>
      <c r="H11" s="7">
        <f t="shared" si="0"/>
        <v>1270</v>
      </c>
    </row>
    <row r="12" spans="1:8" ht="15" x14ac:dyDescent="0.2">
      <c r="A12" s="4" t="s">
        <v>15</v>
      </c>
      <c r="B12" s="5" t="s">
        <v>54</v>
      </c>
      <c r="C12" s="6" t="s">
        <v>22</v>
      </c>
      <c r="D12" s="6" t="s">
        <v>12</v>
      </c>
      <c r="E12" s="6">
        <v>1500</v>
      </c>
      <c r="F12" s="6">
        <v>92</v>
      </c>
      <c r="G12" s="6">
        <v>28</v>
      </c>
      <c r="H12" s="7">
        <f t="shared" si="0"/>
        <v>1564</v>
      </c>
    </row>
    <row r="13" spans="1:8" ht="15" x14ac:dyDescent="0.2">
      <c r="A13" s="4" t="s">
        <v>15</v>
      </c>
      <c r="B13" s="5" t="s">
        <v>55</v>
      </c>
      <c r="C13" s="6" t="s">
        <v>23</v>
      </c>
      <c r="D13" s="6" t="s">
        <v>12</v>
      </c>
      <c r="E13" s="6">
        <v>658</v>
      </c>
      <c r="F13" s="6">
        <v>85</v>
      </c>
      <c r="G13" s="6">
        <v>12</v>
      </c>
      <c r="H13" s="7">
        <f t="shared" si="0"/>
        <v>731</v>
      </c>
    </row>
    <row r="14" spans="1:8" ht="15" x14ac:dyDescent="0.2">
      <c r="A14" s="4" t="s">
        <v>24</v>
      </c>
      <c r="B14" s="5" t="s">
        <v>56</v>
      </c>
      <c r="C14" s="6" t="s">
        <v>25</v>
      </c>
      <c r="D14" s="6" t="s">
        <v>12</v>
      </c>
      <c r="E14" s="6">
        <v>550</v>
      </c>
      <c r="F14" s="6">
        <v>73</v>
      </c>
      <c r="G14" s="6">
        <v>12</v>
      </c>
      <c r="H14" s="7">
        <f t="shared" si="0"/>
        <v>611</v>
      </c>
    </row>
    <row r="15" spans="1:8" ht="15" x14ac:dyDescent="0.2">
      <c r="A15" s="4" t="s">
        <v>19</v>
      </c>
      <c r="B15" s="5" t="s">
        <v>57</v>
      </c>
      <c r="C15" s="6" t="s">
        <v>26</v>
      </c>
      <c r="D15" s="6" t="s">
        <v>12</v>
      </c>
      <c r="E15" s="6">
        <v>570</v>
      </c>
      <c r="F15" s="6">
        <v>69</v>
      </c>
      <c r="G15" s="6">
        <v>10</v>
      </c>
      <c r="H15" s="7">
        <f t="shared" si="0"/>
        <v>629</v>
      </c>
    </row>
    <row r="16" spans="1:8" ht="15" x14ac:dyDescent="0.2">
      <c r="A16" s="4" t="s">
        <v>19</v>
      </c>
      <c r="B16" s="5" t="s">
        <v>58</v>
      </c>
      <c r="C16" s="6" t="s">
        <v>27</v>
      </c>
      <c r="D16" s="6" t="s">
        <v>12</v>
      </c>
      <c r="E16" s="6">
        <v>920</v>
      </c>
      <c r="F16" s="6">
        <v>68</v>
      </c>
      <c r="G16" s="6">
        <v>20</v>
      </c>
      <c r="H16" s="7">
        <f t="shared" si="0"/>
        <v>968</v>
      </c>
    </row>
    <row r="17" spans="1:8" ht="15" x14ac:dyDescent="0.2">
      <c r="A17" s="4" t="s">
        <v>19</v>
      </c>
      <c r="B17" s="5" t="s">
        <v>59</v>
      </c>
      <c r="C17" s="6" t="s">
        <v>28</v>
      </c>
      <c r="D17" s="6" t="s">
        <v>12</v>
      </c>
      <c r="E17" s="6">
        <v>630</v>
      </c>
      <c r="F17" s="6">
        <v>89</v>
      </c>
      <c r="G17" s="6">
        <v>12</v>
      </c>
      <c r="H17" s="7">
        <f t="shared" si="0"/>
        <v>707</v>
      </c>
    </row>
    <row r="18" spans="1:8" ht="15" x14ac:dyDescent="0.2">
      <c r="A18" s="4" t="s">
        <v>24</v>
      </c>
      <c r="B18" s="5" t="s">
        <v>60</v>
      </c>
      <c r="C18" s="6" t="s">
        <v>29</v>
      </c>
      <c r="D18" s="6" t="s">
        <v>10</v>
      </c>
      <c r="E18" s="6">
        <v>1000</v>
      </c>
      <c r="F18" s="6">
        <v>59</v>
      </c>
      <c r="G18" s="6">
        <v>26</v>
      </c>
      <c r="H18" s="7">
        <f t="shared" si="0"/>
        <v>1033</v>
      </c>
    </row>
    <row r="19" spans="1:8" ht="15" x14ac:dyDescent="0.2">
      <c r="A19" s="4" t="s">
        <v>24</v>
      </c>
      <c r="B19" s="5" t="s">
        <v>61</v>
      </c>
      <c r="C19" s="6" t="s">
        <v>30</v>
      </c>
      <c r="D19" s="6" t="s">
        <v>10</v>
      </c>
      <c r="E19" s="6">
        <v>1200</v>
      </c>
      <c r="F19" s="6">
        <v>68</v>
      </c>
      <c r="G19" s="6">
        <v>28</v>
      </c>
      <c r="H19" s="7">
        <f t="shared" si="0"/>
        <v>1240</v>
      </c>
    </row>
    <row r="20" spans="1:8" ht="15" x14ac:dyDescent="0.2">
      <c r="A20" s="4" t="s">
        <v>14</v>
      </c>
      <c r="B20" s="5" t="s">
        <v>62</v>
      </c>
      <c r="C20" s="6" t="s">
        <v>31</v>
      </c>
      <c r="D20" s="6" t="s">
        <v>10</v>
      </c>
      <c r="E20" s="6">
        <v>1500</v>
      </c>
      <c r="F20" s="6">
        <v>57</v>
      </c>
      <c r="G20" s="6">
        <v>29</v>
      </c>
      <c r="H20" s="7">
        <f t="shared" si="0"/>
        <v>1528</v>
      </c>
    </row>
    <row r="21" spans="1:8" ht="15" x14ac:dyDescent="0.2">
      <c r="A21" s="4" t="s">
        <v>14</v>
      </c>
      <c r="B21" s="5" t="s">
        <v>63</v>
      </c>
      <c r="C21" s="6" t="s">
        <v>32</v>
      </c>
      <c r="D21" s="6" t="s">
        <v>10</v>
      </c>
      <c r="E21" s="6">
        <v>869</v>
      </c>
      <c r="F21" s="6">
        <v>89</v>
      </c>
      <c r="G21" s="6">
        <v>12</v>
      </c>
      <c r="H21" s="7">
        <f t="shared" si="0"/>
        <v>946</v>
      </c>
    </row>
    <row r="22" spans="1:8" ht="15" x14ac:dyDescent="0.2">
      <c r="A22" s="4" t="s">
        <v>14</v>
      </c>
      <c r="B22" s="5" t="s">
        <v>64</v>
      </c>
      <c r="C22" s="6" t="s">
        <v>33</v>
      </c>
      <c r="D22" s="6" t="s">
        <v>12</v>
      </c>
      <c r="E22" s="6">
        <v>720</v>
      </c>
      <c r="F22" s="6">
        <v>53</v>
      </c>
      <c r="G22" s="6">
        <v>15</v>
      </c>
      <c r="H22" s="7">
        <f t="shared" si="0"/>
        <v>758</v>
      </c>
    </row>
    <row r="23" spans="1:8" ht="15" x14ac:dyDescent="0.2">
      <c r="A23" s="4" t="s">
        <v>14</v>
      </c>
      <c r="B23" s="5" t="s">
        <v>65</v>
      </c>
      <c r="C23" s="6" t="s">
        <v>34</v>
      </c>
      <c r="D23" s="6" t="s">
        <v>12</v>
      </c>
      <c r="E23" s="6">
        <v>710</v>
      </c>
      <c r="F23" s="6">
        <v>59</v>
      </c>
      <c r="G23" s="6">
        <v>10</v>
      </c>
      <c r="H23" s="7">
        <f t="shared" si="0"/>
        <v>759</v>
      </c>
    </row>
    <row r="24" spans="1:8" ht="15" x14ac:dyDescent="0.2">
      <c r="A24" s="4" t="s">
        <v>24</v>
      </c>
      <c r="B24" s="5" t="s">
        <v>66</v>
      </c>
      <c r="C24" s="6" t="s">
        <v>35</v>
      </c>
      <c r="D24" s="6" t="s">
        <v>12</v>
      </c>
      <c r="E24" s="6">
        <v>630</v>
      </c>
      <c r="F24" s="6">
        <v>54</v>
      </c>
      <c r="G24" s="6">
        <v>10</v>
      </c>
      <c r="H24" s="7">
        <f t="shared" si="0"/>
        <v>674</v>
      </c>
    </row>
    <row r="25" spans="1:8" ht="15" x14ac:dyDescent="0.2">
      <c r="A25" s="4" t="s">
        <v>19</v>
      </c>
      <c r="B25" s="5" t="s">
        <v>67</v>
      </c>
      <c r="C25" s="6" t="s">
        <v>36</v>
      </c>
      <c r="D25" s="6" t="s">
        <v>10</v>
      </c>
      <c r="E25" s="6">
        <v>880</v>
      </c>
      <c r="F25" s="6">
        <v>59</v>
      </c>
      <c r="G25" s="6">
        <v>18</v>
      </c>
      <c r="H25" s="7">
        <f t="shared" si="0"/>
        <v>921</v>
      </c>
    </row>
    <row r="26" spans="1:8" ht="15" x14ac:dyDescent="0.2">
      <c r="A26" s="4" t="s">
        <v>19</v>
      </c>
      <c r="B26" s="5" t="s">
        <v>68</v>
      </c>
      <c r="C26" s="6" t="s">
        <v>37</v>
      </c>
      <c r="D26" s="6" t="s">
        <v>12</v>
      </c>
      <c r="E26" s="6">
        <v>920</v>
      </c>
      <c r="F26" s="6">
        <v>65</v>
      </c>
      <c r="G26" s="6">
        <v>20</v>
      </c>
      <c r="H26" s="7">
        <f t="shared" si="0"/>
        <v>965</v>
      </c>
    </row>
    <row r="27" spans="1:8" ht="15" x14ac:dyDescent="0.2">
      <c r="A27" s="4" t="s">
        <v>19</v>
      </c>
      <c r="B27" s="5" t="s">
        <v>69</v>
      </c>
      <c r="C27" s="6" t="s">
        <v>38</v>
      </c>
      <c r="D27" s="6" t="s">
        <v>10</v>
      </c>
      <c r="E27" s="6">
        <v>560</v>
      </c>
      <c r="F27" s="6">
        <v>87</v>
      </c>
      <c r="G27" s="6">
        <v>10</v>
      </c>
      <c r="H27" s="7">
        <f t="shared" si="0"/>
        <v>637</v>
      </c>
    </row>
    <row r="28" spans="1:8" ht="15" x14ac:dyDescent="0.2">
      <c r="A28" s="4" t="s">
        <v>19</v>
      </c>
      <c r="B28" s="5" t="s">
        <v>70</v>
      </c>
      <c r="C28" s="6" t="s">
        <v>39</v>
      </c>
      <c r="D28" s="6" t="s">
        <v>10</v>
      </c>
      <c r="E28" s="6">
        <v>770</v>
      </c>
      <c r="F28" s="6">
        <v>85</v>
      </c>
      <c r="G28" s="6">
        <v>10</v>
      </c>
      <c r="H28" s="7">
        <f t="shared" si="0"/>
        <v>845</v>
      </c>
    </row>
    <row r="29" spans="1:8" ht="15" x14ac:dyDescent="0.2">
      <c r="A29" s="4" t="s">
        <v>15</v>
      </c>
      <c r="B29" s="5" t="s">
        <v>71</v>
      </c>
      <c r="C29" s="6" t="s">
        <v>40</v>
      </c>
      <c r="D29" s="6" t="s">
        <v>12</v>
      </c>
      <c r="E29" s="6">
        <v>1500</v>
      </c>
      <c r="F29" s="6">
        <v>65</v>
      </c>
      <c r="G29" s="6">
        <v>28</v>
      </c>
      <c r="H29" s="7">
        <f t="shared" si="0"/>
        <v>1537</v>
      </c>
    </row>
    <row r="30" spans="1:8" ht="15" x14ac:dyDescent="0.2">
      <c r="A30" s="4" t="s">
        <v>15</v>
      </c>
      <c r="B30" s="5" t="s">
        <v>72</v>
      </c>
      <c r="C30" s="6" t="s">
        <v>41</v>
      </c>
      <c r="D30" s="6" t="s">
        <v>12</v>
      </c>
      <c r="E30" s="6">
        <v>1000</v>
      </c>
      <c r="F30" s="6">
        <v>75</v>
      </c>
      <c r="G30" s="6">
        <v>22</v>
      </c>
      <c r="H30" s="7">
        <f t="shared" si="0"/>
        <v>1053</v>
      </c>
    </row>
    <row r="31" spans="1:8" ht="15" x14ac:dyDescent="0.2">
      <c r="A31" s="4" t="s">
        <v>15</v>
      </c>
      <c r="B31" s="5" t="s">
        <v>73</v>
      </c>
      <c r="C31" s="6" t="s">
        <v>42</v>
      </c>
      <c r="D31" s="6" t="s">
        <v>10</v>
      </c>
      <c r="E31" s="6">
        <v>780</v>
      </c>
      <c r="F31" s="6">
        <v>89</v>
      </c>
      <c r="G31" s="6">
        <v>10</v>
      </c>
      <c r="H31" s="7">
        <f t="shared" si="0"/>
        <v>859</v>
      </c>
    </row>
    <row r="32" spans="1:8" ht="15.75" thickBot="1" x14ac:dyDescent="0.25">
      <c r="A32" s="8" t="s">
        <v>15</v>
      </c>
      <c r="B32" s="9" t="s">
        <v>74</v>
      </c>
      <c r="C32" s="10" t="s">
        <v>43</v>
      </c>
      <c r="D32" s="10" t="s">
        <v>12</v>
      </c>
      <c r="E32" s="10">
        <v>840</v>
      </c>
      <c r="F32" s="10">
        <v>77</v>
      </c>
      <c r="G32" s="10">
        <v>25</v>
      </c>
      <c r="H32" s="11">
        <f t="shared" si="0"/>
        <v>892</v>
      </c>
    </row>
    <row r="33" ht="15" thickTop="1" x14ac:dyDescent="0.15"/>
  </sheetData>
  <mergeCells count="1">
    <mergeCell ref="A1:H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7"/>
  <sheetViews>
    <sheetView tabSelected="1" workbookViewId="0">
      <selection activeCell="J2" sqref="J2"/>
    </sheetView>
  </sheetViews>
  <sheetFormatPr defaultRowHeight="14.25" outlineLevelRow="2" x14ac:dyDescent="0.15"/>
  <sheetData>
    <row r="1" spans="1:8" x14ac:dyDescent="0.1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 spans="1:8" outlineLevel="2" x14ac:dyDescent="0.15">
      <c r="A2" t="s">
        <v>83</v>
      </c>
      <c r="B2" t="s">
        <v>47</v>
      </c>
      <c r="C2" t="s">
        <v>88</v>
      </c>
      <c r="D2" t="s">
        <v>85</v>
      </c>
      <c r="E2">
        <v>670</v>
      </c>
      <c r="F2">
        <v>89</v>
      </c>
      <c r="G2">
        <v>15</v>
      </c>
      <c r="H2">
        <v>744</v>
      </c>
    </row>
    <row r="3" spans="1:8" outlineLevel="2" x14ac:dyDescent="0.15">
      <c r="A3" t="s">
        <v>83</v>
      </c>
      <c r="B3" t="s">
        <v>44</v>
      </c>
      <c r="C3" t="s">
        <v>84</v>
      </c>
      <c r="D3" t="s">
        <v>85</v>
      </c>
      <c r="E3">
        <v>980</v>
      </c>
      <c r="F3">
        <v>78</v>
      </c>
      <c r="G3">
        <v>22</v>
      </c>
      <c r="H3">
        <v>1036</v>
      </c>
    </row>
    <row r="4" spans="1:8" outlineLevel="2" x14ac:dyDescent="0.15">
      <c r="A4" t="s">
        <v>83</v>
      </c>
      <c r="B4" t="s">
        <v>46</v>
      </c>
      <c r="C4" t="s">
        <v>86</v>
      </c>
      <c r="D4" t="s">
        <v>87</v>
      </c>
      <c r="E4">
        <v>650</v>
      </c>
      <c r="F4">
        <v>57</v>
      </c>
      <c r="G4">
        <v>12</v>
      </c>
      <c r="H4">
        <v>695</v>
      </c>
    </row>
    <row r="5" spans="1:8" outlineLevel="1" x14ac:dyDescent="0.15">
      <c r="A5" s="12" t="s">
        <v>120</v>
      </c>
      <c r="E5">
        <f>SUBTOTAL(4,E2:E4)</f>
        <v>980</v>
      </c>
      <c r="H5">
        <f>SUBTOTAL(4,H2:H4)</f>
        <v>1036</v>
      </c>
    </row>
    <row r="6" spans="1:8" outlineLevel="2" x14ac:dyDescent="0.15">
      <c r="A6" t="s">
        <v>91</v>
      </c>
      <c r="B6" t="s">
        <v>73</v>
      </c>
      <c r="C6" t="s">
        <v>118</v>
      </c>
      <c r="D6" t="s">
        <v>85</v>
      </c>
      <c r="E6">
        <v>780</v>
      </c>
      <c r="F6">
        <v>89</v>
      </c>
      <c r="G6">
        <v>10</v>
      </c>
      <c r="H6">
        <v>859</v>
      </c>
    </row>
    <row r="7" spans="1:8" outlineLevel="2" x14ac:dyDescent="0.15">
      <c r="A7" t="s">
        <v>91</v>
      </c>
      <c r="B7" t="s">
        <v>49</v>
      </c>
      <c r="C7" t="s">
        <v>92</v>
      </c>
      <c r="D7" t="s">
        <v>85</v>
      </c>
      <c r="E7">
        <v>1200</v>
      </c>
      <c r="F7">
        <v>85</v>
      </c>
      <c r="G7">
        <v>28</v>
      </c>
      <c r="H7">
        <v>1257</v>
      </c>
    </row>
    <row r="8" spans="1:8" outlineLevel="2" x14ac:dyDescent="0.15">
      <c r="A8" t="s">
        <v>91</v>
      </c>
      <c r="B8" t="s">
        <v>55</v>
      </c>
      <c r="C8" t="s">
        <v>99</v>
      </c>
      <c r="D8" t="s">
        <v>87</v>
      </c>
      <c r="E8">
        <v>658</v>
      </c>
      <c r="F8">
        <v>85</v>
      </c>
      <c r="G8">
        <v>12</v>
      </c>
      <c r="H8">
        <v>731</v>
      </c>
    </row>
    <row r="9" spans="1:8" outlineLevel="2" x14ac:dyDescent="0.15">
      <c r="A9" t="s">
        <v>91</v>
      </c>
      <c r="B9" t="s">
        <v>50</v>
      </c>
      <c r="C9" t="s">
        <v>93</v>
      </c>
      <c r="D9" t="s">
        <v>87</v>
      </c>
      <c r="E9">
        <v>790</v>
      </c>
      <c r="F9">
        <v>75</v>
      </c>
      <c r="G9">
        <v>20</v>
      </c>
      <c r="H9">
        <v>845</v>
      </c>
    </row>
    <row r="10" spans="1:8" outlineLevel="2" x14ac:dyDescent="0.15">
      <c r="A10" t="s">
        <v>91</v>
      </c>
      <c r="B10" t="s">
        <v>74</v>
      </c>
      <c r="C10" t="s">
        <v>119</v>
      </c>
      <c r="D10" t="s">
        <v>87</v>
      </c>
      <c r="E10">
        <v>840</v>
      </c>
      <c r="F10">
        <v>77</v>
      </c>
      <c r="G10">
        <v>25</v>
      </c>
      <c r="H10">
        <v>892</v>
      </c>
    </row>
    <row r="11" spans="1:8" outlineLevel="2" x14ac:dyDescent="0.15">
      <c r="A11" t="s">
        <v>91</v>
      </c>
      <c r="B11" t="s">
        <v>51</v>
      </c>
      <c r="C11" t="s">
        <v>94</v>
      </c>
      <c r="D11" t="s">
        <v>87</v>
      </c>
      <c r="E11">
        <v>885</v>
      </c>
      <c r="F11">
        <v>85</v>
      </c>
      <c r="G11">
        <v>22</v>
      </c>
      <c r="H11">
        <v>948</v>
      </c>
    </row>
    <row r="12" spans="1:8" outlineLevel="2" x14ac:dyDescent="0.15">
      <c r="A12" t="s">
        <v>91</v>
      </c>
      <c r="B12" t="s">
        <v>72</v>
      </c>
      <c r="C12" t="s">
        <v>117</v>
      </c>
      <c r="D12" t="s">
        <v>87</v>
      </c>
      <c r="E12">
        <v>1000</v>
      </c>
      <c r="F12">
        <v>75</v>
      </c>
      <c r="G12">
        <v>22</v>
      </c>
      <c r="H12">
        <v>1053</v>
      </c>
    </row>
    <row r="13" spans="1:8" outlineLevel="2" x14ac:dyDescent="0.15">
      <c r="A13" t="s">
        <v>91</v>
      </c>
      <c r="B13" t="s">
        <v>53</v>
      </c>
      <c r="C13" t="s">
        <v>97</v>
      </c>
      <c r="D13" t="s">
        <v>87</v>
      </c>
      <c r="E13">
        <v>1200</v>
      </c>
      <c r="F13">
        <v>95</v>
      </c>
      <c r="G13">
        <v>25</v>
      </c>
      <c r="H13">
        <v>1270</v>
      </c>
    </row>
    <row r="14" spans="1:8" outlineLevel="2" x14ac:dyDescent="0.15">
      <c r="A14" t="s">
        <v>91</v>
      </c>
      <c r="B14" t="s">
        <v>71</v>
      </c>
      <c r="C14" t="s">
        <v>116</v>
      </c>
      <c r="D14" t="s">
        <v>87</v>
      </c>
      <c r="E14">
        <v>1500</v>
      </c>
      <c r="F14">
        <v>65</v>
      </c>
      <c r="G14">
        <v>28</v>
      </c>
      <c r="H14">
        <v>1537</v>
      </c>
    </row>
    <row r="15" spans="1:8" outlineLevel="2" x14ac:dyDescent="0.15">
      <c r="A15" t="s">
        <v>91</v>
      </c>
      <c r="B15" t="s">
        <v>54</v>
      </c>
      <c r="C15" t="s">
        <v>98</v>
      </c>
      <c r="D15" t="s">
        <v>87</v>
      </c>
      <c r="E15">
        <v>1500</v>
      </c>
      <c r="F15">
        <v>92</v>
      </c>
      <c r="G15">
        <v>28</v>
      </c>
      <c r="H15">
        <v>1564</v>
      </c>
    </row>
    <row r="16" spans="1:8" outlineLevel="1" x14ac:dyDescent="0.15">
      <c r="A16" s="12" t="s">
        <v>121</v>
      </c>
      <c r="E16">
        <f>SUBTOTAL(4,E6:E15)</f>
        <v>1500</v>
      </c>
      <c r="H16">
        <f>SUBTOTAL(4,H6:H15)</f>
        <v>1564</v>
      </c>
    </row>
    <row r="17" spans="1:8" outlineLevel="2" x14ac:dyDescent="0.15">
      <c r="A17" t="s">
        <v>95</v>
      </c>
      <c r="B17" t="s">
        <v>69</v>
      </c>
      <c r="C17" t="s">
        <v>114</v>
      </c>
      <c r="D17" t="s">
        <v>85</v>
      </c>
      <c r="E17">
        <v>560</v>
      </c>
      <c r="F17">
        <v>87</v>
      </c>
      <c r="G17">
        <v>10</v>
      </c>
      <c r="H17">
        <v>637</v>
      </c>
    </row>
    <row r="18" spans="1:8" outlineLevel="2" x14ac:dyDescent="0.15">
      <c r="A18" t="s">
        <v>95</v>
      </c>
      <c r="B18" t="s">
        <v>70</v>
      </c>
      <c r="C18" t="s">
        <v>115</v>
      </c>
      <c r="D18" t="s">
        <v>85</v>
      </c>
      <c r="E18">
        <v>770</v>
      </c>
      <c r="F18">
        <v>85</v>
      </c>
      <c r="G18">
        <v>10</v>
      </c>
      <c r="H18">
        <v>845</v>
      </c>
    </row>
    <row r="19" spans="1:8" outlineLevel="2" x14ac:dyDescent="0.15">
      <c r="A19" t="s">
        <v>95</v>
      </c>
      <c r="B19" t="s">
        <v>67</v>
      </c>
      <c r="C19" t="s">
        <v>112</v>
      </c>
      <c r="D19" t="s">
        <v>85</v>
      </c>
      <c r="E19">
        <v>880</v>
      </c>
      <c r="F19">
        <v>59</v>
      </c>
      <c r="G19">
        <v>18</v>
      </c>
      <c r="H19">
        <v>921</v>
      </c>
    </row>
    <row r="20" spans="1:8" outlineLevel="2" x14ac:dyDescent="0.15">
      <c r="A20" t="s">
        <v>95</v>
      </c>
      <c r="B20" t="s">
        <v>57</v>
      </c>
      <c r="C20" t="s">
        <v>102</v>
      </c>
      <c r="D20" t="s">
        <v>87</v>
      </c>
      <c r="E20">
        <v>570</v>
      </c>
      <c r="F20">
        <v>69</v>
      </c>
      <c r="G20">
        <v>10</v>
      </c>
      <c r="H20">
        <v>629</v>
      </c>
    </row>
    <row r="21" spans="1:8" outlineLevel="2" x14ac:dyDescent="0.15">
      <c r="A21" t="s">
        <v>95</v>
      </c>
      <c r="B21" t="s">
        <v>59</v>
      </c>
      <c r="C21" t="s">
        <v>104</v>
      </c>
      <c r="D21" t="s">
        <v>87</v>
      </c>
      <c r="E21">
        <v>630</v>
      </c>
      <c r="F21">
        <v>89</v>
      </c>
      <c r="G21">
        <v>12</v>
      </c>
      <c r="H21">
        <v>707</v>
      </c>
    </row>
    <row r="22" spans="1:8" outlineLevel="2" x14ac:dyDescent="0.15">
      <c r="A22" t="s">
        <v>95</v>
      </c>
      <c r="B22" t="s">
        <v>52</v>
      </c>
      <c r="C22" t="s">
        <v>96</v>
      </c>
      <c r="D22" t="s">
        <v>87</v>
      </c>
      <c r="E22">
        <v>760</v>
      </c>
      <c r="F22">
        <v>65</v>
      </c>
      <c r="G22">
        <v>18</v>
      </c>
      <c r="H22">
        <v>807</v>
      </c>
    </row>
    <row r="23" spans="1:8" outlineLevel="2" x14ac:dyDescent="0.15">
      <c r="A23" t="s">
        <v>95</v>
      </c>
      <c r="B23" t="s">
        <v>68</v>
      </c>
      <c r="C23" t="s">
        <v>113</v>
      </c>
      <c r="D23" t="s">
        <v>87</v>
      </c>
      <c r="E23">
        <v>920</v>
      </c>
      <c r="F23">
        <v>65</v>
      </c>
      <c r="G23">
        <v>20</v>
      </c>
      <c r="H23">
        <v>965</v>
      </c>
    </row>
    <row r="24" spans="1:8" outlineLevel="2" x14ac:dyDescent="0.15">
      <c r="A24" t="s">
        <v>95</v>
      </c>
      <c r="B24" t="s">
        <v>58</v>
      </c>
      <c r="C24" t="s">
        <v>103</v>
      </c>
      <c r="D24" t="s">
        <v>87</v>
      </c>
      <c r="E24">
        <v>920</v>
      </c>
      <c r="F24">
        <v>68</v>
      </c>
      <c r="G24">
        <v>20</v>
      </c>
      <c r="H24">
        <v>968</v>
      </c>
    </row>
    <row r="25" spans="1:8" outlineLevel="1" x14ac:dyDescent="0.15">
      <c r="A25" s="12" t="s">
        <v>122</v>
      </c>
      <c r="E25">
        <f>SUBTOTAL(4,E17:E24)</f>
        <v>920</v>
      </c>
      <c r="H25">
        <f>SUBTOTAL(4,H17:H24)</f>
        <v>968</v>
      </c>
    </row>
    <row r="26" spans="1:8" outlineLevel="2" x14ac:dyDescent="0.15">
      <c r="A26" t="s">
        <v>89</v>
      </c>
      <c r="B26" t="s">
        <v>63</v>
      </c>
      <c r="C26" t="s">
        <v>108</v>
      </c>
      <c r="D26" t="s">
        <v>85</v>
      </c>
      <c r="E26">
        <v>869</v>
      </c>
      <c r="F26">
        <v>89</v>
      </c>
      <c r="G26">
        <v>12</v>
      </c>
      <c r="H26">
        <v>946</v>
      </c>
    </row>
    <row r="27" spans="1:8" outlineLevel="2" x14ac:dyDescent="0.15">
      <c r="A27" t="s">
        <v>89</v>
      </c>
      <c r="B27" t="s">
        <v>62</v>
      </c>
      <c r="C27" t="s">
        <v>107</v>
      </c>
      <c r="D27" t="s">
        <v>85</v>
      </c>
      <c r="E27">
        <v>1500</v>
      </c>
      <c r="F27">
        <v>57</v>
      </c>
      <c r="G27">
        <v>29</v>
      </c>
      <c r="H27">
        <v>1528</v>
      </c>
    </row>
    <row r="28" spans="1:8" outlineLevel="2" x14ac:dyDescent="0.15">
      <c r="A28" t="s">
        <v>89</v>
      </c>
      <c r="B28" t="s">
        <v>64</v>
      </c>
      <c r="C28" t="s">
        <v>109</v>
      </c>
      <c r="D28" t="s">
        <v>87</v>
      </c>
      <c r="E28">
        <v>720</v>
      </c>
      <c r="F28">
        <v>53</v>
      </c>
      <c r="G28">
        <v>15</v>
      </c>
      <c r="H28">
        <v>758</v>
      </c>
    </row>
    <row r="29" spans="1:8" outlineLevel="2" x14ac:dyDescent="0.15">
      <c r="A29" t="s">
        <v>89</v>
      </c>
      <c r="B29" t="s">
        <v>65</v>
      </c>
      <c r="C29" t="s">
        <v>110</v>
      </c>
      <c r="D29" t="s">
        <v>87</v>
      </c>
      <c r="E29">
        <v>710</v>
      </c>
      <c r="F29">
        <v>59</v>
      </c>
      <c r="G29">
        <v>10</v>
      </c>
      <c r="H29">
        <v>759</v>
      </c>
    </row>
    <row r="30" spans="1:8" outlineLevel="2" x14ac:dyDescent="0.15">
      <c r="A30" t="s">
        <v>89</v>
      </c>
      <c r="B30" t="s">
        <v>48</v>
      </c>
      <c r="C30" t="s">
        <v>90</v>
      </c>
      <c r="D30" t="s">
        <v>87</v>
      </c>
      <c r="E30">
        <v>1000</v>
      </c>
      <c r="F30">
        <v>73</v>
      </c>
      <c r="G30">
        <v>26</v>
      </c>
      <c r="H30">
        <v>1047</v>
      </c>
    </row>
    <row r="31" spans="1:8" outlineLevel="1" x14ac:dyDescent="0.15">
      <c r="A31" s="12" t="s">
        <v>123</v>
      </c>
      <c r="E31">
        <f>SUBTOTAL(4,E26:E30)</f>
        <v>1500</v>
      </c>
      <c r="H31">
        <f>SUBTOTAL(4,H26:H30)</f>
        <v>1528</v>
      </c>
    </row>
    <row r="32" spans="1:8" outlineLevel="2" x14ac:dyDescent="0.15">
      <c r="A32" t="s">
        <v>100</v>
      </c>
      <c r="B32" t="s">
        <v>60</v>
      </c>
      <c r="C32" t="s">
        <v>105</v>
      </c>
      <c r="D32" t="s">
        <v>85</v>
      </c>
      <c r="E32">
        <v>1000</v>
      </c>
      <c r="F32">
        <v>59</v>
      </c>
      <c r="G32">
        <v>26</v>
      </c>
      <c r="H32">
        <v>1033</v>
      </c>
    </row>
    <row r="33" spans="1:8" outlineLevel="2" x14ac:dyDescent="0.15">
      <c r="A33" t="s">
        <v>100</v>
      </c>
      <c r="B33" t="s">
        <v>61</v>
      </c>
      <c r="C33" t="s">
        <v>106</v>
      </c>
      <c r="D33" t="s">
        <v>85</v>
      </c>
      <c r="E33">
        <v>1200</v>
      </c>
      <c r="F33">
        <v>68</v>
      </c>
      <c r="G33">
        <v>28</v>
      </c>
      <c r="H33">
        <v>1240</v>
      </c>
    </row>
    <row r="34" spans="1:8" outlineLevel="2" x14ac:dyDescent="0.15">
      <c r="A34" t="s">
        <v>100</v>
      </c>
      <c r="B34" t="s">
        <v>56</v>
      </c>
      <c r="C34" t="s">
        <v>101</v>
      </c>
      <c r="D34" t="s">
        <v>87</v>
      </c>
      <c r="E34">
        <v>550</v>
      </c>
      <c r="F34">
        <v>73</v>
      </c>
      <c r="G34">
        <v>12</v>
      </c>
      <c r="H34">
        <v>611</v>
      </c>
    </row>
    <row r="35" spans="1:8" outlineLevel="2" x14ac:dyDescent="0.15">
      <c r="A35" t="s">
        <v>100</v>
      </c>
      <c r="B35" t="s">
        <v>66</v>
      </c>
      <c r="C35" t="s">
        <v>111</v>
      </c>
      <c r="D35" t="s">
        <v>87</v>
      </c>
      <c r="E35">
        <v>630</v>
      </c>
      <c r="F35">
        <v>54</v>
      </c>
      <c r="G35">
        <v>10</v>
      </c>
      <c r="H35">
        <v>674</v>
      </c>
    </row>
    <row r="36" spans="1:8" outlineLevel="1" x14ac:dyDescent="0.15">
      <c r="A36" s="12" t="s">
        <v>124</v>
      </c>
      <c r="E36">
        <f>SUBTOTAL(4,E32:E35)</f>
        <v>1200</v>
      </c>
      <c r="H36">
        <f>SUBTOTAL(4,H32:H35)</f>
        <v>1240</v>
      </c>
    </row>
    <row r="37" spans="1:8" x14ac:dyDescent="0.15">
      <c r="A37" s="12" t="s">
        <v>125</v>
      </c>
      <c r="E37">
        <f>SUBTOTAL(4,E2:E35)</f>
        <v>1500</v>
      </c>
      <c r="H37">
        <f>SUBTOTAL(4,H2:H35)</f>
        <v>1564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"/>
  <sheetViews>
    <sheetView workbookViewId="0">
      <selection activeCell="F13" sqref="F13"/>
    </sheetView>
  </sheetViews>
  <sheetFormatPr defaultRowHeight="14.25" x14ac:dyDescent="0.15"/>
  <sheetData>
    <row r="1" spans="1:8" x14ac:dyDescent="0.15">
      <c r="A1" t="s">
        <v>79</v>
      </c>
      <c r="B1" t="s">
        <v>82</v>
      </c>
    </row>
    <row r="2" spans="1:8" x14ac:dyDescent="0.15">
      <c r="A2" t="s">
        <v>129</v>
      </c>
      <c r="B2" t="s">
        <v>128</v>
      </c>
    </row>
    <row r="5" spans="1:8" ht="15" thickBot="1" x14ac:dyDescent="0.2"/>
    <row r="6" spans="1:8" ht="15" thickTop="1" x14ac:dyDescent="0.15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3" t="s">
        <v>7</v>
      </c>
    </row>
    <row r="7" spans="1:8" ht="15" x14ac:dyDescent="0.2">
      <c r="A7" s="4" t="s">
        <v>8</v>
      </c>
      <c r="B7" s="5" t="s">
        <v>45</v>
      </c>
      <c r="C7" s="6" t="s">
        <v>9</v>
      </c>
      <c r="D7" s="6" t="s">
        <v>10</v>
      </c>
      <c r="E7" s="6">
        <v>980</v>
      </c>
      <c r="F7" s="6">
        <v>78</v>
      </c>
      <c r="G7" s="6">
        <v>22</v>
      </c>
      <c r="H7" s="7">
        <v>1036</v>
      </c>
    </row>
    <row r="8" spans="1:8" ht="15" x14ac:dyDescent="0.2">
      <c r="A8" s="4" t="s">
        <v>14</v>
      </c>
      <c r="B8" s="5" t="s">
        <v>48</v>
      </c>
      <c r="C8" s="6" t="s">
        <v>126</v>
      </c>
      <c r="D8" s="6" t="s">
        <v>12</v>
      </c>
      <c r="E8" s="6">
        <v>1000</v>
      </c>
      <c r="F8" s="6">
        <v>73</v>
      </c>
      <c r="G8" s="6">
        <v>26</v>
      </c>
      <c r="H8" s="7">
        <v>1047</v>
      </c>
    </row>
    <row r="9" spans="1:8" ht="15" x14ac:dyDescent="0.2">
      <c r="A9" s="4" t="s">
        <v>24</v>
      </c>
      <c r="B9" s="5" t="s">
        <v>60</v>
      </c>
      <c r="C9" s="6" t="s">
        <v>29</v>
      </c>
      <c r="D9" s="6" t="s">
        <v>10</v>
      </c>
      <c r="E9" s="6">
        <v>1000</v>
      </c>
      <c r="F9" s="6">
        <v>59</v>
      </c>
      <c r="G9" s="6">
        <v>26</v>
      </c>
      <c r="H9" s="7">
        <v>1033</v>
      </c>
    </row>
    <row r="10" spans="1:8" ht="15" x14ac:dyDescent="0.2">
      <c r="A10" s="4" t="s">
        <v>15</v>
      </c>
      <c r="B10" s="5" t="s">
        <v>72</v>
      </c>
      <c r="C10" s="6" t="s">
        <v>41</v>
      </c>
      <c r="D10" s="6" t="s">
        <v>12</v>
      </c>
      <c r="E10" s="6">
        <v>1000</v>
      </c>
      <c r="F10" s="6">
        <v>75</v>
      </c>
      <c r="G10" s="6">
        <v>22</v>
      </c>
      <c r="H10" s="7">
        <v>1053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Sheet3!Criteria</vt:lpstr>
      <vt:lpstr>Sheet3!提取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2019-09-16T02:21:23Z</dcterms:modified>
</cp:coreProperties>
</file>