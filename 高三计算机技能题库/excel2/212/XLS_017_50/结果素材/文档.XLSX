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Sheet2!$A$1:$F$20</definedName>
    <definedName name="_xlnm.Criteria" localSheetId="1">Sheet2!$A$24:$B$25</definedName>
    <definedName name="_xlnm.Extract" localSheetId="1">Sheet2!$A$28:$F$28</definedName>
  </definedNames>
  <calcPr calcId="144525"/>
</workbook>
</file>

<file path=xl/calcChain.xml><?xml version="1.0" encoding="utf-8"?>
<calcChain xmlns="http://schemas.openxmlformats.org/spreadsheetml/2006/main">
  <c r="C22" i="2" l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D21" i="3"/>
  <c r="D17" i="3"/>
  <c r="D15" i="3"/>
  <c r="D12" i="3"/>
  <c r="D9" i="3"/>
  <c r="D22" i="3" s="1"/>
  <c r="D6" i="3"/>
  <c r="D4" i="1"/>
  <c r="D5" i="1"/>
  <c r="D3" i="1"/>
  <c r="D2" i="2"/>
</calcChain>
</file>

<file path=xl/sharedStrings.xml><?xml version="1.0" encoding="utf-8"?>
<sst xmlns="http://schemas.openxmlformats.org/spreadsheetml/2006/main" count="142" uniqueCount="102">
  <si>
    <t>设备名称</t>
    <phoneticPr fontId="1" type="noConversion"/>
  </si>
  <si>
    <t>数量</t>
    <phoneticPr fontId="1" type="noConversion"/>
  </si>
  <si>
    <t>单价</t>
    <phoneticPr fontId="1" type="noConversion"/>
  </si>
  <si>
    <t>金额</t>
    <phoneticPr fontId="1" type="noConversion"/>
  </si>
  <si>
    <t>电脑</t>
    <phoneticPr fontId="1" type="noConversion"/>
  </si>
  <si>
    <t>打印机</t>
    <phoneticPr fontId="1" type="noConversion"/>
  </si>
  <si>
    <t>扫描仪</t>
    <phoneticPr fontId="1" type="noConversion"/>
  </si>
  <si>
    <t>系别</t>
    <phoneticPr fontId="1" type="noConversion"/>
  </si>
  <si>
    <t>学号</t>
    <phoneticPr fontId="1" type="noConversion"/>
  </si>
  <si>
    <t>姓名</t>
    <phoneticPr fontId="1" type="noConversion"/>
  </si>
  <si>
    <t>考试成绩</t>
    <phoneticPr fontId="1" type="noConversion"/>
  </si>
  <si>
    <t>实验成绩</t>
    <phoneticPr fontId="1" type="noConversion"/>
  </si>
  <si>
    <t>总成绩</t>
    <phoneticPr fontId="1" type="noConversion"/>
  </si>
  <si>
    <t>信息</t>
    <phoneticPr fontId="1" type="noConversion"/>
  </si>
  <si>
    <t>991021</t>
    <phoneticPr fontId="1" type="noConversion"/>
  </si>
  <si>
    <t>计算机</t>
    <phoneticPr fontId="1" type="noConversion"/>
  </si>
  <si>
    <t>992032</t>
    <phoneticPr fontId="1" type="noConversion"/>
  </si>
  <si>
    <t>自动控制</t>
    <phoneticPr fontId="1" type="noConversion"/>
  </si>
  <si>
    <t>993023</t>
    <phoneticPr fontId="1" type="noConversion"/>
  </si>
  <si>
    <t>经济</t>
    <phoneticPr fontId="1" type="noConversion"/>
  </si>
  <si>
    <t>995034</t>
    <phoneticPr fontId="1" type="noConversion"/>
  </si>
  <si>
    <t>991076</t>
    <phoneticPr fontId="1" type="noConversion"/>
  </si>
  <si>
    <t>数学</t>
    <phoneticPr fontId="1" type="noConversion"/>
  </si>
  <si>
    <t>994056</t>
    <phoneticPr fontId="1" type="noConversion"/>
  </si>
  <si>
    <t>993021</t>
    <phoneticPr fontId="1" type="noConversion"/>
  </si>
  <si>
    <t>992089</t>
    <phoneticPr fontId="1" type="noConversion"/>
  </si>
  <si>
    <t>992005</t>
    <phoneticPr fontId="1" type="noConversion"/>
  </si>
  <si>
    <t>993082</t>
    <phoneticPr fontId="1" type="noConversion"/>
  </si>
  <si>
    <t>991062</t>
    <phoneticPr fontId="1" type="noConversion"/>
  </si>
  <si>
    <t>995022</t>
    <phoneticPr fontId="1" type="noConversion"/>
  </si>
  <si>
    <t>994034</t>
    <phoneticPr fontId="1" type="noConversion"/>
  </si>
  <si>
    <t>991025</t>
    <phoneticPr fontId="1" type="noConversion"/>
  </si>
  <si>
    <t>993026</t>
    <phoneticPr fontId="1" type="noConversion"/>
  </si>
  <si>
    <t>994086</t>
    <phoneticPr fontId="1" type="noConversion"/>
  </si>
  <si>
    <t>995014</t>
    <phoneticPr fontId="1" type="noConversion"/>
  </si>
  <si>
    <t>993053</t>
    <phoneticPr fontId="1" type="noConversion"/>
  </si>
  <si>
    <t>994027</t>
    <phoneticPr fontId="1" type="noConversion"/>
  </si>
  <si>
    <t>某单位工资计税表</t>
  </si>
  <si>
    <t>NO.</t>
  </si>
  <si>
    <t>姓名</t>
  </si>
  <si>
    <t>部门</t>
  </si>
  <si>
    <t>工资</t>
  </si>
  <si>
    <t>001</t>
  </si>
  <si>
    <t>陈鹏</t>
  </si>
  <si>
    <t>办公室</t>
  </si>
  <si>
    <t>002</t>
  </si>
  <si>
    <t>刘学燕</t>
  </si>
  <si>
    <t>003</t>
  </si>
  <si>
    <t>黄璐京</t>
  </si>
  <si>
    <t>人事处</t>
  </si>
  <si>
    <t>004</t>
  </si>
  <si>
    <t>王卫平</t>
  </si>
  <si>
    <t>业务处</t>
  </si>
  <si>
    <t>005</t>
  </si>
  <si>
    <t>任水滨</t>
  </si>
  <si>
    <t>财务处</t>
  </si>
  <si>
    <t>006</t>
  </si>
  <si>
    <t>张晓寰</t>
  </si>
  <si>
    <t>007</t>
  </si>
  <si>
    <t>杨宝春</t>
  </si>
  <si>
    <t>统计处</t>
  </si>
  <si>
    <t>008</t>
  </si>
  <si>
    <t>许东东</t>
  </si>
  <si>
    <t>009</t>
  </si>
  <si>
    <t>王川</t>
  </si>
  <si>
    <t>后勤处</t>
  </si>
  <si>
    <t>010</t>
  </si>
  <si>
    <t>连威</t>
  </si>
  <si>
    <t>011</t>
  </si>
  <si>
    <t>高琳</t>
  </si>
  <si>
    <t>012</t>
  </si>
  <si>
    <t>沈克</t>
  </si>
  <si>
    <t>含有“王”的人数：</t>
    <phoneticPr fontId="1" type="noConversion"/>
  </si>
  <si>
    <t>单位设备购置情况表</t>
    <phoneticPr fontId="1" type="noConversion"/>
  </si>
  <si>
    <t>办公室 平均值</t>
  </si>
  <si>
    <t>财务处 平均值</t>
  </si>
  <si>
    <t>后勤处 平均值</t>
  </si>
  <si>
    <t>人事处 平均值</t>
  </si>
  <si>
    <t>统计处 平均值</t>
  </si>
  <si>
    <t>业务处 平均值</t>
  </si>
  <si>
    <t>总计平均值</t>
  </si>
  <si>
    <t>李新</t>
    <phoneticPr fontId="1" type="noConversion"/>
  </si>
  <si>
    <t>王文辉</t>
    <phoneticPr fontId="1" type="noConversion"/>
  </si>
  <si>
    <t>张磊</t>
    <phoneticPr fontId="1" type="noConversion"/>
  </si>
  <si>
    <t>郝心怡</t>
    <phoneticPr fontId="1" type="noConversion"/>
  </si>
  <si>
    <t>王力</t>
    <phoneticPr fontId="1" type="noConversion"/>
  </si>
  <si>
    <t>孙英</t>
    <phoneticPr fontId="1" type="noConversion"/>
  </si>
  <si>
    <t>张王旭</t>
    <phoneticPr fontId="1" type="noConversion"/>
  </si>
  <si>
    <t>金翔</t>
    <phoneticPr fontId="1" type="noConversion"/>
  </si>
  <si>
    <t>扬海东</t>
    <phoneticPr fontId="1" type="noConversion"/>
  </si>
  <si>
    <t>黄立</t>
    <phoneticPr fontId="1" type="noConversion"/>
  </si>
  <si>
    <t>王春晓</t>
    <phoneticPr fontId="1" type="noConversion"/>
  </si>
  <si>
    <t>陈松</t>
    <phoneticPr fontId="1" type="noConversion"/>
  </si>
  <si>
    <t>姚林</t>
    <phoneticPr fontId="1" type="noConversion"/>
  </si>
  <si>
    <t>张雨涵</t>
    <phoneticPr fontId="1" type="noConversion"/>
  </si>
  <si>
    <t>钱民王</t>
    <phoneticPr fontId="1" type="noConversion"/>
  </si>
  <si>
    <t>高晓东</t>
    <phoneticPr fontId="1" type="noConversion"/>
  </si>
  <si>
    <t>张平</t>
    <phoneticPr fontId="1" type="noConversion"/>
  </si>
  <si>
    <t>李英</t>
    <phoneticPr fontId="1" type="noConversion"/>
  </si>
  <si>
    <t>黄红</t>
    <phoneticPr fontId="1" type="noConversion"/>
  </si>
  <si>
    <t>&gt;=80</t>
    <phoneticPr fontId="1" type="noConversion"/>
  </si>
  <si>
    <t>&gt;=18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</si>
</sst>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b/>
      <sz val="18"/>
      <color indexed="12"/>
      <name val="隶书"/>
      <family val="3"/>
      <charset val="134"/>
    </font>
    <font>
      <b/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</fills>
  <borders count="10">
    <border>
      <left/>
      <right/>
      <top/>
      <bottom/>
      <diagonal/>
    </border>
    <border>
      <left style="double">
        <color indexed="10"/>
      </left>
      <right style="thin">
        <color indexed="49"/>
      </right>
      <top style="double">
        <color indexed="10"/>
      </top>
      <bottom style="thin">
        <color indexed="49"/>
      </bottom>
      <diagonal/>
    </border>
    <border>
      <left style="thin">
        <color indexed="49"/>
      </left>
      <right style="thin">
        <color indexed="49"/>
      </right>
      <top style="double">
        <color indexed="10"/>
      </top>
      <bottom style="thin">
        <color indexed="49"/>
      </bottom>
      <diagonal/>
    </border>
    <border>
      <left style="thin">
        <color indexed="49"/>
      </left>
      <right style="double">
        <color indexed="10"/>
      </right>
      <top style="double">
        <color indexed="10"/>
      </top>
      <bottom style="thin">
        <color indexed="49"/>
      </bottom>
      <diagonal/>
    </border>
    <border>
      <left style="double">
        <color indexed="10"/>
      </left>
      <right style="thin">
        <color indexed="49"/>
      </right>
      <top style="thin">
        <color indexed="49"/>
      </top>
      <bottom style="thin">
        <color indexed="49"/>
      </bottom>
      <diagonal/>
    </border>
    <border>
      <left style="thin">
        <color indexed="49"/>
      </left>
      <right style="thin">
        <color indexed="49"/>
      </right>
      <top style="thin">
        <color indexed="49"/>
      </top>
      <bottom style="thin">
        <color indexed="49"/>
      </bottom>
      <diagonal/>
    </border>
    <border>
      <left style="thin">
        <color indexed="49"/>
      </left>
      <right style="double">
        <color indexed="10"/>
      </right>
      <top style="thin">
        <color indexed="49"/>
      </top>
      <bottom style="thin">
        <color indexed="49"/>
      </bottom>
      <diagonal/>
    </border>
    <border>
      <left style="double">
        <color indexed="10"/>
      </left>
      <right style="thin">
        <color indexed="49"/>
      </right>
      <top style="thin">
        <color indexed="49"/>
      </top>
      <bottom style="double">
        <color indexed="10"/>
      </bottom>
      <diagonal/>
    </border>
    <border>
      <left style="thin">
        <color indexed="49"/>
      </left>
      <right style="thin">
        <color indexed="49"/>
      </right>
      <top style="thin">
        <color indexed="49"/>
      </top>
      <bottom style="double">
        <color indexed="10"/>
      </bottom>
      <diagonal/>
    </border>
    <border>
      <left style="thin">
        <color indexed="49"/>
      </left>
      <right style="double">
        <color indexed="10"/>
      </right>
      <top style="thin">
        <color indexed="49"/>
      </top>
      <bottom style="double">
        <color indexed="1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quotePrefix="1"/>
    <xf numFmtId="0" fontId="2" fillId="0" borderId="0" xfId="0" applyFont="1"/>
    <xf numFmtId="0" fontId="2" fillId="0" borderId="0" xfId="0" quotePrefix="1" applyFont="1"/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6"/>
  <sheetViews>
    <sheetView tabSelected="1" workbookViewId="0">
      <selection activeCell="J11" sqref="J11"/>
    </sheetView>
  </sheetViews>
  <sheetFormatPr defaultRowHeight="14.25" x14ac:dyDescent="0.15"/>
  <sheetData>
    <row r="1" spans="1:4" ht="30" customHeight="1" thickBot="1" x14ac:dyDescent="0.2">
      <c r="A1" s="14" t="s">
        <v>73</v>
      </c>
      <c r="B1" s="14"/>
      <c r="C1" s="14"/>
      <c r="D1" s="14"/>
    </row>
    <row r="2" spans="1:4" ht="15" thickTop="1" x14ac:dyDescent="0.15">
      <c r="A2" s="5" t="s">
        <v>0</v>
      </c>
      <c r="B2" s="6" t="s">
        <v>1</v>
      </c>
      <c r="C2" s="6" t="s">
        <v>2</v>
      </c>
      <c r="D2" s="7" t="s">
        <v>3</v>
      </c>
    </row>
    <row r="3" spans="1:4" x14ac:dyDescent="0.15">
      <c r="A3" s="8" t="s">
        <v>4</v>
      </c>
      <c r="B3" s="9">
        <v>16</v>
      </c>
      <c r="C3" s="9">
        <v>6580</v>
      </c>
      <c r="D3" s="10">
        <f>B3*C3</f>
        <v>105280</v>
      </c>
    </row>
    <row r="4" spans="1:4" x14ac:dyDescent="0.15">
      <c r="A4" s="8" t="s">
        <v>5</v>
      </c>
      <c r="B4" s="9">
        <v>7</v>
      </c>
      <c r="C4" s="9">
        <v>1210</v>
      </c>
      <c r="D4" s="10">
        <f>B4*C4</f>
        <v>8470</v>
      </c>
    </row>
    <row r="5" spans="1:4" ht="15" thickBot="1" x14ac:dyDescent="0.2">
      <c r="A5" s="11" t="s">
        <v>6</v>
      </c>
      <c r="B5" s="12">
        <v>3</v>
      </c>
      <c r="C5" s="12">
        <v>987</v>
      </c>
      <c r="D5" s="13">
        <f>B5*C5</f>
        <v>2961</v>
      </c>
    </row>
    <row r="6" spans="1:4" ht="15" thickTop="1" x14ac:dyDescent="0.15"/>
  </sheetData>
  <mergeCells count="1">
    <mergeCell ref="A1:D1"/>
  </mergeCells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32"/>
  <sheetViews>
    <sheetView topLeftCell="A13" workbookViewId="0">
      <selection activeCell="K24" sqref="K24"/>
    </sheetView>
  </sheetViews>
  <sheetFormatPr defaultRowHeight="14.25" x14ac:dyDescent="0.15"/>
  <sheetData>
    <row r="1" spans="1:6" x14ac:dyDescent="0.1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15">
      <c r="A2" t="s">
        <v>13</v>
      </c>
      <c r="B2" s="1" t="s">
        <v>14</v>
      </c>
      <c r="C2" t="s">
        <v>81</v>
      </c>
      <c r="D2">
        <f>74</f>
        <v>74</v>
      </c>
      <c r="E2">
        <v>16</v>
      </c>
      <c r="F2">
        <f>SUM(D2:E2)</f>
        <v>90</v>
      </c>
    </row>
    <row r="3" spans="1:6" x14ac:dyDescent="0.15">
      <c r="A3" t="s">
        <v>15</v>
      </c>
      <c r="B3" s="1" t="s">
        <v>16</v>
      </c>
      <c r="C3" t="s">
        <v>82</v>
      </c>
      <c r="D3">
        <v>87</v>
      </c>
      <c r="E3">
        <v>17</v>
      </c>
      <c r="F3">
        <f t="shared" ref="F3:F20" si="0">SUM(D3:E3)</f>
        <v>104</v>
      </c>
    </row>
    <row r="4" spans="1:6" ht="15.75" x14ac:dyDescent="0.25">
      <c r="A4" t="s">
        <v>17</v>
      </c>
      <c r="B4" s="1" t="s">
        <v>18</v>
      </c>
      <c r="C4" t="s">
        <v>83</v>
      </c>
      <c r="D4" s="2">
        <v>65</v>
      </c>
      <c r="E4">
        <v>19</v>
      </c>
      <c r="F4">
        <f t="shared" si="0"/>
        <v>84</v>
      </c>
    </row>
    <row r="5" spans="1:6" x14ac:dyDescent="0.15">
      <c r="A5" t="s">
        <v>19</v>
      </c>
      <c r="B5" s="1" t="s">
        <v>20</v>
      </c>
      <c r="C5" t="s">
        <v>84</v>
      </c>
      <c r="D5">
        <v>86</v>
      </c>
      <c r="E5">
        <v>17</v>
      </c>
      <c r="F5">
        <f t="shared" si="0"/>
        <v>103</v>
      </c>
    </row>
    <row r="6" spans="1:6" ht="15.75" x14ac:dyDescent="0.25">
      <c r="A6" t="s">
        <v>13</v>
      </c>
      <c r="B6" s="3" t="s">
        <v>21</v>
      </c>
      <c r="C6" t="s">
        <v>85</v>
      </c>
      <c r="D6">
        <v>91</v>
      </c>
      <c r="E6">
        <v>15</v>
      </c>
      <c r="F6">
        <f t="shared" si="0"/>
        <v>106</v>
      </c>
    </row>
    <row r="7" spans="1:6" ht="15.75" x14ac:dyDescent="0.25">
      <c r="A7" t="s">
        <v>22</v>
      </c>
      <c r="B7" s="3" t="s">
        <v>23</v>
      </c>
      <c r="C7" t="s">
        <v>86</v>
      </c>
      <c r="D7">
        <v>77</v>
      </c>
      <c r="E7">
        <v>14</v>
      </c>
      <c r="F7">
        <f t="shared" si="0"/>
        <v>91</v>
      </c>
    </row>
    <row r="8" spans="1:6" ht="15.75" x14ac:dyDescent="0.25">
      <c r="A8" t="s">
        <v>17</v>
      </c>
      <c r="B8" s="3" t="s">
        <v>24</v>
      </c>
      <c r="C8" t="s">
        <v>87</v>
      </c>
      <c r="D8">
        <v>60</v>
      </c>
      <c r="E8">
        <v>14</v>
      </c>
      <c r="F8">
        <f t="shared" si="0"/>
        <v>74</v>
      </c>
    </row>
    <row r="9" spans="1:6" ht="15.75" x14ac:dyDescent="0.25">
      <c r="A9" t="s">
        <v>15</v>
      </c>
      <c r="B9" s="3" t="s">
        <v>25</v>
      </c>
      <c r="C9" t="s">
        <v>88</v>
      </c>
      <c r="D9">
        <v>73</v>
      </c>
      <c r="E9">
        <v>18</v>
      </c>
      <c r="F9">
        <f t="shared" si="0"/>
        <v>91</v>
      </c>
    </row>
    <row r="10" spans="1:6" ht="15.75" x14ac:dyDescent="0.25">
      <c r="A10" t="s">
        <v>15</v>
      </c>
      <c r="B10" s="3" t="s">
        <v>26</v>
      </c>
      <c r="C10" t="s">
        <v>89</v>
      </c>
      <c r="D10">
        <v>90</v>
      </c>
      <c r="E10">
        <v>19</v>
      </c>
      <c r="F10">
        <f t="shared" si="0"/>
        <v>109</v>
      </c>
    </row>
    <row r="11" spans="1:6" ht="15.75" x14ac:dyDescent="0.25">
      <c r="A11" t="s">
        <v>17</v>
      </c>
      <c r="B11" s="3" t="s">
        <v>27</v>
      </c>
      <c r="C11" t="s">
        <v>90</v>
      </c>
      <c r="D11">
        <v>85</v>
      </c>
      <c r="E11">
        <v>20</v>
      </c>
      <c r="F11">
        <f t="shared" si="0"/>
        <v>105</v>
      </c>
    </row>
    <row r="12" spans="1:6" ht="15.75" x14ac:dyDescent="0.25">
      <c r="A12" t="s">
        <v>13</v>
      </c>
      <c r="B12" s="3" t="s">
        <v>28</v>
      </c>
      <c r="C12" t="s">
        <v>91</v>
      </c>
      <c r="D12">
        <v>78</v>
      </c>
      <c r="E12">
        <v>17</v>
      </c>
      <c r="F12">
        <f t="shared" si="0"/>
        <v>95</v>
      </c>
    </row>
    <row r="13" spans="1:6" x14ac:dyDescent="0.15">
      <c r="A13" t="s">
        <v>19</v>
      </c>
      <c r="B13" s="1" t="s">
        <v>29</v>
      </c>
      <c r="C13" t="s">
        <v>92</v>
      </c>
      <c r="D13">
        <v>69</v>
      </c>
      <c r="E13">
        <v>12</v>
      </c>
      <c r="F13">
        <f t="shared" si="0"/>
        <v>81</v>
      </c>
    </row>
    <row r="14" spans="1:6" ht="15.75" x14ac:dyDescent="0.25">
      <c r="A14" t="s">
        <v>22</v>
      </c>
      <c r="B14" s="3" t="s">
        <v>30</v>
      </c>
      <c r="C14" t="s">
        <v>93</v>
      </c>
      <c r="D14">
        <v>89</v>
      </c>
      <c r="E14">
        <v>15</v>
      </c>
      <c r="F14">
        <f t="shared" si="0"/>
        <v>104</v>
      </c>
    </row>
    <row r="15" spans="1:6" ht="15.75" x14ac:dyDescent="0.25">
      <c r="A15" t="s">
        <v>13</v>
      </c>
      <c r="B15" s="3" t="s">
        <v>31</v>
      </c>
      <c r="C15" t="s">
        <v>94</v>
      </c>
      <c r="D15">
        <v>62</v>
      </c>
      <c r="E15">
        <v>17</v>
      </c>
      <c r="F15">
        <f t="shared" si="0"/>
        <v>79</v>
      </c>
    </row>
    <row r="16" spans="1:6" ht="15.75" x14ac:dyDescent="0.25">
      <c r="A16" t="s">
        <v>17</v>
      </c>
      <c r="B16" s="3" t="s">
        <v>32</v>
      </c>
      <c r="C16" t="s">
        <v>95</v>
      </c>
      <c r="D16">
        <v>66</v>
      </c>
      <c r="E16">
        <v>16</v>
      </c>
      <c r="F16">
        <f t="shared" si="0"/>
        <v>82</v>
      </c>
    </row>
    <row r="17" spans="1:6" ht="15.75" x14ac:dyDescent="0.25">
      <c r="A17" t="s">
        <v>22</v>
      </c>
      <c r="B17" s="3" t="s">
        <v>33</v>
      </c>
      <c r="C17" t="s">
        <v>96</v>
      </c>
      <c r="D17">
        <v>78</v>
      </c>
      <c r="E17">
        <v>15</v>
      </c>
      <c r="F17">
        <f t="shared" si="0"/>
        <v>93</v>
      </c>
    </row>
    <row r="18" spans="1:6" ht="15.75" x14ac:dyDescent="0.25">
      <c r="A18" t="s">
        <v>19</v>
      </c>
      <c r="B18" s="3" t="s">
        <v>34</v>
      </c>
      <c r="C18" t="s">
        <v>97</v>
      </c>
      <c r="D18">
        <v>80</v>
      </c>
      <c r="E18">
        <v>18</v>
      </c>
      <c r="F18">
        <f t="shared" si="0"/>
        <v>98</v>
      </c>
    </row>
    <row r="19" spans="1:6" ht="15.75" x14ac:dyDescent="0.25">
      <c r="A19" t="s">
        <v>17</v>
      </c>
      <c r="B19" s="3" t="s">
        <v>35</v>
      </c>
      <c r="C19" t="s">
        <v>98</v>
      </c>
      <c r="D19">
        <v>93</v>
      </c>
      <c r="E19">
        <v>19</v>
      </c>
      <c r="F19">
        <f t="shared" si="0"/>
        <v>112</v>
      </c>
    </row>
    <row r="20" spans="1:6" ht="15.75" x14ac:dyDescent="0.25">
      <c r="A20" t="s">
        <v>22</v>
      </c>
      <c r="B20" s="3" t="s">
        <v>36</v>
      </c>
      <c r="C20" t="s">
        <v>99</v>
      </c>
      <c r="D20">
        <v>68</v>
      </c>
      <c r="E20">
        <v>20</v>
      </c>
      <c r="F20">
        <f t="shared" si="0"/>
        <v>88</v>
      </c>
    </row>
    <row r="22" spans="1:6" x14ac:dyDescent="0.15">
      <c r="A22" t="s">
        <v>72</v>
      </c>
      <c r="C22">
        <f>COUNTIF(C2:C20,"*王*")</f>
        <v>5</v>
      </c>
    </row>
    <row r="24" spans="1:6" x14ac:dyDescent="0.15">
      <c r="A24" t="s">
        <v>10</v>
      </c>
      <c r="B24" t="s">
        <v>11</v>
      </c>
    </row>
    <row r="25" spans="1:6" x14ac:dyDescent="0.15">
      <c r="A25" t="s">
        <v>100</v>
      </c>
      <c r="B25" t="s">
        <v>101</v>
      </c>
    </row>
    <row r="28" spans="1:6" x14ac:dyDescent="0.1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</row>
    <row r="29" spans="1:6" ht="15.75" x14ac:dyDescent="0.25">
      <c r="A29" t="s">
        <v>15</v>
      </c>
      <c r="B29" s="3" t="s">
        <v>26</v>
      </c>
      <c r="C29" t="s">
        <v>89</v>
      </c>
      <c r="D29">
        <v>90</v>
      </c>
      <c r="E29">
        <v>19</v>
      </c>
      <c r="F29">
        <v>109</v>
      </c>
    </row>
    <row r="30" spans="1:6" ht="15.75" x14ac:dyDescent="0.25">
      <c r="A30" t="s">
        <v>17</v>
      </c>
      <c r="B30" s="3" t="s">
        <v>27</v>
      </c>
      <c r="C30" t="s">
        <v>90</v>
      </c>
      <c r="D30">
        <v>85</v>
      </c>
      <c r="E30">
        <v>20</v>
      </c>
      <c r="F30">
        <v>105</v>
      </c>
    </row>
    <row r="31" spans="1:6" ht="15.75" x14ac:dyDescent="0.25">
      <c r="A31" t="s">
        <v>19</v>
      </c>
      <c r="B31" s="3" t="s">
        <v>34</v>
      </c>
      <c r="C31" t="s">
        <v>97</v>
      </c>
      <c r="D31">
        <v>80</v>
      </c>
      <c r="E31">
        <v>18</v>
      </c>
      <c r="F31">
        <v>98</v>
      </c>
    </row>
    <row r="32" spans="1:6" ht="15.75" x14ac:dyDescent="0.25">
      <c r="A32" t="s">
        <v>17</v>
      </c>
      <c r="B32" s="3" t="s">
        <v>35</v>
      </c>
      <c r="C32" t="s">
        <v>98</v>
      </c>
      <c r="D32">
        <v>93</v>
      </c>
      <c r="E32">
        <v>19</v>
      </c>
      <c r="F32">
        <v>112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22"/>
  <sheetViews>
    <sheetView workbookViewId="0">
      <selection activeCell="H14" sqref="H14"/>
    </sheetView>
  </sheetViews>
  <sheetFormatPr defaultRowHeight="14.25" outlineLevelRow="2" x14ac:dyDescent="0.15"/>
  <cols>
    <col min="3" max="3" width="16.25" bestFit="1" customWidth="1"/>
  </cols>
  <sheetData>
    <row r="1" spans="1:4" x14ac:dyDescent="0.15">
      <c r="A1" t="s">
        <v>37</v>
      </c>
    </row>
    <row r="3" spans="1:4" x14ac:dyDescent="0.15">
      <c r="A3" t="s">
        <v>38</v>
      </c>
      <c r="B3" t="s">
        <v>39</v>
      </c>
      <c r="C3" t="s">
        <v>40</v>
      </c>
      <c r="D3" t="s">
        <v>41</v>
      </c>
    </row>
    <row r="4" spans="1:4" outlineLevel="2" x14ac:dyDescent="0.15">
      <c r="A4" t="s">
        <v>42</v>
      </c>
      <c r="B4" t="s">
        <v>43</v>
      </c>
      <c r="C4" t="s">
        <v>44</v>
      </c>
      <c r="D4">
        <v>3200</v>
      </c>
    </row>
    <row r="5" spans="1:4" outlineLevel="2" x14ac:dyDescent="0.15">
      <c r="A5" t="s">
        <v>45</v>
      </c>
      <c r="B5" t="s">
        <v>46</v>
      </c>
      <c r="C5" t="s">
        <v>44</v>
      </c>
      <c r="D5">
        <v>6100</v>
      </c>
    </row>
    <row r="6" spans="1:4" outlineLevel="1" x14ac:dyDescent="0.15">
      <c r="C6" s="4" t="s">
        <v>74</v>
      </c>
      <c r="D6">
        <f>SUBTOTAL(1,D4:D5)</f>
        <v>4650</v>
      </c>
    </row>
    <row r="7" spans="1:4" outlineLevel="2" x14ac:dyDescent="0.15">
      <c r="A7" t="s">
        <v>53</v>
      </c>
      <c r="B7" t="s">
        <v>54</v>
      </c>
      <c r="C7" t="s">
        <v>55</v>
      </c>
      <c r="D7">
        <v>5900</v>
      </c>
    </row>
    <row r="8" spans="1:4" outlineLevel="2" x14ac:dyDescent="0.15">
      <c r="A8" t="s">
        <v>68</v>
      </c>
      <c r="B8" t="s">
        <v>69</v>
      </c>
      <c r="C8" t="s">
        <v>55</v>
      </c>
      <c r="D8">
        <v>1100</v>
      </c>
    </row>
    <row r="9" spans="1:4" outlineLevel="1" x14ac:dyDescent="0.15">
      <c r="C9" s="4" t="s">
        <v>75</v>
      </c>
      <c r="D9">
        <f>SUBTOTAL(1,D7:D8)</f>
        <v>3500</v>
      </c>
    </row>
    <row r="10" spans="1:4" outlineLevel="2" x14ac:dyDescent="0.15">
      <c r="A10" t="s">
        <v>63</v>
      </c>
      <c r="B10" t="s">
        <v>64</v>
      </c>
      <c r="C10" t="s">
        <v>65</v>
      </c>
      <c r="D10">
        <v>3800</v>
      </c>
    </row>
    <row r="11" spans="1:4" outlineLevel="2" x14ac:dyDescent="0.15">
      <c r="A11" t="s">
        <v>66</v>
      </c>
      <c r="B11" t="s">
        <v>67</v>
      </c>
      <c r="C11" t="s">
        <v>65</v>
      </c>
      <c r="D11">
        <v>600</v>
      </c>
    </row>
    <row r="12" spans="1:4" outlineLevel="1" x14ac:dyDescent="0.15">
      <c r="C12" s="4" t="s">
        <v>76</v>
      </c>
      <c r="D12">
        <f>SUBTOTAL(1,D10:D11)</f>
        <v>2200</v>
      </c>
    </row>
    <row r="13" spans="1:4" outlineLevel="2" x14ac:dyDescent="0.15">
      <c r="A13" t="s">
        <v>47</v>
      </c>
      <c r="B13" t="s">
        <v>48</v>
      </c>
      <c r="C13" t="s">
        <v>49</v>
      </c>
      <c r="D13">
        <v>6000</v>
      </c>
    </row>
    <row r="14" spans="1:4" outlineLevel="2" x14ac:dyDescent="0.15">
      <c r="A14" t="s">
        <v>56</v>
      </c>
      <c r="B14" t="s">
        <v>57</v>
      </c>
      <c r="C14" t="s">
        <v>49</v>
      </c>
      <c r="D14">
        <v>3100</v>
      </c>
    </row>
    <row r="15" spans="1:4" outlineLevel="1" x14ac:dyDescent="0.15">
      <c r="C15" s="4" t="s">
        <v>77</v>
      </c>
      <c r="D15">
        <f>SUBTOTAL(1,D13:D14)</f>
        <v>4550</v>
      </c>
    </row>
    <row r="16" spans="1:4" outlineLevel="2" x14ac:dyDescent="0.15">
      <c r="A16" t="s">
        <v>58</v>
      </c>
      <c r="B16" t="s">
        <v>59</v>
      </c>
      <c r="C16" t="s">
        <v>60</v>
      </c>
      <c r="D16">
        <v>4000</v>
      </c>
    </row>
    <row r="17" spans="1:4" outlineLevel="1" x14ac:dyDescent="0.15">
      <c r="C17" s="4" t="s">
        <v>78</v>
      </c>
      <c r="D17">
        <f>SUBTOTAL(1,D16:D16)</f>
        <v>4000</v>
      </c>
    </row>
    <row r="18" spans="1:4" outlineLevel="2" x14ac:dyDescent="0.15">
      <c r="A18" t="s">
        <v>50</v>
      </c>
      <c r="B18" t="s">
        <v>51</v>
      </c>
      <c r="C18" t="s">
        <v>52</v>
      </c>
      <c r="D18">
        <v>3000</v>
      </c>
    </row>
    <row r="19" spans="1:4" outlineLevel="2" x14ac:dyDescent="0.15">
      <c r="A19" t="s">
        <v>61</v>
      </c>
      <c r="B19" t="s">
        <v>62</v>
      </c>
      <c r="C19" t="s">
        <v>52</v>
      </c>
      <c r="D19">
        <v>2860</v>
      </c>
    </row>
    <row r="20" spans="1:4" outlineLevel="2" x14ac:dyDescent="0.15">
      <c r="A20" t="s">
        <v>70</v>
      </c>
      <c r="B20" t="s">
        <v>71</v>
      </c>
      <c r="C20" t="s">
        <v>52</v>
      </c>
      <c r="D20">
        <v>1600</v>
      </c>
    </row>
    <row r="21" spans="1:4" outlineLevel="1" x14ac:dyDescent="0.15">
      <c r="C21" s="4" t="s">
        <v>79</v>
      </c>
      <c r="D21">
        <f>SUBTOTAL(1,D18:D20)</f>
        <v>2486.6666666666665</v>
      </c>
    </row>
    <row r="22" spans="1:4" x14ac:dyDescent="0.15">
      <c r="C22" s="4" t="s">
        <v>80</v>
      </c>
      <c r="D22">
        <f>SUBTOTAL(1,D4:D20)</f>
        <v>3438.3333333333335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Sheet2!Criteria</vt:lpstr>
      <vt:lpstr>Sheet2!提取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2019-09-16T02:22:21Z</dcterms:modified>
</cp:coreProperties>
</file>