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definedNames>
    <definedName name="_xlnm.Criteria" localSheetId="2">Sheet3!$A$1:$B$2</definedName>
    <definedName name="_xlnm.Extract" localSheetId="2">Sheet3!$A$5:$N$5</definedName>
  </definedNames>
  <calcPr calcId="144525"/>
</workbook>
</file>

<file path=xl/calcChain.xml><?xml version="1.0" encoding="utf-8"?>
<calcChain xmlns="http://schemas.openxmlformats.org/spreadsheetml/2006/main">
  <c r="L15" i="2" l="1"/>
  <c r="N15" i="2"/>
  <c r="K15" i="2"/>
  <c r="K3" i="2"/>
  <c r="K30" i="2"/>
  <c r="K22" i="2"/>
  <c r="K24" i="2"/>
  <c r="K26" i="2"/>
  <c r="K9" i="2"/>
  <c r="K14" i="2"/>
  <c r="K29" i="2"/>
  <c r="K16" i="2"/>
  <c r="K12" i="2"/>
  <c r="K20" i="2"/>
  <c r="K19" i="2"/>
  <c r="K13" i="2"/>
  <c r="K32" i="2"/>
  <c r="K17" i="2"/>
  <c r="K23" i="2"/>
  <c r="K10" i="2"/>
  <c r="K18" i="2"/>
  <c r="K28" i="2"/>
  <c r="K11" i="2"/>
  <c r="K31" i="2"/>
  <c r="K5" i="2"/>
  <c r="M4" i="2" s="1"/>
  <c r="K6" i="2"/>
  <c r="M15" i="2" s="1"/>
  <c r="K21" i="2"/>
  <c r="K7" i="2"/>
  <c r="K25" i="2"/>
  <c r="K27" i="2"/>
  <c r="K8" i="2"/>
  <c r="K4" i="2"/>
  <c r="L4" i="2"/>
  <c r="N4" i="2" s="1"/>
  <c r="L8" i="2"/>
  <c r="N8" i="2"/>
  <c r="L27" i="2"/>
  <c r="N27" i="2"/>
  <c r="M27" i="2"/>
  <c r="L25" i="2"/>
  <c r="N25" i="2" s="1"/>
  <c r="L7" i="2"/>
  <c r="N7" i="2" s="1"/>
  <c r="L21" i="2"/>
  <c r="N21" i="2"/>
  <c r="L6" i="2"/>
  <c r="N6" i="2"/>
  <c r="M6" i="2"/>
  <c r="L5" i="2"/>
  <c r="N5" i="2" s="1"/>
  <c r="L31" i="2"/>
  <c r="N31" i="2" s="1"/>
  <c r="L11" i="2"/>
  <c r="N11" i="2"/>
  <c r="L28" i="2"/>
  <c r="N28" i="2"/>
  <c r="M28" i="2"/>
  <c r="L18" i="2"/>
  <c r="N18" i="2" s="1"/>
  <c r="L10" i="2"/>
  <c r="N10" i="2" s="1"/>
  <c r="L23" i="2"/>
  <c r="N23" i="2"/>
  <c r="L17" i="2"/>
  <c r="N17" i="2"/>
  <c r="M17" i="2"/>
  <c r="L32" i="2"/>
  <c r="N32" i="2" s="1"/>
  <c r="L13" i="2"/>
  <c r="N13" i="2" s="1"/>
  <c r="L19" i="2"/>
  <c r="N19" i="2"/>
  <c r="L20" i="2"/>
  <c r="N20" i="2"/>
  <c r="M20" i="2"/>
  <c r="L12" i="2"/>
  <c r="N12" i="2" s="1"/>
  <c r="L16" i="2"/>
  <c r="N16" i="2" s="1"/>
  <c r="L29" i="2"/>
  <c r="N29" i="2"/>
  <c r="L14" i="2"/>
  <c r="N14" i="2"/>
  <c r="M14" i="2"/>
  <c r="L9" i="2"/>
  <c r="N9" i="2" s="1"/>
  <c r="L26" i="2"/>
  <c r="N26" i="2" s="1"/>
  <c r="L24" i="2"/>
  <c r="N24" i="2"/>
  <c r="L22" i="2"/>
  <c r="N22" i="2"/>
  <c r="M22" i="2"/>
  <c r="L30" i="2"/>
  <c r="N30" i="2" s="1"/>
  <c r="L3" i="2"/>
  <c r="N3" i="2" s="1"/>
  <c r="L4" i="1"/>
  <c r="N4" i="1" s="1"/>
  <c r="L5" i="1"/>
  <c r="N5" i="1"/>
  <c r="L6" i="1"/>
  <c r="N6" i="1" s="1"/>
  <c r="L7" i="1"/>
  <c r="N7" i="1"/>
  <c r="L8" i="1"/>
  <c r="N8" i="1" s="1"/>
  <c r="L9" i="1"/>
  <c r="N9" i="1"/>
  <c r="L10" i="1"/>
  <c r="N10" i="1" s="1"/>
  <c r="L11" i="1"/>
  <c r="N11" i="1"/>
  <c r="L12" i="1"/>
  <c r="N12" i="1" s="1"/>
  <c r="L13" i="1"/>
  <c r="N13" i="1"/>
  <c r="L14" i="1"/>
  <c r="N14" i="1" s="1"/>
  <c r="L15" i="1"/>
  <c r="N15" i="1"/>
  <c r="L16" i="1"/>
  <c r="N16" i="1" s="1"/>
  <c r="L17" i="1"/>
  <c r="N17" i="1"/>
  <c r="L18" i="1"/>
  <c r="N18" i="1" s="1"/>
  <c r="L19" i="1"/>
  <c r="N19" i="1"/>
  <c r="L20" i="1"/>
  <c r="N20" i="1" s="1"/>
  <c r="L21" i="1"/>
  <c r="N21" i="1"/>
  <c r="L22" i="1"/>
  <c r="N22" i="1" s="1"/>
  <c r="L23" i="1"/>
  <c r="N23" i="1"/>
  <c r="L24" i="1"/>
  <c r="N24" i="1" s="1"/>
  <c r="L25" i="1"/>
  <c r="N25" i="1"/>
  <c r="L26" i="1"/>
  <c r="N26" i="1" s="1"/>
  <c r="L27" i="1"/>
  <c r="N27" i="1"/>
  <c r="L28" i="1"/>
  <c r="N28" i="1" s="1"/>
  <c r="L29" i="1"/>
  <c r="N29" i="1"/>
  <c r="L30" i="1"/>
  <c r="N30" i="1" s="1"/>
  <c r="L31" i="1"/>
  <c r="N31" i="1"/>
  <c r="L32" i="1"/>
  <c r="N32" i="1" s="1"/>
  <c r="L3" i="1"/>
  <c r="N3" i="1"/>
  <c r="K4" i="1"/>
  <c r="K3" i="1"/>
  <c r="K5" i="1"/>
  <c r="M8" i="1" s="1"/>
  <c r="K6" i="1"/>
  <c r="M21" i="1" s="1"/>
  <c r="K7" i="1"/>
  <c r="M7" i="1" s="1"/>
  <c r="K8" i="1"/>
  <c r="K9" i="1"/>
  <c r="K10" i="1"/>
  <c r="M10" i="1" s="1"/>
  <c r="K11" i="1"/>
  <c r="M11" i="1" s="1"/>
  <c r="K12" i="1"/>
  <c r="K13" i="1"/>
  <c r="K14" i="1"/>
  <c r="M14" i="1" s="1"/>
  <c r="K15" i="1"/>
  <c r="M15" i="1" s="1"/>
  <c r="K16" i="1"/>
  <c r="K17" i="1"/>
  <c r="K18" i="1"/>
  <c r="M18" i="1" s="1"/>
  <c r="K19" i="1"/>
  <c r="M19" i="1" s="1"/>
  <c r="K20" i="1"/>
  <c r="K21" i="1"/>
  <c r="K22" i="1"/>
  <c r="M22" i="1" s="1"/>
  <c r="K23" i="1"/>
  <c r="M23" i="1" s="1"/>
  <c r="K24" i="1"/>
  <c r="K25" i="1"/>
  <c r="K26" i="1"/>
  <c r="M26" i="1" s="1"/>
  <c r="K27" i="1"/>
  <c r="M27" i="1" s="1"/>
  <c r="K28" i="1"/>
  <c r="K29" i="1"/>
  <c r="K30" i="1"/>
  <c r="M30" i="1" s="1"/>
  <c r="K31" i="1"/>
  <c r="M31" i="1" s="1"/>
  <c r="K32" i="1"/>
  <c r="M3" i="1" l="1"/>
  <c r="M25" i="1"/>
  <c r="M17" i="1"/>
  <c r="M9" i="1"/>
  <c r="M5" i="1"/>
  <c r="M32" i="1"/>
  <c r="M24" i="1"/>
  <c r="M16" i="1"/>
  <c r="M12" i="1"/>
  <c r="M4" i="1"/>
  <c r="M9" i="2"/>
  <c r="M12" i="2"/>
  <c r="M18" i="2"/>
  <c r="M25" i="2"/>
  <c r="M3" i="2"/>
  <c r="M26" i="2"/>
  <c r="M16" i="2"/>
  <c r="M13" i="2"/>
  <c r="M10" i="2"/>
  <c r="M31" i="2"/>
  <c r="M7" i="2"/>
  <c r="M29" i="1"/>
  <c r="M13" i="1"/>
  <c r="M28" i="1"/>
  <c r="M6" i="1"/>
  <c r="M24" i="2"/>
  <c r="M29" i="2"/>
  <c r="M19" i="2"/>
  <c r="M23" i="2"/>
  <c r="M11" i="2"/>
  <c r="M21" i="2"/>
  <c r="M8" i="2"/>
  <c r="M20" i="1"/>
  <c r="M30" i="2"/>
  <c r="M32" i="2"/>
  <c r="M5" i="2"/>
</calcChain>
</file>

<file path=xl/sharedStrings.xml><?xml version="1.0" encoding="utf-8"?>
<sst xmlns="http://schemas.openxmlformats.org/spreadsheetml/2006/main" count="390" uniqueCount="88">
  <si>
    <t>学号</t>
  </si>
  <si>
    <t>姓名</t>
  </si>
  <si>
    <t>性别</t>
  </si>
  <si>
    <t>专业</t>
    <phoneticPr fontId="1" type="noConversion"/>
  </si>
  <si>
    <t>班级</t>
    <phoneticPr fontId="1" type="noConversion"/>
  </si>
  <si>
    <t>计算机原理</t>
  </si>
  <si>
    <t>计算机操作</t>
  </si>
  <si>
    <t>计算机概论</t>
    <phoneticPr fontId="1" type="noConversion"/>
  </si>
  <si>
    <t>计算机程序设计</t>
  </si>
  <si>
    <t>高等数学</t>
    <phoneticPr fontId="1" type="noConversion"/>
  </si>
  <si>
    <t>总分</t>
    <phoneticPr fontId="1" type="noConversion"/>
  </si>
  <si>
    <t>均分</t>
    <phoneticPr fontId="1" type="noConversion"/>
  </si>
  <si>
    <t>名次</t>
    <phoneticPr fontId="1" type="noConversion"/>
  </si>
  <si>
    <t>李坚强</t>
  </si>
  <si>
    <t>男</t>
  </si>
  <si>
    <t>计算机软件</t>
    <phoneticPr fontId="1" type="noConversion"/>
  </si>
  <si>
    <t>一班</t>
    <phoneticPr fontId="1" type="noConversion"/>
  </si>
  <si>
    <t>王琳</t>
  </si>
  <si>
    <t>女</t>
  </si>
  <si>
    <t>计算机硬件</t>
    <phoneticPr fontId="1" type="noConversion"/>
  </si>
  <si>
    <t>二班</t>
    <phoneticPr fontId="1" type="noConversion"/>
  </si>
  <si>
    <t>孙状状</t>
  </si>
  <si>
    <t>计算机应用</t>
    <phoneticPr fontId="1" type="noConversion"/>
  </si>
  <si>
    <t>三班</t>
    <phoneticPr fontId="1" type="noConversion"/>
  </si>
  <si>
    <t>李小明</t>
  </si>
  <si>
    <t>王吴楠</t>
  </si>
  <si>
    <t>李太敏</t>
  </si>
  <si>
    <t>张睦春</t>
  </si>
  <si>
    <t>李世超</t>
  </si>
  <si>
    <t>周洁洁</t>
  </si>
  <si>
    <t>李芳</t>
    <phoneticPr fontId="1" type="noConversion"/>
  </si>
  <si>
    <t>女</t>
    <phoneticPr fontId="1" type="noConversion"/>
  </si>
  <si>
    <t>蒋中华</t>
    <phoneticPr fontId="1" type="noConversion"/>
  </si>
  <si>
    <t>男</t>
    <phoneticPr fontId="1" type="noConversion"/>
  </si>
  <si>
    <t>申林</t>
    <phoneticPr fontId="1" type="noConversion"/>
  </si>
  <si>
    <t>吴凡</t>
    <phoneticPr fontId="1" type="noConversion"/>
  </si>
  <si>
    <t>季一舟</t>
    <phoneticPr fontId="1" type="noConversion"/>
  </si>
  <si>
    <t>方萍</t>
    <phoneticPr fontId="1" type="noConversion"/>
  </si>
  <si>
    <t>张春明</t>
    <phoneticPr fontId="1" type="noConversion"/>
  </si>
  <si>
    <t>范红花</t>
    <phoneticPr fontId="1" type="noConversion"/>
  </si>
  <si>
    <t>连田田</t>
    <phoneticPr fontId="1" type="noConversion"/>
  </si>
  <si>
    <t>沈一男</t>
    <phoneticPr fontId="1" type="noConversion"/>
  </si>
  <si>
    <t>陆良</t>
    <phoneticPr fontId="1" type="noConversion"/>
  </si>
  <si>
    <t>史年年</t>
    <phoneticPr fontId="1" type="noConversion"/>
  </si>
  <si>
    <t>宗菊</t>
    <phoneticPr fontId="1" type="noConversion"/>
  </si>
  <si>
    <t>储平</t>
    <phoneticPr fontId="1" type="noConversion"/>
  </si>
  <si>
    <t>宋丹丹</t>
    <phoneticPr fontId="1" type="noConversion"/>
  </si>
  <si>
    <t>钱程</t>
    <phoneticPr fontId="1" type="noConversion"/>
  </si>
  <si>
    <t>关山</t>
    <phoneticPr fontId="1" type="noConversion"/>
  </si>
  <si>
    <t>华琪琪</t>
    <phoneticPr fontId="1" type="noConversion"/>
  </si>
  <si>
    <t>孙一虎</t>
    <phoneticPr fontId="1" type="noConversion"/>
  </si>
  <si>
    <t>孔朋鹏</t>
    <phoneticPr fontId="1" type="noConversion"/>
  </si>
  <si>
    <t>邵萍</t>
    <phoneticPr fontId="1" type="noConversion"/>
  </si>
  <si>
    <t>考生成绩分析表</t>
    <phoneticPr fontId="1" type="noConversion"/>
  </si>
  <si>
    <t>等第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</si>
  <si>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</si>
  <si>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</si>
  <si>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</si>
  <si>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</si>
  <si>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</si>
  <si>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</si>
  <si>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</si>
  <si>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</si>
  <si>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</si>
  <si>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</si>
  <si>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</si>
  <si>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</si>
  <si>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</si>
  <si>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</si>
  <si>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</si>
  <si>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</si>
  <si>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</si>
  <si>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</si>
  <si>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</si>
  <si>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</si>
  <si>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</si>
  <si>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</si>
  <si>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</si>
  <si>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</si>
  <si>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</si>
  <si>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</si>
  <si>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</si>
  <si>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</si>
  <si>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</si>
  <si>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</si>
  <si>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&gt;80</t>
    <phoneticPr fontId="1" type="noConversion"/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</si>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</sst>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6"/>
      <color indexed="12"/>
      <name val="隶书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0" fillId="0" borderId="1" xfId="0" applyBorder="1"/>
    <xf numFmtId="0" fontId="0" fillId="0" borderId="1" xfId="0" quotePrefix="1" applyFont="1" applyBorder="1" applyAlignment="1">
      <alignment horizontal="left"/>
    </xf>
    <xf numFmtId="0" fontId="0" fillId="0" borderId="1" xfId="0" applyBorder="1" applyAlignment="1">
      <alignment horizontal="center"/>
    </xf>
    <xf numFmtId="31" fontId="0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3" fillId="0" borderId="0" xfId="0" applyFont="1" applyAlignment="1">
      <alignment horizontal="centerContinuous" vertical="center"/>
    </xf>
    <xf numFmtId="0" fontId="0" fillId="0" borderId="1" xfId="0" quotePrefix="1" applyBorder="1"/>
  </cellXfs>
  <cellStyles count="1">
    <cellStyle name="常规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2"/>
  <sheetViews>
    <sheetView tabSelected="1" workbookViewId="0">
      <selection activeCell="J21" sqref="J21"/>
    </sheetView>
  </sheetViews>
  <sheetFormatPr defaultRowHeight="14.25"/>
  <cols>
    <col min="1" max="1" width="7.375" customWidth="1"/>
    <col min="2" max="2" width="7.5" bestFit="1" customWidth="1"/>
    <col min="3" max="3" width="5.25" bestFit="1" customWidth="1"/>
    <col min="4" max="4" width="11.625" bestFit="1" customWidth="1"/>
    <col min="6" max="8" width="11" bestFit="1" customWidth="1"/>
    <col min="9" max="9" width="15.125" bestFit="1" customWidth="1"/>
    <col min="10" max="10" width="9" bestFit="1" customWidth="1"/>
    <col min="11" max="11" width="4.625" customWidth="1"/>
    <col min="12" max="12" width="5.25" customWidth="1"/>
    <col min="13" max="14" width="5.5" bestFit="1" customWidth="1"/>
  </cols>
  <sheetData>
    <row r="1" spans="1:14" ht="30" customHeight="1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9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8" t="s">
        <v>54</v>
      </c>
    </row>
    <row r="3" spans="1:14">
      <c r="A3" s="11" t="s">
        <v>55</v>
      </c>
      <c r="B3" s="3" t="s">
        <v>13</v>
      </c>
      <c r="C3" s="1" t="s">
        <v>14</v>
      </c>
      <c r="D3" s="1" t="s">
        <v>15</v>
      </c>
      <c r="E3" s="1" t="s">
        <v>16</v>
      </c>
      <c r="F3" s="4">
        <v>89</v>
      </c>
      <c r="G3" s="4">
        <v>96.5</v>
      </c>
      <c r="H3" s="4">
        <v>96</v>
      </c>
      <c r="I3" s="4">
        <v>67</v>
      </c>
      <c r="J3" s="4">
        <v>99</v>
      </c>
      <c r="K3" s="2">
        <f>SUM(F3:J3)</f>
        <v>447.5</v>
      </c>
      <c r="L3" s="2">
        <f>AVERAGE(F3:J3)</f>
        <v>89.5</v>
      </c>
      <c r="M3" s="2">
        <f>RANK(K3,K$3:K$32)</f>
        <v>1</v>
      </c>
      <c r="N3" s="2" t="str">
        <f>IF(L3&gt;=80,"A",IF(L3&gt;=70,"B","C"))</f>
        <v>A</v>
      </c>
    </row>
    <row r="4" spans="1:14">
      <c r="A4" s="11" t="s">
        <v>56</v>
      </c>
      <c r="B4" s="3" t="s">
        <v>17</v>
      </c>
      <c r="C4" s="1" t="s">
        <v>18</v>
      </c>
      <c r="D4" s="1" t="s">
        <v>19</v>
      </c>
      <c r="E4" s="1" t="s">
        <v>20</v>
      </c>
      <c r="F4" s="4">
        <v>56.5</v>
      </c>
      <c r="G4" s="4">
        <v>78</v>
      </c>
      <c r="H4" s="4">
        <v>62</v>
      </c>
      <c r="I4" s="4">
        <v>75</v>
      </c>
      <c r="J4" s="4">
        <v>63</v>
      </c>
      <c r="K4" s="2">
        <f t="shared" ref="K4:K32" si="0">SUM(F4:J4)</f>
        <v>334.5</v>
      </c>
      <c r="L4" s="2">
        <f t="shared" ref="L4:L32" si="1">AVERAGE(F4:J4)</f>
        <v>66.900000000000006</v>
      </c>
      <c r="M4" s="2">
        <f t="shared" ref="M4:M32" si="2">RANK(K4,K$3:K$32)</f>
        <v>28</v>
      </c>
      <c r="N4" s="2" t="str">
        <f t="shared" ref="N4:N32" si="3">IF(L4&gt;=80,"A",IF(L4&gt;=70,"B","C"))</f>
        <v>C</v>
      </c>
    </row>
    <row r="5" spans="1:14">
      <c r="A5" s="11" t="s">
        <v>57</v>
      </c>
      <c r="B5" s="3" t="s">
        <v>21</v>
      </c>
      <c r="C5" s="1" t="s">
        <v>14</v>
      </c>
      <c r="D5" s="1" t="s">
        <v>22</v>
      </c>
      <c r="E5" s="1" t="s">
        <v>23</v>
      </c>
      <c r="F5" s="4">
        <v>89</v>
      </c>
      <c r="G5" s="4">
        <v>72.5</v>
      </c>
      <c r="H5" s="4">
        <v>85</v>
      </c>
      <c r="I5" s="4">
        <v>57</v>
      </c>
      <c r="J5" s="4">
        <v>84</v>
      </c>
      <c r="K5" s="2">
        <f t="shared" si="0"/>
        <v>387.5</v>
      </c>
      <c r="L5" s="2">
        <f t="shared" si="1"/>
        <v>77.5</v>
      </c>
      <c r="M5" s="2">
        <f t="shared" si="2"/>
        <v>20</v>
      </c>
      <c r="N5" s="2" t="str">
        <f t="shared" si="3"/>
        <v>B</v>
      </c>
    </row>
    <row r="6" spans="1:14">
      <c r="A6" s="11" t="s">
        <v>58</v>
      </c>
      <c r="B6" s="3" t="s">
        <v>24</v>
      </c>
      <c r="C6" s="1" t="s">
        <v>14</v>
      </c>
      <c r="D6" s="1" t="s">
        <v>15</v>
      </c>
      <c r="E6" s="1" t="s">
        <v>16</v>
      </c>
      <c r="F6" s="4">
        <v>88</v>
      </c>
      <c r="G6" s="4">
        <v>96</v>
      </c>
      <c r="H6" s="4">
        <v>76</v>
      </c>
      <c r="I6" s="4">
        <v>65</v>
      </c>
      <c r="J6" s="4">
        <v>53</v>
      </c>
      <c r="K6" s="2">
        <f t="shared" si="0"/>
        <v>378</v>
      </c>
      <c r="L6" s="2">
        <f t="shared" si="1"/>
        <v>75.599999999999994</v>
      </c>
      <c r="M6" s="2">
        <f t="shared" si="2"/>
        <v>22</v>
      </c>
      <c r="N6" s="2" t="str">
        <f t="shared" si="3"/>
        <v>B</v>
      </c>
    </row>
    <row r="7" spans="1:14">
      <c r="A7" s="11" t="s">
        <v>59</v>
      </c>
      <c r="B7" s="3" t="s">
        <v>25</v>
      </c>
      <c r="C7" s="1" t="s">
        <v>18</v>
      </c>
      <c r="D7" s="1" t="s">
        <v>22</v>
      </c>
      <c r="E7" s="1" t="s">
        <v>23</v>
      </c>
      <c r="F7" s="4">
        <v>89</v>
      </c>
      <c r="G7" s="4">
        <v>74</v>
      </c>
      <c r="H7" s="4">
        <v>73</v>
      </c>
      <c r="I7" s="4">
        <v>43</v>
      </c>
      <c r="J7" s="4">
        <v>87</v>
      </c>
      <c r="K7" s="2">
        <f t="shared" si="0"/>
        <v>366</v>
      </c>
      <c r="L7" s="2">
        <f t="shared" si="1"/>
        <v>73.2</v>
      </c>
      <c r="M7" s="2">
        <f t="shared" si="2"/>
        <v>24</v>
      </c>
      <c r="N7" s="2" t="str">
        <f t="shared" si="3"/>
        <v>B</v>
      </c>
    </row>
    <row r="8" spans="1:14">
      <c r="A8" s="11" t="s">
        <v>60</v>
      </c>
      <c r="B8" s="3" t="s">
        <v>26</v>
      </c>
      <c r="C8" s="1" t="s">
        <v>18</v>
      </c>
      <c r="D8" s="1" t="s">
        <v>19</v>
      </c>
      <c r="E8" s="1" t="s">
        <v>20</v>
      </c>
      <c r="F8" s="4">
        <v>87</v>
      </c>
      <c r="G8" s="4">
        <v>93.5</v>
      </c>
      <c r="H8" s="4">
        <v>68</v>
      </c>
      <c r="I8" s="4">
        <v>67</v>
      </c>
      <c r="J8" s="4">
        <v>96</v>
      </c>
      <c r="K8" s="2">
        <f t="shared" si="0"/>
        <v>411.5</v>
      </c>
      <c r="L8" s="2">
        <f t="shared" si="1"/>
        <v>82.3</v>
      </c>
      <c r="M8" s="2">
        <f t="shared" si="2"/>
        <v>7</v>
      </c>
      <c r="N8" s="2" t="str">
        <f t="shared" si="3"/>
        <v>A</v>
      </c>
    </row>
    <row r="9" spans="1:14">
      <c r="A9" s="11" t="s">
        <v>61</v>
      </c>
      <c r="B9" s="3" t="s">
        <v>27</v>
      </c>
      <c r="C9" s="1" t="s">
        <v>14</v>
      </c>
      <c r="D9" s="1" t="s">
        <v>15</v>
      </c>
      <c r="E9" s="1" t="s">
        <v>16</v>
      </c>
      <c r="F9" s="4">
        <v>91</v>
      </c>
      <c r="G9" s="4">
        <v>97.5</v>
      </c>
      <c r="H9" s="4">
        <v>80</v>
      </c>
      <c r="I9" s="4">
        <v>67.5</v>
      </c>
      <c r="J9" s="4">
        <v>63</v>
      </c>
      <c r="K9" s="2">
        <f t="shared" si="0"/>
        <v>399</v>
      </c>
      <c r="L9" s="2">
        <f t="shared" si="1"/>
        <v>79.8</v>
      </c>
      <c r="M9" s="2">
        <f t="shared" si="2"/>
        <v>12</v>
      </c>
      <c r="N9" s="2" t="str">
        <f t="shared" si="3"/>
        <v>B</v>
      </c>
    </row>
    <row r="10" spans="1:14">
      <c r="A10" s="11" t="s">
        <v>62</v>
      </c>
      <c r="B10" s="3" t="s">
        <v>28</v>
      </c>
      <c r="C10" s="1" t="s">
        <v>14</v>
      </c>
      <c r="D10" s="1" t="s">
        <v>19</v>
      </c>
      <c r="E10" s="1" t="s">
        <v>20</v>
      </c>
      <c r="F10" s="4">
        <v>56.5</v>
      </c>
      <c r="G10" s="4">
        <v>89</v>
      </c>
      <c r="H10" s="4">
        <v>64</v>
      </c>
      <c r="I10" s="4">
        <v>97</v>
      </c>
      <c r="J10" s="4">
        <v>46</v>
      </c>
      <c r="K10" s="2">
        <f t="shared" si="0"/>
        <v>352.5</v>
      </c>
      <c r="L10" s="2">
        <f t="shared" si="1"/>
        <v>70.5</v>
      </c>
      <c r="M10" s="2">
        <f t="shared" si="2"/>
        <v>27</v>
      </c>
      <c r="N10" s="2" t="str">
        <f t="shared" si="3"/>
        <v>B</v>
      </c>
    </row>
    <row r="11" spans="1:14">
      <c r="A11" s="11" t="s">
        <v>63</v>
      </c>
      <c r="B11" s="3" t="s">
        <v>29</v>
      </c>
      <c r="C11" s="1" t="s">
        <v>18</v>
      </c>
      <c r="D11" s="1" t="s">
        <v>15</v>
      </c>
      <c r="E11" s="1" t="s">
        <v>16</v>
      </c>
      <c r="F11" s="4">
        <v>67</v>
      </c>
      <c r="G11" s="4">
        <v>91</v>
      </c>
      <c r="H11" s="4">
        <v>92</v>
      </c>
      <c r="I11" s="4">
        <v>65</v>
      </c>
      <c r="J11" s="4">
        <v>83</v>
      </c>
      <c r="K11" s="2">
        <f t="shared" si="0"/>
        <v>398</v>
      </c>
      <c r="L11" s="2">
        <f t="shared" si="1"/>
        <v>79.599999999999994</v>
      </c>
      <c r="M11" s="2">
        <f t="shared" si="2"/>
        <v>14</v>
      </c>
      <c r="N11" s="2" t="str">
        <f t="shared" si="3"/>
        <v>B</v>
      </c>
    </row>
    <row r="12" spans="1:14">
      <c r="A12" s="11" t="s">
        <v>64</v>
      </c>
      <c r="B12" s="1" t="s">
        <v>30</v>
      </c>
      <c r="C12" s="5" t="s">
        <v>31</v>
      </c>
      <c r="D12" s="1" t="s">
        <v>15</v>
      </c>
      <c r="E12" s="1" t="s">
        <v>16</v>
      </c>
      <c r="F12" s="4">
        <v>96</v>
      </c>
      <c r="G12" s="4">
        <v>76</v>
      </c>
      <c r="H12" s="4">
        <v>76</v>
      </c>
      <c r="I12" s="4">
        <v>91</v>
      </c>
      <c r="J12" s="4">
        <v>64</v>
      </c>
      <c r="K12" s="2">
        <f t="shared" si="0"/>
        <v>403</v>
      </c>
      <c r="L12" s="2">
        <f t="shared" si="1"/>
        <v>80.599999999999994</v>
      </c>
      <c r="M12" s="2">
        <f t="shared" si="2"/>
        <v>10</v>
      </c>
      <c r="N12" s="2" t="str">
        <f t="shared" si="3"/>
        <v>A</v>
      </c>
    </row>
    <row r="13" spans="1:14">
      <c r="A13" s="11" t="s">
        <v>65</v>
      </c>
      <c r="B13" s="1" t="s">
        <v>32</v>
      </c>
      <c r="C13" s="5" t="s">
        <v>33</v>
      </c>
      <c r="D13" s="1" t="s">
        <v>22</v>
      </c>
      <c r="E13" s="1" t="s">
        <v>23</v>
      </c>
      <c r="F13" s="4">
        <v>85</v>
      </c>
      <c r="G13" s="4">
        <v>86</v>
      </c>
      <c r="H13" s="4">
        <v>83</v>
      </c>
      <c r="I13" s="4">
        <v>68</v>
      </c>
      <c r="J13" s="4">
        <v>68</v>
      </c>
      <c r="K13" s="2">
        <f t="shared" si="0"/>
        <v>390</v>
      </c>
      <c r="L13" s="2">
        <f t="shared" si="1"/>
        <v>78</v>
      </c>
      <c r="M13" s="2">
        <f t="shared" si="2"/>
        <v>18</v>
      </c>
      <c r="N13" s="2" t="str">
        <f t="shared" si="3"/>
        <v>B</v>
      </c>
    </row>
    <row r="14" spans="1:14">
      <c r="A14" s="11" t="s">
        <v>66</v>
      </c>
      <c r="B14" s="1" t="s">
        <v>34</v>
      </c>
      <c r="C14" s="5" t="s">
        <v>33</v>
      </c>
      <c r="D14" s="1" t="s">
        <v>19</v>
      </c>
      <c r="E14" s="1" t="s">
        <v>20</v>
      </c>
      <c r="F14" s="4">
        <v>69.5</v>
      </c>
      <c r="G14" s="4">
        <v>87</v>
      </c>
      <c r="H14" s="4">
        <v>56</v>
      </c>
      <c r="I14" s="4">
        <v>82</v>
      </c>
      <c r="J14" s="4">
        <v>97</v>
      </c>
      <c r="K14" s="2">
        <f t="shared" si="0"/>
        <v>391.5</v>
      </c>
      <c r="L14" s="2">
        <f t="shared" si="1"/>
        <v>78.3</v>
      </c>
      <c r="M14" s="2">
        <f t="shared" si="2"/>
        <v>17</v>
      </c>
      <c r="N14" s="2" t="str">
        <f t="shared" si="3"/>
        <v>B</v>
      </c>
    </row>
    <row r="15" spans="1:14">
      <c r="A15" s="11" t="s">
        <v>67</v>
      </c>
      <c r="B15" s="1" t="s">
        <v>35</v>
      </c>
      <c r="C15" s="5" t="s">
        <v>33</v>
      </c>
      <c r="D15" s="1" t="s">
        <v>22</v>
      </c>
      <c r="E15" s="1" t="s">
        <v>23</v>
      </c>
      <c r="F15" s="4">
        <v>71</v>
      </c>
      <c r="G15" s="4">
        <v>82</v>
      </c>
      <c r="H15" s="4">
        <v>70</v>
      </c>
      <c r="I15" s="4">
        <v>96</v>
      </c>
      <c r="J15" s="4">
        <v>83</v>
      </c>
      <c r="K15" s="2">
        <f t="shared" si="0"/>
        <v>402</v>
      </c>
      <c r="L15" s="2">
        <f t="shared" si="1"/>
        <v>80.400000000000006</v>
      </c>
      <c r="M15" s="2">
        <f t="shared" si="2"/>
        <v>11</v>
      </c>
      <c r="N15" s="2" t="str">
        <f t="shared" si="3"/>
        <v>A</v>
      </c>
    </row>
    <row r="16" spans="1:14">
      <c r="A16" s="11" t="s">
        <v>68</v>
      </c>
      <c r="B16" s="1" t="s">
        <v>36</v>
      </c>
      <c r="C16" s="5" t="s">
        <v>31</v>
      </c>
      <c r="D16" s="1" t="s">
        <v>15</v>
      </c>
      <c r="E16" s="1" t="s">
        <v>16</v>
      </c>
      <c r="F16" s="4">
        <v>56</v>
      </c>
      <c r="G16" s="4">
        <v>93</v>
      </c>
      <c r="H16" s="4">
        <v>51</v>
      </c>
      <c r="I16" s="4">
        <v>54</v>
      </c>
      <c r="J16" s="4">
        <v>74</v>
      </c>
      <c r="K16" s="2">
        <f t="shared" si="0"/>
        <v>328</v>
      </c>
      <c r="L16" s="2">
        <f t="shared" si="1"/>
        <v>65.599999999999994</v>
      </c>
      <c r="M16" s="2">
        <f t="shared" si="2"/>
        <v>30</v>
      </c>
      <c r="N16" s="2" t="str">
        <f t="shared" si="3"/>
        <v>C</v>
      </c>
    </row>
    <row r="17" spans="1:14">
      <c r="A17" s="11" t="s">
        <v>69</v>
      </c>
      <c r="B17" s="1" t="s">
        <v>37</v>
      </c>
      <c r="C17" s="1" t="s">
        <v>31</v>
      </c>
      <c r="D17" s="1" t="s">
        <v>22</v>
      </c>
      <c r="E17" s="1" t="s">
        <v>23</v>
      </c>
      <c r="F17" s="4">
        <v>48</v>
      </c>
      <c r="G17" s="4">
        <v>94</v>
      </c>
      <c r="H17" s="4">
        <v>89</v>
      </c>
      <c r="I17" s="4">
        <v>79</v>
      </c>
      <c r="J17" s="4">
        <v>85</v>
      </c>
      <c r="K17" s="2">
        <f t="shared" si="0"/>
        <v>395</v>
      </c>
      <c r="L17" s="2">
        <f t="shared" si="1"/>
        <v>79</v>
      </c>
      <c r="M17" s="2">
        <f t="shared" si="2"/>
        <v>15</v>
      </c>
      <c r="N17" s="2" t="str">
        <f t="shared" si="3"/>
        <v>B</v>
      </c>
    </row>
    <row r="18" spans="1:14">
      <c r="A18" s="11" t="s">
        <v>70</v>
      </c>
      <c r="B18" s="1" t="s">
        <v>38</v>
      </c>
      <c r="C18" s="1" t="s">
        <v>33</v>
      </c>
      <c r="D18" s="1" t="s">
        <v>15</v>
      </c>
      <c r="E18" s="1" t="s">
        <v>16</v>
      </c>
      <c r="F18" s="4">
        <v>93</v>
      </c>
      <c r="G18" s="4">
        <v>69</v>
      </c>
      <c r="H18" s="4">
        <v>60</v>
      </c>
      <c r="I18" s="4">
        <v>61</v>
      </c>
      <c r="J18" s="4">
        <v>97</v>
      </c>
      <c r="K18" s="2">
        <f t="shared" si="0"/>
        <v>380</v>
      </c>
      <c r="L18" s="2">
        <f t="shared" si="1"/>
        <v>76</v>
      </c>
      <c r="M18" s="2">
        <f t="shared" si="2"/>
        <v>21</v>
      </c>
      <c r="N18" s="2" t="str">
        <f t="shared" si="3"/>
        <v>B</v>
      </c>
    </row>
    <row r="19" spans="1:14">
      <c r="A19" s="11" t="s">
        <v>71</v>
      </c>
      <c r="B19" s="1" t="s">
        <v>39</v>
      </c>
      <c r="C19" s="1" t="s">
        <v>31</v>
      </c>
      <c r="D19" s="1" t="s">
        <v>19</v>
      </c>
      <c r="E19" s="1" t="s">
        <v>20</v>
      </c>
      <c r="F19" s="4">
        <v>91.5</v>
      </c>
      <c r="G19" s="4">
        <v>85</v>
      </c>
      <c r="H19" s="4">
        <v>83</v>
      </c>
      <c r="I19" s="4">
        <v>83</v>
      </c>
      <c r="J19" s="4">
        <v>63</v>
      </c>
      <c r="K19" s="2">
        <f t="shared" si="0"/>
        <v>405.5</v>
      </c>
      <c r="L19" s="2">
        <f t="shared" si="1"/>
        <v>81.099999999999994</v>
      </c>
      <c r="M19" s="2">
        <f t="shared" si="2"/>
        <v>8</v>
      </c>
      <c r="N19" s="2" t="str">
        <f t="shared" si="3"/>
        <v>A</v>
      </c>
    </row>
    <row r="20" spans="1:14">
      <c r="A20" s="11" t="s">
        <v>72</v>
      </c>
      <c r="B20" s="1" t="s">
        <v>40</v>
      </c>
      <c r="C20" s="1" t="s">
        <v>33</v>
      </c>
      <c r="D20" s="1" t="s">
        <v>22</v>
      </c>
      <c r="E20" s="1" t="s">
        <v>23</v>
      </c>
      <c r="F20" s="4">
        <v>73.5</v>
      </c>
      <c r="G20" s="4">
        <v>64</v>
      </c>
      <c r="H20" s="4">
        <v>78</v>
      </c>
      <c r="I20" s="4">
        <v>97</v>
      </c>
      <c r="J20" s="4">
        <v>80</v>
      </c>
      <c r="K20" s="2">
        <f t="shared" si="0"/>
        <v>392.5</v>
      </c>
      <c r="L20" s="2">
        <f t="shared" si="1"/>
        <v>78.5</v>
      </c>
      <c r="M20" s="2">
        <f t="shared" si="2"/>
        <v>16</v>
      </c>
      <c r="N20" s="2" t="str">
        <f t="shared" si="3"/>
        <v>B</v>
      </c>
    </row>
    <row r="21" spans="1:14">
      <c r="A21" s="11" t="s">
        <v>73</v>
      </c>
      <c r="B21" s="1" t="s">
        <v>41</v>
      </c>
      <c r="C21" s="1" t="s">
        <v>31</v>
      </c>
      <c r="D21" s="1" t="s">
        <v>19</v>
      </c>
      <c r="E21" s="1" t="s">
        <v>20</v>
      </c>
      <c r="F21" s="4">
        <v>83</v>
      </c>
      <c r="G21" s="4">
        <v>53</v>
      </c>
      <c r="H21" s="4">
        <v>74</v>
      </c>
      <c r="I21" s="4">
        <v>87</v>
      </c>
      <c r="J21" s="4">
        <v>56</v>
      </c>
      <c r="K21" s="2">
        <f t="shared" si="0"/>
        <v>353</v>
      </c>
      <c r="L21" s="2">
        <f t="shared" si="1"/>
        <v>70.599999999999994</v>
      </c>
      <c r="M21" s="2">
        <f t="shared" si="2"/>
        <v>26</v>
      </c>
      <c r="N21" s="2" t="str">
        <f t="shared" si="3"/>
        <v>B</v>
      </c>
    </row>
    <row r="22" spans="1:14">
      <c r="A22" s="11" t="s">
        <v>74</v>
      </c>
      <c r="B22" s="1" t="s">
        <v>42</v>
      </c>
      <c r="C22" s="1" t="s">
        <v>33</v>
      </c>
      <c r="D22" s="1" t="s">
        <v>15</v>
      </c>
      <c r="E22" s="1" t="s">
        <v>16</v>
      </c>
      <c r="F22" s="4">
        <v>86</v>
      </c>
      <c r="G22" s="4">
        <v>87</v>
      </c>
      <c r="H22" s="4">
        <v>92</v>
      </c>
      <c r="I22" s="4">
        <v>68</v>
      </c>
      <c r="J22" s="4">
        <v>71</v>
      </c>
      <c r="K22" s="2">
        <f t="shared" si="0"/>
        <v>404</v>
      </c>
      <c r="L22" s="2">
        <f t="shared" si="1"/>
        <v>80.8</v>
      </c>
      <c r="M22" s="2">
        <f t="shared" si="2"/>
        <v>9</v>
      </c>
      <c r="N22" s="2" t="str">
        <f t="shared" si="3"/>
        <v>A</v>
      </c>
    </row>
    <row r="23" spans="1:14">
      <c r="A23" s="11" t="s">
        <v>75</v>
      </c>
      <c r="B23" s="1" t="s">
        <v>43</v>
      </c>
      <c r="C23" s="1" t="s">
        <v>33</v>
      </c>
      <c r="D23" s="1" t="s">
        <v>19</v>
      </c>
      <c r="E23" s="1" t="s">
        <v>20</v>
      </c>
      <c r="F23" s="4">
        <v>77</v>
      </c>
      <c r="G23" s="4">
        <v>35</v>
      </c>
      <c r="H23" s="4">
        <v>86</v>
      </c>
      <c r="I23" s="4">
        <v>72</v>
      </c>
      <c r="J23" s="4">
        <v>62</v>
      </c>
      <c r="K23" s="2">
        <f t="shared" si="0"/>
        <v>332</v>
      </c>
      <c r="L23" s="2">
        <f t="shared" si="1"/>
        <v>66.400000000000006</v>
      </c>
      <c r="M23" s="2">
        <f t="shared" si="2"/>
        <v>29</v>
      </c>
      <c r="N23" s="2" t="str">
        <f t="shared" si="3"/>
        <v>C</v>
      </c>
    </row>
    <row r="24" spans="1:14">
      <c r="A24" s="11" t="s">
        <v>76</v>
      </c>
      <c r="B24" s="1" t="s">
        <v>44</v>
      </c>
      <c r="C24" s="1" t="s">
        <v>31</v>
      </c>
      <c r="D24" s="1" t="s">
        <v>22</v>
      </c>
      <c r="E24" s="1" t="s">
        <v>23</v>
      </c>
      <c r="F24" s="4">
        <v>73</v>
      </c>
      <c r="G24" s="4">
        <v>84</v>
      </c>
      <c r="H24" s="4">
        <v>94</v>
      </c>
      <c r="I24" s="4">
        <v>85</v>
      </c>
      <c r="J24" s="4">
        <v>83</v>
      </c>
      <c r="K24" s="2">
        <f t="shared" si="0"/>
        <v>419</v>
      </c>
      <c r="L24" s="2">
        <f t="shared" si="1"/>
        <v>83.8</v>
      </c>
      <c r="M24" s="2">
        <f t="shared" si="2"/>
        <v>3</v>
      </c>
      <c r="N24" s="2" t="str">
        <f t="shared" si="3"/>
        <v>A</v>
      </c>
    </row>
    <row r="25" spans="1:14">
      <c r="A25" s="11" t="s">
        <v>77</v>
      </c>
      <c r="B25" s="1" t="s">
        <v>45</v>
      </c>
      <c r="C25" s="1" t="s">
        <v>33</v>
      </c>
      <c r="D25" s="1" t="s">
        <v>22</v>
      </c>
      <c r="E25" s="1" t="s">
        <v>23</v>
      </c>
      <c r="F25" s="4">
        <v>76</v>
      </c>
      <c r="G25" s="4">
        <v>63</v>
      </c>
      <c r="H25" s="4">
        <v>93</v>
      </c>
      <c r="I25" s="4">
        <v>94</v>
      </c>
      <c r="J25" s="4">
        <v>89</v>
      </c>
      <c r="K25" s="2">
        <f t="shared" si="0"/>
        <v>415</v>
      </c>
      <c r="L25" s="2">
        <f t="shared" si="1"/>
        <v>83</v>
      </c>
      <c r="M25" s="2">
        <f t="shared" si="2"/>
        <v>4</v>
      </c>
      <c r="N25" s="2" t="str">
        <f t="shared" si="3"/>
        <v>A</v>
      </c>
    </row>
    <row r="26" spans="1:14">
      <c r="A26" s="11" t="s">
        <v>78</v>
      </c>
      <c r="B26" s="1" t="s">
        <v>46</v>
      </c>
      <c r="C26" s="1" t="s">
        <v>31</v>
      </c>
      <c r="D26" s="1" t="s">
        <v>15</v>
      </c>
      <c r="E26" s="1" t="s">
        <v>16</v>
      </c>
      <c r="F26" s="4">
        <v>82.5</v>
      </c>
      <c r="G26" s="4">
        <v>88</v>
      </c>
      <c r="H26" s="4">
        <v>72</v>
      </c>
      <c r="I26" s="4">
        <v>56</v>
      </c>
      <c r="J26" s="4">
        <v>90</v>
      </c>
      <c r="K26" s="2">
        <f t="shared" si="0"/>
        <v>388.5</v>
      </c>
      <c r="L26" s="2">
        <f t="shared" si="1"/>
        <v>77.7</v>
      </c>
      <c r="M26" s="2">
        <f t="shared" si="2"/>
        <v>19</v>
      </c>
      <c r="N26" s="2" t="str">
        <f t="shared" si="3"/>
        <v>B</v>
      </c>
    </row>
    <row r="27" spans="1:14">
      <c r="A27" s="11" t="s">
        <v>79</v>
      </c>
      <c r="B27" s="1" t="s">
        <v>47</v>
      </c>
      <c r="C27" s="1" t="s">
        <v>33</v>
      </c>
      <c r="D27" s="1" t="s">
        <v>22</v>
      </c>
      <c r="E27" s="1" t="s">
        <v>23</v>
      </c>
      <c r="F27" s="4">
        <v>88</v>
      </c>
      <c r="G27" s="4">
        <v>84</v>
      </c>
      <c r="H27" s="4">
        <v>53</v>
      </c>
      <c r="I27" s="4">
        <v>97</v>
      </c>
      <c r="J27" s="4">
        <v>93</v>
      </c>
      <c r="K27" s="2">
        <f t="shared" si="0"/>
        <v>415</v>
      </c>
      <c r="L27" s="2">
        <f t="shared" si="1"/>
        <v>83</v>
      </c>
      <c r="M27" s="2">
        <f t="shared" si="2"/>
        <v>4</v>
      </c>
      <c r="N27" s="2" t="str">
        <f t="shared" si="3"/>
        <v>A</v>
      </c>
    </row>
    <row r="28" spans="1:14">
      <c r="A28" s="11" t="s">
        <v>80</v>
      </c>
      <c r="B28" s="1" t="s">
        <v>48</v>
      </c>
      <c r="C28" s="1" t="s">
        <v>33</v>
      </c>
      <c r="D28" s="1" t="s">
        <v>19</v>
      </c>
      <c r="E28" s="1" t="s">
        <v>20</v>
      </c>
      <c r="F28" s="4">
        <v>63</v>
      </c>
      <c r="G28" s="4">
        <v>83</v>
      </c>
      <c r="H28" s="4">
        <v>50</v>
      </c>
      <c r="I28" s="4">
        <v>95</v>
      </c>
      <c r="J28" s="4">
        <v>79</v>
      </c>
      <c r="K28" s="2">
        <f t="shared" si="0"/>
        <v>370</v>
      </c>
      <c r="L28" s="2">
        <f t="shared" si="1"/>
        <v>74</v>
      </c>
      <c r="M28" s="2">
        <f t="shared" si="2"/>
        <v>23</v>
      </c>
      <c r="N28" s="2" t="str">
        <f t="shared" si="3"/>
        <v>B</v>
      </c>
    </row>
    <row r="29" spans="1:14">
      <c r="A29" s="11" t="s">
        <v>81</v>
      </c>
      <c r="B29" s="1" t="s">
        <v>49</v>
      </c>
      <c r="C29" s="1" t="s">
        <v>33</v>
      </c>
      <c r="D29" s="1" t="s">
        <v>15</v>
      </c>
      <c r="E29" s="1" t="s">
        <v>16</v>
      </c>
      <c r="F29" s="4">
        <v>64</v>
      </c>
      <c r="G29" s="4">
        <v>73</v>
      </c>
      <c r="H29" s="4">
        <v>85</v>
      </c>
      <c r="I29" s="4">
        <v>65</v>
      </c>
      <c r="J29" s="4">
        <v>72</v>
      </c>
      <c r="K29" s="2">
        <f t="shared" si="0"/>
        <v>359</v>
      </c>
      <c r="L29" s="2">
        <f t="shared" si="1"/>
        <v>71.8</v>
      </c>
      <c r="M29" s="2">
        <f t="shared" si="2"/>
        <v>25</v>
      </c>
      <c r="N29" s="2" t="str">
        <f t="shared" si="3"/>
        <v>B</v>
      </c>
    </row>
    <row r="30" spans="1:14">
      <c r="A30" s="11" t="s">
        <v>82</v>
      </c>
      <c r="B30" s="1" t="s">
        <v>50</v>
      </c>
      <c r="C30" s="1" t="s">
        <v>33</v>
      </c>
      <c r="D30" s="1" t="s">
        <v>22</v>
      </c>
      <c r="E30" s="1" t="s">
        <v>23</v>
      </c>
      <c r="F30" s="4">
        <v>95</v>
      </c>
      <c r="G30" s="4">
        <v>67</v>
      </c>
      <c r="H30" s="4">
        <v>64</v>
      </c>
      <c r="I30" s="4">
        <v>98</v>
      </c>
      <c r="J30" s="4">
        <v>88</v>
      </c>
      <c r="K30" s="2">
        <f t="shared" si="0"/>
        <v>412</v>
      </c>
      <c r="L30" s="2">
        <f t="shared" si="1"/>
        <v>82.4</v>
      </c>
      <c r="M30" s="2">
        <f t="shared" si="2"/>
        <v>6</v>
      </c>
      <c r="N30" s="2" t="str">
        <f t="shared" si="3"/>
        <v>A</v>
      </c>
    </row>
    <row r="31" spans="1:14">
      <c r="A31" s="11" t="s">
        <v>83</v>
      </c>
      <c r="B31" s="1" t="s">
        <v>51</v>
      </c>
      <c r="C31" s="1" t="s">
        <v>33</v>
      </c>
      <c r="D31" s="1" t="s">
        <v>15</v>
      </c>
      <c r="E31" s="1" t="s">
        <v>16</v>
      </c>
      <c r="F31" s="4">
        <v>97</v>
      </c>
      <c r="G31" s="4">
        <v>96</v>
      </c>
      <c r="H31" s="4">
        <v>83</v>
      </c>
      <c r="I31" s="4">
        <v>73</v>
      </c>
      <c r="J31" s="4">
        <v>91</v>
      </c>
      <c r="K31" s="2">
        <f t="shared" si="0"/>
        <v>440</v>
      </c>
      <c r="L31" s="2">
        <f t="shared" si="1"/>
        <v>88</v>
      </c>
      <c r="M31" s="2">
        <f t="shared" si="2"/>
        <v>2</v>
      </c>
      <c r="N31" s="2" t="str">
        <f t="shared" si="3"/>
        <v>A</v>
      </c>
    </row>
    <row r="32" spans="1:14">
      <c r="A32" s="11" t="s">
        <v>84</v>
      </c>
      <c r="B32" s="1" t="s">
        <v>52</v>
      </c>
      <c r="C32" s="1" t="s">
        <v>31</v>
      </c>
      <c r="D32" s="1" t="s">
        <v>19</v>
      </c>
      <c r="E32" s="1" t="s">
        <v>20</v>
      </c>
      <c r="F32" s="4">
        <v>76</v>
      </c>
      <c r="G32" s="4">
        <v>84</v>
      </c>
      <c r="H32" s="4">
        <v>76</v>
      </c>
      <c r="I32" s="4">
        <v>70</v>
      </c>
      <c r="J32" s="4">
        <v>93</v>
      </c>
      <c r="K32" s="2">
        <f t="shared" si="0"/>
        <v>399</v>
      </c>
      <c r="L32" s="2">
        <f t="shared" si="1"/>
        <v>79.8</v>
      </c>
      <c r="M32" s="2">
        <f t="shared" si="2"/>
        <v>12</v>
      </c>
      <c r="N32" s="2" t="str">
        <f t="shared" si="3"/>
        <v>B</v>
      </c>
    </row>
  </sheetData>
  <phoneticPr fontId="1" type="noConversion"/>
  <conditionalFormatting sqref="F3:J32">
    <cfRule type="cellIs" dxfId="1" priority="1" stopIfTrue="1" operator="lessThan">
      <formula>60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32"/>
  <sheetViews>
    <sheetView workbookViewId="0">
      <selection activeCell="I14" sqref="I14"/>
    </sheetView>
  </sheetViews>
  <sheetFormatPr defaultRowHeight="14.25"/>
  <cols>
    <col min="3" max="3" width="5.25" bestFit="1" customWidth="1"/>
    <col min="4" max="4" width="11.625" bestFit="1" customWidth="1"/>
    <col min="6" max="8" width="11" bestFit="1" customWidth="1"/>
    <col min="9" max="9" width="15.125" bestFit="1" customWidth="1"/>
    <col min="10" max="10" width="9" bestFit="1" customWidth="1"/>
  </cols>
  <sheetData>
    <row r="1" spans="1:14" ht="30" customHeight="1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9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8" t="s">
        <v>54</v>
      </c>
    </row>
    <row r="3" spans="1:14">
      <c r="A3" s="11" t="s">
        <v>55</v>
      </c>
      <c r="B3" s="3" t="s">
        <v>13</v>
      </c>
      <c r="C3" s="1" t="s">
        <v>14</v>
      </c>
      <c r="D3" s="1" t="s">
        <v>15</v>
      </c>
      <c r="E3" s="1" t="s">
        <v>16</v>
      </c>
      <c r="F3" s="4">
        <v>89</v>
      </c>
      <c r="G3" s="4">
        <v>96.5</v>
      </c>
      <c r="H3" s="4">
        <v>96</v>
      </c>
      <c r="I3" s="4">
        <v>67</v>
      </c>
      <c r="J3" s="4">
        <v>99</v>
      </c>
      <c r="K3" s="2">
        <f t="shared" ref="K3:K32" si="0">SUM(F3:J3)</f>
        <v>447.5</v>
      </c>
      <c r="L3" s="2">
        <f t="shared" ref="L3:L32" si="1">AVERAGE(F3:J3)</f>
        <v>89.5</v>
      </c>
      <c r="M3" s="2">
        <f t="shared" ref="M3:M32" si="2">RANK(K3,K$3:K$32)</f>
        <v>1</v>
      </c>
      <c r="N3" s="2" t="str">
        <f t="shared" ref="N3:N32" si="3">IF(L3&gt;=80,"A",IF(L3&gt;=70,"B","C"))</f>
        <v>A</v>
      </c>
    </row>
    <row r="4" spans="1:14">
      <c r="A4" s="11" t="s">
        <v>83</v>
      </c>
      <c r="B4" s="1" t="s">
        <v>51</v>
      </c>
      <c r="C4" s="1" t="s">
        <v>33</v>
      </c>
      <c r="D4" s="1" t="s">
        <v>15</v>
      </c>
      <c r="E4" s="1" t="s">
        <v>16</v>
      </c>
      <c r="F4" s="4">
        <v>97</v>
      </c>
      <c r="G4" s="4">
        <v>96</v>
      </c>
      <c r="H4" s="4">
        <v>83</v>
      </c>
      <c r="I4" s="4">
        <v>73</v>
      </c>
      <c r="J4" s="4">
        <v>91</v>
      </c>
      <c r="K4" s="2">
        <f t="shared" si="0"/>
        <v>440</v>
      </c>
      <c r="L4" s="2">
        <f t="shared" si="1"/>
        <v>88</v>
      </c>
      <c r="M4" s="2">
        <f t="shared" si="2"/>
        <v>2</v>
      </c>
      <c r="N4" s="2" t="str">
        <f t="shared" si="3"/>
        <v>A</v>
      </c>
    </row>
    <row r="5" spans="1:14">
      <c r="A5" s="11" t="s">
        <v>76</v>
      </c>
      <c r="B5" s="1" t="s">
        <v>44</v>
      </c>
      <c r="C5" s="1" t="s">
        <v>31</v>
      </c>
      <c r="D5" s="1" t="s">
        <v>22</v>
      </c>
      <c r="E5" s="1" t="s">
        <v>23</v>
      </c>
      <c r="F5" s="4">
        <v>73</v>
      </c>
      <c r="G5" s="4">
        <v>84</v>
      </c>
      <c r="H5" s="4">
        <v>94</v>
      </c>
      <c r="I5" s="4">
        <v>85</v>
      </c>
      <c r="J5" s="4">
        <v>83</v>
      </c>
      <c r="K5" s="2">
        <f t="shared" si="0"/>
        <v>419</v>
      </c>
      <c r="L5" s="2">
        <f t="shared" si="1"/>
        <v>83.8</v>
      </c>
      <c r="M5" s="2">
        <f t="shared" si="2"/>
        <v>3</v>
      </c>
      <c r="N5" s="2" t="str">
        <f t="shared" si="3"/>
        <v>A</v>
      </c>
    </row>
    <row r="6" spans="1:14">
      <c r="A6" s="11" t="s">
        <v>77</v>
      </c>
      <c r="B6" s="1" t="s">
        <v>45</v>
      </c>
      <c r="C6" s="1" t="s">
        <v>33</v>
      </c>
      <c r="D6" s="1" t="s">
        <v>22</v>
      </c>
      <c r="E6" s="1" t="s">
        <v>23</v>
      </c>
      <c r="F6" s="4">
        <v>76</v>
      </c>
      <c r="G6" s="4">
        <v>63</v>
      </c>
      <c r="H6" s="4">
        <v>93</v>
      </c>
      <c r="I6" s="4">
        <v>94</v>
      </c>
      <c r="J6" s="4">
        <v>89</v>
      </c>
      <c r="K6" s="2">
        <f t="shared" si="0"/>
        <v>415</v>
      </c>
      <c r="L6" s="2">
        <f t="shared" si="1"/>
        <v>83</v>
      </c>
      <c r="M6" s="2">
        <f t="shared" si="2"/>
        <v>4</v>
      </c>
      <c r="N6" s="2" t="str">
        <f t="shared" si="3"/>
        <v>A</v>
      </c>
    </row>
    <row r="7" spans="1:14">
      <c r="A7" s="11" t="s">
        <v>79</v>
      </c>
      <c r="B7" s="1" t="s">
        <v>47</v>
      </c>
      <c r="C7" s="1" t="s">
        <v>33</v>
      </c>
      <c r="D7" s="1" t="s">
        <v>22</v>
      </c>
      <c r="E7" s="1" t="s">
        <v>23</v>
      </c>
      <c r="F7" s="4">
        <v>88</v>
      </c>
      <c r="G7" s="4">
        <v>84</v>
      </c>
      <c r="H7" s="4">
        <v>53</v>
      </c>
      <c r="I7" s="4">
        <v>97</v>
      </c>
      <c r="J7" s="4">
        <v>93</v>
      </c>
      <c r="K7" s="2">
        <f t="shared" si="0"/>
        <v>415</v>
      </c>
      <c r="L7" s="2">
        <f t="shared" si="1"/>
        <v>83</v>
      </c>
      <c r="M7" s="2">
        <f t="shared" si="2"/>
        <v>4</v>
      </c>
      <c r="N7" s="2" t="str">
        <f t="shared" si="3"/>
        <v>A</v>
      </c>
    </row>
    <row r="8" spans="1:14">
      <c r="A8" s="11" t="s">
        <v>82</v>
      </c>
      <c r="B8" s="1" t="s">
        <v>50</v>
      </c>
      <c r="C8" s="1" t="s">
        <v>33</v>
      </c>
      <c r="D8" s="1" t="s">
        <v>22</v>
      </c>
      <c r="E8" s="1" t="s">
        <v>23</v>
      </c>
      <c r="F8" s="4">
        <v>95</v>
      </c>
      <c r="G8" s="4">
        <v>67</v>
      </c>
      <c r="H8" s="4">
        <v>64</v>
      </c>
      <c r="I8" s="4">
        <v>98</v>
      </c>
      <c r="J8" s="4">
        <v>88</v>
      </c>
      <c r="K8" s="2">
        <f t="shared" si="0"/>
        <v>412</v>
      </c>
      <c r="L8" s="2">
        <f t="shared" si="1"/>
        <v>82.4</v>
      </c>
      <c r="M8" s="2">
        <f t="shared" si="2"/>
        <v>6</v>
      </c>
      <c r="N8" s="2" t="str">
        <f t="shared" si="3"/>
        <v>A</v>
      </c>
    </row>
    <row r="9" spans="1:14">
      <c r="A9" s="11" t="s">
        <v>60</v>
      </c>
      <c r="B9" s="3" t="s">
        <v>26</v>
      </c>
      <c r="C9" s="1" t="s">
        <v>18</v>
      </c>
      <c r="D9" s="1" t="s">
        <v>19</v>
      </c>
      <c r="E9" s="1" t="s">
        <v>20</v>
      </c>
      <c r="F9" s="4">
        <v>87</v>
      </c>
      <c r="G9" s="4">
        <v>93.5</v>
      </c>
      <c r="H9" s="4">
        <v>68</v>
      </c>
      <c r="I9" s="4">
        <v>67</v>
      </c>
      <c r="J9" s="4">
        <v>96</v>
      </c>
      <c r="K9" s="2">
        <f t="shared" si="0"/>
        <v>411.5</v>
      </c>
      <c r="L9" s="2">
        <f t="shared" si="1"/>
        <v>82.3</v>
      </c>
      <c r="M9" s="2">
        <f t="shared" si="2"/>
        <v>7</v>
      </c>
      <c r="N9" s="2" t="str">
        <f t="shared" si="3"/>
        <v>A</v>
      </c>
    </row>
    <row r="10" spans="1:14">
      <c r="A10" s="11" t="s">
        <v>71</v>
      </c>
      <c r="B10" s="1" t="s">
        <v>39</v>
      </c>
      <c r="C10" s="1" t="s">
        <v>31</v>
      </c>
      <c r="D10" s="1" t="s">
        <v>19</v>
      </c>
      <c r="E10" s="1" t="s">
        <v>20</v>
      </c>
      <c r="F10" s="4">
        <v>91.5</v>
      </c>
      <c r="G10" s="4">
        <v>85</v>
      </c>
      <c r="H10" s="4">
        <v>83</v>
      </c>
      <c r="I10" s="4">
        <v>83</v>
      </c>
      <c r="J10" s="4">
        <v>63</v>
      </c>
      <c r="K10" s="2">
        <f t="shared" si="0"/>
        <v>405.5</v>
      </c>
      <c r="L10" s="2">
        <f t="shared" si="1"/>
        <v>81.099999999999994</v>
      </c>
      <c r="M10" s="2">
        <f t="shared" si="2"/>
        <v>8</v>
      </c>
      <c r="N10" s="2" t="str">
        <f t="shared" si="3"/>
        <v>A</v>
      </c>
    </row>
    <row r="11" spans="1:14">
      <c r="A11" s="11" t="s">
        <v>74</v>
      </c>
      <c r="B11" s="1" t="s">
        <v>42</v>
      </c>
      <c r="C11" s="1" t="s">
        <v>33</v>
      </c>
      <c r="D11" s="1" t="s">
        <v>15</v>
      </c>
      <c r="E11" s="1" t="s">
        <v>16</v>
      </c>
      <c r="F11" s="4">
        <v>86</v>
      </c>
      <c r="G11" s="4">
        <v>87</v>
      </c>
      <c r="H11" s="4">
        <v>92</v>
      </c>
      <c r="I11" s="4">
        <v>68</v>
      </c>
      <c r="J11" s="4">
        <v>71</v>
      </c>
      <c r="K11" s="2">
        <f t="shared" si="0"/>
        <v>404</v>
      </c>
      <c r="L11" s="2">
        <f t="shared" si="1"/>
        <v>80.8</v>
      </c>
      <c r="M11" s="2">
        <f t="shared" si="2"/>
        <v>9</v>
      </c>
      <c r="N11" s="2" t="str">
        <f t="shared" si="3"/>
        <v>A</v>
      </c>
    </row>
    <row r="12" spans="1:14">
      <c r="A12" s="11" t="s">
        <v>64</v>
      </c>
      <c r="B12" s="1" t="s">
        <v>30</v>
      </c>
      <c r="C12" s="5" t="s">
        <v>31</v>
      </c>
      <c r="D12" s="1" t="s">
        <v>15</v>
      </c>
      <c r="E12" s="1" t="s">
        <v>16</v>
      </c>
      <c r="F12" s="4">
        <v>96</v>
      </c>
      <c r="G12" s="4">
        <v>76</v>
      </c>
      <c r="H12" s="4">
        <v>76</v>
      </c>
      <c r="I12" s="4">
        <v>91</v>
      </c>
      <c r="J12" s="4">
        <v>64</v>
      </c>
      <c r="K12" s="2">
        <f t="shared" si="0"/>
        <v>403</v>
      </c>
      <c r="L12" s="2">
        <f t="shared" si="1"/>
        <v>80.599999999999994</v>
      </c>
      <c r="M12" s="2">
        <f t="shared" si="2"/>
        <v>10</v>
      </c>
      <c r="N12" s="2" t="str">
        <f t="shared" si="3"/>
        <v>A</v>
      </c>
    </row>
    <row r="13" spans="1:14">
      <c r="A13" s="11" t="s">
        <v>67</v>
      </c>
      <c r="B13" s="1" t="s">
        <v>35</v>
      </c>
      <c r="C13" s="5" t="s">
        <v>33</v>
      </c>
      <c r="D13" s="1" t="s">
        <v>22</v>
      </c>
      <c r="E13" s="1" t="s">
        <v>23</v>
      </c>
      <c r="F13" s="4">
        <v>71</v>
      </c>
      <c r="G13" s="4">
        <v>82</v>
      </c>
      <c r="H13" s="4">
        <v>70</v>
      </c>
      <c r="I13" s="4">
        <v>96</v>
      </c>
      <c r="J13" s="4">
        <v>83</v>
      </c>
      <c r="K13" s="2">
        <f t="shared" si="0"/>
        <v>402</v>
      </c>
      <c r="L13" s="2">
        <f t="shared" si="1"/>
        <v>80.400000000000006</v>
      </c>
      <c r="M13" s="2">
        <f t="shared" si="2"/>
        <v>11</v>
      </c>
      <c r="N13" s="2" t="str">
        <f t="shared" si="3"/>
        <v>A</v>
      </c>
    </row>
    <row r="14" spans="1:14">
      <c r="A14" s="11" t="s">
        <v>61</v>
      </c>
      <c r="B14" s="3" t="s">
        <v>27</v>
      </c>
      <c r="C14" s="1" t="s">
        <v>14</v>
      </c>
      <c r="D14" s="1" t="s">
        <v>15</v>
      </c>
      <c r="E14" s="1" t="s">
        <v>16</v>
      </c>
      <c r="F14" s="4">
        <v>91</v>
      </c>
      <c r="G14" s="4">
        <v>97.5</v>
      </c>
      <c r="H14" s="4">
        <v>80</v>
      </c>
      <c r="I14" s="4">
        <v>67.5</v>
      </c>
      <c r="J14" s="4">
        <v>63</v>
      </c>
      <c r="K14" s="2">
        <f t="shared" si="0"/>
        <v>399</v>
      </c>
      <c r="L14" s="2">
        <f t="shared" si="1"/>
        <v>79.8</v>
      </c>
      <c r="M14" s="2">
        <f t="shared" si="2"/>
        <v>12</v>
      </c>
      <c r="N14" s="2" t="str">
        <f t="shared" si="3"/>
        <v>B</v>
      </c>
    </row>
    <row r="15" spans="1:14">
      <c r="A15" s="11" t="s">
        <v>84</v>
      </c>
      <c r="B15" s="1" t="s">
        <v>52</v>
      </c>
      <c r="C15" s="1" t="s">
        <v>31</v>
      </c>
      <c r="D15" s="1" t="s">
        <v>19</v>
      </c>
      <c r="E15" s="1" t="s">
        <v>20</v>
      </c>
      <c r="F15" s="4">
        <v>76</v>
      </c>
      <c r="G15" s="4">
        <v>84</v>
      </c>
      <c r="H15" s="4">
        <v>76</v>
      </c>
      <c r="I15" s="4">
        <v>70</v>
      </c>
      <c r="J15" s="4">
        <v>93</v>
      </c>
      <c r="K15" s="2">
        <f t="shared" si="0"/>
        <v>399</v>
      </c>
      <c r="L15" s="2">
        <f t="shared" si="1"/>
        <v>79.8</v>
      </c>
      <c r="M15" s="2">
        <f t="shared" si="2"/>
        <v>12</v>
      </c>
      <c r="N15" s="2" t="str">
        <f t="shared" si="3"/>
        <v>B</v>
      </c>
    </row>
    <row r="16" spans="1:14">
      <c r="A16" s="11" t="s">
        <v>63</v>
      </c>
      <c r="B16" s="3" t="s">
        <v>29</v>
      </c>
      <c r="C16" s="1" t="s">
        <v>18</v>
      </c>
      <c r="D16" s="1" t="s">
        <v>15</v>
      </c>
      <c r="E16" s="1" t="s">
        <v>16</v>
      </c>
      <c r="F16" s="4">
        <v>67</v>
      </c>
      <c r="G16" s="4">
        <v>91</v>
      </c>
      <c r="H16" s="4">
        <v>92</v>
      </c>
      <c r="I16" s="4">
        <v>65</v>
      </c>
      <c r="J16" s="4">
        <v>83</v>
      </c>
      <c r="K16" s="2">
        <f t="shared" si="0"/>
        <v>398</v>
      </c>
      <c r="L16" s="2">
        <f t="shared" si="1"/>
        <v>79.599999999999994</v>
      </c>
      <c r="M16" s="2">
        <f t="shared" si="2"/>
        <v>14</v>
      </c>
      <c r="N16" s="2" t="str">
        <f t="shared" si="3"/>
        <v>B</v>
      </c>
    </row>
    <row r="17" spans="1:14">
      <c r="A17" s="11" t="s">
        <v>69</v>
      </c>
      <c r="B17" s="1" t="s">
        <v>37</v>
      </c>
      <c r="C17" s="1" t="s">
        <v>31</v>
      </c>
      <c r="D17" s="1" t="s">
        <v>22</v>
      </c>
      <c r="E17" s="1" t="s">
        <v>23</v>
      </c>
      <c r="F17" s="4">
        <v>48</v>
      </c>
      <c r="G17" s="4">
        <v>94</v>
      </c>
      <c r="H17" s="4">
        <v>89</v>
      </c>
      <c r="I17" s="4">
        <v>79</v>
      </c>
      <c r="J17" s="4">
        <v>85</v>
      </c>
      <c r="K17" s="2">
        <f t="shared" si="0"/>
        <v>395</v>
      </c>
      <c r="L17" s="2">
        <f t="shared" si="1"/>
        <v>79</v>
      </c>
      <c r="M17" s="2">
        <f t="shared" si="2"/>
        <v>15</v>
      </c>
      <c r="N17" s="2" t="str">
        <f t="shared" si="3"/>
        <v>B</v>
      </c>
    </row>
    <row r="18" spans="1:14">
      <c r="A18" s="11" t="s">
        <v>72</v>
      </c>
      <c r="B18" s="1" t="s">
        <v>40</v>
      </c>
      <c r="C18" s="1" t="s">
        <v>33</v>
      </c>
      <c r="D18" s="1" t="s">
        <v>22</v>
      </c>
      <c r="E18" s="1" t="s">
        <v>23</v>
      </c>
      <c r="F18" s="4">
        <v>73.5</v>
      </c>
      <c r="G18" s="4">
        <v>64</v>
      </c>
      <c r="H18" s="4">
        <v>78</v>
      </c>
      <c r="I18" s="4">
        <v>97</v>
      </c>
      <c r="J18" s="4">
        <v>80</v>
      </c>
      <c r="K18" s="2">
        <f t="shared" si="0"/>
        <v>392.5</v>
      </c>
      <c r="L18" s="2">
        <f t="shared" si="1"/>
        <v>78.5</v>
      </c>
      <c r="M18" s="2">
        <f t="shared" si="2"/>
        <v>16</v>
      </c>
      <c r="N18" s="2" t="str">
        <f t="shared" si="3"/>
        <v>B</v>
      </c>
    </row>
    <row r="19" spans="1:14">
      <c r="A19" s="11" t="s">
        <v>66</v>
      </c>
      <c r="B19" s="1" t="s">
        <v>34</v>
      </c>
      <c r="C19" s="5" t="s">
        <v>33</v>
      </c>
      <c r="D19" s="1" t="s">
        <v>19</v>
      </c>
      <c r="E19" s="1" t="s">
        <v>20</v>
      </c>
      <c r="F19" s="4">
        <v>69.5</v>
      </c>
      <c r="G19" s="4">
        <v>87</v>
      </c>
      <c r="H19" s="4">
        <v>56</v>
      </c>
      <c r="I19" s="4">
        <v>82</v>
      </c>
      <c r="J19" s="4">
        <v>97</v>
      </c>
      <c r="K19" s="2">
        <f t="shared" si="0"/>
        <v>391.5</v>
      </c>
      <c r="L19" s="2">
        <f t="shared" si="1"/>
        <v>78.3</v>
      </c>
      <c r="M19" s="2">
        <f t="shared" si="2"/>
        <v>17</v>
      </c>
      <c r="N19" s="2" t="str">
        <f t="shared" si="3"/>
        <v>B</v>
      </c>
    </row>
    <row r="20" spans="1:14">
      <c r="A20" s="11" t="s">
        <v>65</v>
      </c>
      <c r="B20" s="1" t="s">
        <v>32</v>
      </c>
      <c r="C20" s="5" t="s">
        <v>33</v>
      </c>
      <c r="D20" s="1" t="s">
        <v>22</v>
      </c>
      <c r="E20" s="1" t="s">
        <v>23</v>
      </c>
      <c r="F20" s="4">
        <v>85</v>
      </c>
      <c r="G20" s="4">
        <v>86</v>
      </c>
      <c r="H20" s="4">
        <v>83</v>
      </c>
      <c r="I20" s="4">
        <v>68</v>
      </c>
      <c r="J20" s="4">
        <v>68</v>
      </c>
      <c r="K20" s="2">
        <f t="shared" si="0"/>
        <v>390</v>
      </c>
      <c r="L20" s="2">
        <f t="shared" si="1"/>
        <v>78</v>
      </c>
      <c r="M20" s="2">
        <f t="shared" si="2"/>
        <v>18</v>
      </c>
      <c r="N20" s="2" t="str">
        <f t="shared" si="3"/>
        <v>B</v>
      </c>
    </row>
    <row r="21" spans="1:14">
      <c r="A21" s="11" t="s">
        <v>78</v>
      </c>
      <c r="B21" s="1" t="s">
        <v>46</v>
      </c>
      <c r="C21" s="1" t="s">
        <v>31</v>
      </c>
      <c r="D21" s="1" t="s">
        <v>15</v>
      </c>
      <c r="E21" s="1" t="s">
        <v>16</v>
      </c>
      <c r="F21" s="4">
        <v>82.5</v>
      </c>
      <c r="G21" s="4">
        <v>88</v>
      </c>
      <c r="H21" s="4">
        <v>72</v>
      </c>
      <c r="I21" s="4">
        <v>56</v>
      </c>
      <c r="J21" s="4">
        <v>90</v>
      </c>
      <c r="K21" s="2">
        <f t="shared" si="0"/>
        <v>388.5</v>
      </c>
      <c r="L21" s="2">
        <f t="shared" si="1"/>
        <v>77.7</v>
      </c>
      <c r="M21" s="2">
        <f t="shared" si="2"/>
        <v>19</v>
      </c>
      <c r="N21" s="2" t="str">
        <f t="shared" si="3"/>
        <v>B</v>
      </c>
    </row>
    <row r="22" spans="1:14">
      <c r="A22" s="11" t="s">
        <v>57</v>
      </c>
      <c r="B22" s="3" t="s">
        <v>21</v>
      </c>
      <c r="C22" s="1" t="s">
        <v>14</v>
      </c>
      <c r="D22" s="1" t="s">
        <v>22</v>
      </c>
      <c r="E22" s="1" t="s">
        <v>23</v>
      </c>
      <c r="F22" s="4">
        <v>89</v>
      </c>
      <c r="G22" s="4">
        <v>72.5</v>
      </c>
      <c r="H22" s="4">
        <v>85</v>
      </c>
      <c r="I22" s="4">
        <v>57</v>
      </c>
      <c r="J22" s="4">
        <v>84</v>
      </c>
      <c r="K22" s="2">
        <f t="shared" si="0"/>
        <v>387.5</v>
      </c>
      <c r="L22" s="2">
        <f t="shared" si="1"/>
        <v>77.5</v>
      </c>
      <c r="M22" s="2">
        <f t="shared" si="2"/>
        <v>20</v>
      </c>
      <c r="N22" s="2" t="str">
        <f t="shared" si="3"/>
        <v>B</v>
      </c>
    </row>
    <row r="23" spans="1:14">
      <c r="A23" s="11" t="s">
        <v>70</v>
      </c>
      <c r="B23" s="1" t="s">
        <v>38</v>
      </c>
      <c r="C23" s="1" t="s">
        <v>33</v>
      </c>
      <c r="D23" s="1" t="s">
        <v>15</v>
      </c>
      <c r="E23" s="1" t="s">
        <v>16</v>
      </c>
      <c r="F23" s="4">
        <v>93</v>
      </c>
      <c r="G23" s="4">
        <v>69</v>
      </c>
      <c r="H23" s="4">
        <v>60</v>
      </c>
      <c r="I23" s="4">
        <v>61</v>
      </c>
      <c r="J23" s="4">
        <v>97</v>
      </c>
      <c r="K23" s="2">
        <f t="shared" si="0"/>
        <v>380</v>
      </c>
      <c r="L23" s="2">
        <f t="shared" si="1"/>
        <v>76</v>
      </c>
      <c r="M23" s="2">
        <f t="shared" si="2"/>
        <v>21</v>
      </c>
      <c r="N23" s="2" t="str">
        <f t="shared" si="3"/>
        <v>B</v>
      </c>
    </row>
    <row r="24" spans="1:14">
      <c r="A24" s="11" t="s">
        <v>58</v>
      </c>
      <c r="B24" s="3" t="s">
        <v>24</v>
      </c>
      <c r="C24" s="1" t="s">
        <v>14</v>
      </c>
      <c r="D24" s="1" t="s">
        <v>15</v>
      </c>
      <c r="E24" s="1" t="s">
        <v>16</v>
      </c>
      <c r="F24" s="4">
        <v>88</v>
      </c>
      <c r="G24" s="4">
        <v>96</v>
      </c>
      <c r="H24" s="4">
        <v>76</v>
      </c>
      <c r="I24" s="4">
        <v>65</v>
      </c>
      <c r="J24" s="4">
        <v>53</v>
      </c>
      <c r="K24" s="2">
        <f t="shared" si="0"/>
        <v>378</v>
      </c>
      <c r="L24" s="2">
        <f t="shared" si="1"/>
        <v>75.599999999999994</v>
      </c>
      <c r="M24" s="2">
        <f t="shared" si="2"/>
        <v>22</v>
      </c>
      <c r="N24" s="2" t="str">
        <f t="shared" si="3"/>
        <v>B</v>
      </c>
    </row>
    <row r="25" spans="1:14">
      <c r="A25" s="11" t="s">
        <v>80</v>
      </c>
      <c r="B25" s="1" t="s">
        <v>48</v>
      </c>
      <c r="C25" s="1" t="s">
        <v>33</v>
      </c>
      <c r="D25" s="1" t="s">
        <v>19</v>
      </c>
      <c r="E25" s="1" t="s">
        <v>20</v>
      </c>
      <c r="F25" s="4">
        <v>63</v>
      </c>
      <c r="G25" s="4">
        <v>83</v>
      </c>
      <c r="H25" s="4">
        <v>50</v>
      </c>
      <c r="I25" s="4">
        <v>95</v>
      </c>
      <c r="J25" s="4">
        <v>79</v>
      </c>
      <c r="K25" s="2">
        <f t="shared" si="0"/>
        <v>370</v>
      </c>
      <c r="L25" s="2">
        <f t="shared" si="1"/>
        <v>74</v>
      </c>
      <c r="M25" s="2">
        <f t="shared" si="2"/>
        <v>23</v>
      </c>
      <c r="N25" s="2" t="str">
        <f t="shared" si="3"/>
        <v>B</v>
      </c>
    </row>
    <row r="26" spans="1:14">
      <c r="A26" s="11" t="s">
        <v>59</v>
      </c>
      <c r="B26" s="3" t="s">
        <v>25</v>
      </c>
      <c r="C26" s="1" t="s">
        <v>18</v>
      </c>
      <c r="D26" s="1" t="s">
        <v>22</v>
      </c>
      <c r="E26" s="1" t="s">
        <v>23</v>
      </c>
      <c r="F26" s="4">
        <v>89</v>
      </c>
      <c r="G26" s="4">
        <v>74</v>
      </c>
      <c r="H26" s="4">
        <v>73</v>
      </c>
      <c r="I26" s="4">
        <v>43</v>
      </c>
      <c r="J26" s="4">
        <v>87</v>
      </c>
      <c r="K26" s="2">
        <f t="shared" si="0"/>
        <v>366</v>
      </c>
      <c r="L26" s="2">
        <f t="shared" si="1"/>
        <v>73.2</v>
      </c>
      <c r="M26" s="2">
        <f t="shared" si="2"/>
        <v>24</v>
      </c>
      <c r="N26" s="2" t="str">
        <f t="shared" si="3"/>
        <v>B</v>
      </c>
    </row>
    <row r="27" spans="1:14">
      <c r="A27" s="11" t="s">
        <v>81</v>
      </c>
      <c r="B27" s="1" t="s">
        <v>49</v>
      </c>
      <c r="C27" s="1" t="s">
        <v>33</v>
      </c>
      <c r="D27" s="1" t="s">
        <v>15</v>
      </c>
      <c r="E27" s="1" t="s">
        <v>16</v>
      </c>
      <c r="F27" s="4">
        <v>64</v>
      </c>
      <c r="G27" s="4">
        <v>73</v>
      </c>
      <c r="H27" s="4">
        <v>85</v>
      </c>
      <c r="I27" s="4">
        <v>65</v>
      </c>
      <c r="J27" s="4">
        <v>72</v>
      </c>
      <c r="K27" s="2">
        <f t="shared" si="0"/>
        <v>359</v>
      </c>
      <c r="L27" s="2">
        <f t="shared" si="1"/>
        <v>71.8</v>
      </c>
      <c r="M27" s="2">
        <f t="shared" si="2"/>
        <v>25</v>
      </c>
      <c r="N27" s="2" t="str">
        <f t="shared" si="3"/>
        <v>B</v>
      </c>
    </row>
    <row r="28" spans="1:14">
      <c r="A28" s="11" t="s">
        <v>73</v>
      </c>
      <c r="B28" s="1" t="s">
        <v>41</v>
      </c>
      <c r="C28" s="1" t="s">
        <v>31</v>
      </c>
      <c r="D28" s="1" t="s">
        <v>19</v>
      </c>
      <c r="E28" s="1" t="s">
        <v>20</v>
      </c>
      <c r="F28" s="4">
        <v>83</v>
      </c>
      <c r="G28" s="4">
        <v>53</v>
      </c>
      <c r="H28" s="4">
        <v>74</v>
      </c>
      <c r="I28" s="4">
        <v>87</v>
      </c>
      <c r="J28" s="4">
        <v>56</v>
      </c>
      <c r="K28" s="2">
        <f t="shared" si="0"/>
        <v>353</v>
      </c>
      <c r="L28" s="2">
        <f t="shared" si="1"/>
        <v>70.599999999999994</v>
      </c>
      <c r="M28" s="2">
        <f t="shared" si="2"/>
        <v>26</v>
      </c>
      <c r="N28" s="2" t="str">
        <f t="shared" si="3"/>
        <v>B</v>
      </c>
    </row>
    <row r="29" spans="1:14">
      <c r="A29" s="11" t="s">
        <v>62</v>
      </c>
      <c r="B29" s="3" t="s">
        <v>28</v>
      </c>
      <c r="C29" s="1" t="s">
        <v>14</v>
      </c>
      <c r="D29" s="1" t="s">
        <v>19</v>
      </c>
      <c r="E29" s="1" t="s">
        <v>20</v>
      </c>
      <c r="F29" s="4">
        <v>56.5</v>
      </c>
      <c r="G29" s="4">
        <v>89</v>
      </c>
      <c r="H29" s="4">
        <v>64</v>
      </c>
      <c r="I29" s="4">
        <v>97</v>
      </c>
      <c r="J29" s="4">
        <v>46</v>
      </c>
      <c r="K29" s="2">
        <f t="shared" si="0"/>
        <v>352.5</v>
      </c>
      <c r="L29" s="2">
        <f t="shared" si="1"/>
        <v>70.5</v>
      </c>
      <c r="M29" s="2">
        <f t="shared" si="2"/>
        <v>27</v>
      </c>
      <c r="N29" s="2" t="str">
        <f t="shared" si="3"/>
        <v>B</v>
      </c>
    </row>
    <row r="30" spans="1:14">
      <c r="A30" s="11" t="s">
        <v>56</v>
      </c>
      <c r="B30" s="3" t="s">
        <v>17</v>
      </c>
      <c r="C30" s="1" t="s">
        <v>18</v>
      </c>
      <c r="D30" s="1" t="s">
        <v>19</v>
      </c>
      <c r="E30" s="1" t="s">
        <v>20</v>
      </c>
      <c r="F30" s="4">
        <v>56.5</v>
      </c>
      <c r="G30" s="4">
        <v>78</v>
      </c>
      <c r="H30" s="4">
        <v>62</v>
      </c>
      <c r="I30" s="4">
        <v>75</v>
      </c>
      <c r="J30" s="4">
        <v>63</v>
      </c>
      <c r="K30" s="2">
        <f t="shared" si="0"/>
        <v>334.5</v>
      </c>
      <c r="L30" s="2">
        <f t="shared" si="1"/>
        <v>66.900000000000006</v>
      </c>
      <c r="M30" s="2">
        <f t="shared" si="2"/>
        <v>28</v>
      </c>
      <c r="N30" s="2" t="str">
        <f t="shared" si="3"/>
        <v>C</v>
      </c>
    </row>
    <row r="31" spans="1:14">
      <c r="A31" s="11" t="s">
        <v>75</v>
      </c>
      <c r="B31" s="1" t="s">
        <v>43</v>
      </c>
      <c r="C31" s="1" t="s">
        <v>33</v>
      </c>
      <c r="D31" s="1" t="s">
        <v>19</v>
      </c>
      <c r="E31" s="1" t="s">
        <v>20</v>
      </c>
      <c r="F31" s="4">
        <v>77</v>
      </c>
      <c r="G31" s="4">
        <v>35</v>
      </c>
      <c r="H31" s="4">
        <v>86</v>
      </c>
      <c r="I31" s="4">
        <v>72</v>
      </c>
      <c r="J31" s="4">
        <v>62</v>
      </c>
      <c r="K31" s="2">
        <f t="shared" si="0"/>
        <v>332</v>
      </c>
      <c r="L31" s="2">
        <f t="shared" si="1"/>
        <v>66.400000000000006</v>
      </c>
      <c r="M31" s="2">
        <f t="shared" si="2"/>
        <v>29</v>
      </c>
      <c r="N31" s="2" t="str">
        <f t="shared" si="3"/>
        <v>C</v>
      </c>
    </row>
    <row r="32" spans="1:14">
      <c r="A32" s="11" t="s">
        <v>68</v>
      </c>
      <c r="B32" s="1" t="s">
        <v>36</v>
      </c>
      <c r="C32" s="5" t="s">
        <v>31</v>
      </c>
      <c r="D32" s="1" t="s">
        <v>15</v>
      </c>
      <c r="E32" s="1" t="s">
        <v>16</v>
      </c>
      <c r="F32" s="4">
        <v>56</v>
      </c>
      <c r="G32" s="4">
        <v>93</v>
      </c>
      <c r="H32" s="4">
        <v>51</v>
      </c>
      <c r="I32" s="4">
        <v>54</v>
      </c>
      <c r="J32" s="4">
        <v>74</v>
      </c>
      <c r="K32" s="2">
        <f t="shared" si="0"/>
        <v>328</v>
      </c>
      <c r="L32" s="2">
        <f t="shared" si="1"/>
        <v>65.599999999999994</v>
      </c>
      <c r="M32" s="2">
        <f t="shared" si="2"/>
        <v>30</v>
      </c>
      <c r="N32" s="2" t="str">
        <f t="shared" si="3"/>
        <v>C</v>
      </c>
    </row>
  </sheetData>
  <phoneticPr fontId="1" type="noConversion"/>
  <conditionalFormatting sqref="F3:J32">
    <cfRule type="cellIs" dxfId="0" priority="1" stopIfTrue="1" operator="lessThan">
      <formula>60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2"/>
  <sheetViews>
    <sheetView workbookViewId="0">
      <selection activeCell="I12" sqref="I12"/>
    </sheetView>
  </sheetViews>
  <sheetFormatPr defaultRowHeight="14.25"/>
  <cols>
    <col min="1" max="1" width="11.625" bestFit="1" customWidth="1"/>
    <col min="4" max="4" width="11.625" bestFit="1" customWidth="1"/>
    <col min="6" max="8" width="11" bestFit="1" customWidth="1"/>
    <col min="9" max="9" width="15.125" bestFit="1" customWidth="1"/>
  </cols>
  <sheetData>
    <row r="1" spans="1:14">
      <c r="A1" t="s">
        <v>6</v>
      </c>
      <c r="B1" t="s">
        <v>8</v>
      </c>
    </row>
    <row r="2" spans="1:14">
      <c r="A2" t="s">
        <v>85</v>
      </c>
      <c r="B2" t="s">
        <v>85</v>
      </c>
    </row>
    <row r="5" spans="1:14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7" t="s">
        <v>11</v>
      </c>
      <c r="M5" s="7" t="s">
        <v>12</v>
      </c>
      <c r="N5" s="8" t="s">
        <v>54</v>
      </c>
    </row>
    <row r="6" spans="1:14">
      <c r="A6" s="11" t="s">
        <v>62</v>
      </c>
      <c r="B6" s="3" t="s">
        <v>28</v>
      </c>
      <c r="C6" s="1" t="s">
        <v>14</v>
      </c>
      <c r="D6" s="1" t="s">
        <v>19</v>
      </c>
      <c r="E6" s="1" t="s">
        <v>20</v>
      </c>
      <c r="F6" s="4">
        <v>56.5</v>
      </c>
      <c r="G6" s="4">
        <v>89</v>
      </c>
      <c r="H6" s="4">
        <v>64</v>
      </c>
      <c r="I6" s="4">
        <v>97</v>
      </c>
      <c r="J6" s="4">
        <v>46</v>
      </c>
      <c r="K6" s="2">
        <v>352.5</v>
      </c>
      <c r="L6" s="2">
        <v>70.5</v>
      </c>
      <c r="M6" s="2">
        <v>27</v>
      </c>
      <c r="N6" s="2" t="s">
        <v>86</v>
      </c>
    </row>
    <row r="7" spans="1:14">
      <c r="A7" s="11" t="s">
        <v>66</v>
      </c>
      <c r="B7" s="1" t="s">
        <v>34</v>
      </c>
      <c r="C7" s="5" t="s">
        <v>33</v>
      </c>
      <c r="D7" s="1" t="s">
        <v>19</v>
      </c>
      <c r="E7" s="1" t="s">
        <v>20</v>
      </c>
      <c r="F7" s="4">
        <v>69.5</v>
      </c>
      <c r="G7" s="4">
        <v>87</v>
      </c>
      <c r="H7" s="4">
        <v>56</v>
      </c>
      <c r="I7" s="4">
        <v>82</v>
      </c>
      <c r="J7" s="4">
        <v>97</v>
      </c>
      <c r="K7" s="2">
        <v>391.5</v>
      </c>
      <c r="L7" s="2">
        <v>78.3</v>
      </c>
      <c r="M7" s="2">
        <v>17</v>
      </c>
      <c r="N7" s="2" t="s">
        <v>86</v>
      </c>
    </row>
    <row r="8" spans="1:14">
      <c r="A8" s="11" t="s">
        <v>67</v>
      </c>
      <c r="B8" s="1" t="s">
        <v>35</v>
      </c>
      <c r="C8" s="5" t="s">
        <v>33</v>
      </c>
      <c r="D8" s="1" t="s">
        <v>22</v>
      </c>
      <c r="E8" s="1" t="s">
        <v>23</v>
      </c>
      <c r="F8" s="4">
        <v>71</v>
      </c>
      <c r="G8" s="4">
        <v>82</v>
      </c>
      <c r="H8" s="4">
        <v>70</v>
      </c>
      <c r="I8" s="4">
        <v>96</v>
      </c>
      <c r="J8" s="4">
        <v>83</v>
      </c>
      <c r="K8" s="2">
        <v>402</v>
      </c>
      <c r="L8" s="2">
        <v>80.400000000000006</v>
      </c>
      <c r="M8" s="2">
        <v>11</v>
      </c>
      <c r="N8" s="2" t="s">
        <v>87</v>
      </c>
    </row>
    <row r="9" spans="1:14">
      <c r="A9" s="11" t="s">
        <v>71</v>
      </c>
      <c r="B9" s="1" t="s">
        <v>39</v>
      </c>
      <c r="C9" s="1" t="s">
        <v>31</v>
      </c>
      <c r="D9" s="1" t="s">
        <v>19</v>
      </c>
      <c r="E9" s="1" t="s">
        <v>20</v>
      </c>
      <c r="F9" s="4">
        <v>91.5</v>
      </c>
      <c r="G9" s="4">
        <v>85</v>
      </c>
      <c r="H9" s="4">
        <v>83</v>
      </c>
      <c r="I9" s="4">
        <v>83</v>
      </c>
      <c r="J9" s="4">
        <v>63</v>
      </c>
      <c r="K9" s="2">
        <v>405.5</v>
      </c>
      <c r="L9" s="2">
        <v>81.099999999999994</v>
      </c>
      <c r="M9" s="2">
        <v>8</v>
      </c>
      <c r="N9" s="2" t="s">
        <v>87</v>
      </c>
    </row>
    <row r="10" spans="1:14">
      <c r="A10" s="11" t="s">
        <v>76</v>
      </c>
      <c r="B10" s="1" t="s">
        <v>44</v>
      </c>
      <c r="C10" s="1" t="s">
        <v>31</v>
      </c>
      <c r="D10" s="1" t="s">
        <v>22</v>
      </c>
      <c r="E10" s="1" t="s">
        <v>23</v>
      </c>
      <c r="F10" s="4">
        <v>73</v>
      </c>
      <c r="G10" s="4">
        <v>84</v>
      </c>
      <c r="H10" s="4">
        <v>94</v>
      </c>
      <c r="I10" s="4">
        <v>85</v>
      </c>
      <c r="J10" s="4">
        <v>83</v>
      </c>
      <c r="K10" s="2">
        <v>419</v>
      </c>
      <c r="L10" s="2">
        <v>83.8</v>
      </c>
      <c r="M10" s="2">
        <v>3</v>
      </c>
      <c r="N10" s="2" t="s">
        <v>87</v>
      </c>
    </row>
    <row r="11" spans="1:14">
      <c r="A11" s="11" t="s">
        <v>79</v>
      </c>
      <c r="B11" s="1" t="s">
        <v>47</v>
      </c>
      <c r="C11" s="1" t="s">
        <v>33</v>
      </c>
      <c r="D11" s="1" t="s">
        <v>22</v>
      </c>
      <c r="E11" s="1" t="s">
        <v>23</v>
      </c>
      <c r="F11" s="4">
        <v>88</v>
      </c>
      <c r="G11" s="4">
        <v>84</v>
      </c>
      <c r="H11" s="4">
        <v>53</v>
      </c>
      <c r="I11" s="4">
        <v>97</v>
      </c>
      <c r="J11" s="4">
        <v>93</v>
      </c>
      <c r="K11" s="2">
        <v>415</v>
      </c>
      <c r="L11" s="2">
        <v>83</v>
      </c>
      <c r="M11" s="2">
        <v>4</v>
      </c>
      <c r="N11" s="2" t="s">
        <v>87</v>
      </c>
    </row>
    <row r="12" spans="1:14">
      <c r="A12" s="11" t="s">
        <v>80</v>
      </c>
      <c r="B12" s="1" t="s">
        <v>48</v>
      </c>
      <c r="C12" s="1" t="s">
        <v>33</v>
      </c>
      <c r="D12" s="1" t="s">
        <v>19</v>
      </c>
      <c r="E12" s="1" t="s">
        <v>20</v>
      </c>
      <c r="F12" s="4">
        <v>63</v>
      </c>
      <c r="G12" s="4">
        <v>83</v>
      </c>
      <c r="H12" s="4">
        <v>50</v>
      </c>
      <c r="I12" s="4">
        <v>95</v>
      </c>
      <c r="J12" s="4">
        <v>79</v>
      </c>
      <c r="K12" s="2">
        <v>370</v>
      </c>
      <c r="L12" s="2">
        <v>74</v>
      </c>
      <c r="M12" s="2">
        <v>23</v>
      </c>
      <c r="N12" s="2" t="s">
        <v>86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Sheet3!Criteria</vt:lpstr>
      <vt:lpstr>Sheet3!提取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2019-09-16T02:22:55Z</dcterms:modified>
</cp:coreProperties>
</file>