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05" windowWidth="20475" windowHeight="9630"/>
  </bookViews>
  <sheets>
    <sheet name="一模技能成绩表" sheetId="1" r:id="rId1"/>
    <sheet name="Sheet2" sheetId="2" r:id="rId2"/>
    <sheet name="筛选" sheetId="3" r:id="rId3"/>
    <sheet name="分类汇总" sheetId="4" r:id="rId4"/>
    <sheet name="图表" sheetId="5" r:id="rId5"/>
  </sheets>
  <definedNames>
    <definedName name="_xlnm._FilterDatabase" localSheetId="1" hidden="1">Sheet2!$A$2:$L$32</definedName>
    <definedName name="_xlnm.Criteria" localSheetId="2">筛选!$A$1:$B$2</definedName>
    <definedName name="_xlnm.Extract" localSheetId="2">筛选!$A$5:$L$5</definedName>
  </definedNames>
  <calcPr calcId="145621"/>
</workbook>
</file>

<file path=xl/calcChain.xml><?xml version="1.0" encoding="utf-8"?>
<calcChain xmlns="http://schemas.openxmlformats.org/spreadsheetml/2006/main">
  <c r="L34" i="4" l="1"/>
  <c r="G34" i="4"/>
  <c r="F34" i="4"/>
  <c r="E34" i="4"/>
  <c r="L33" i="4"/>
  <c r="G33" i="4"/>
  <c r="F33" i="4"/>
  <c r="E33" i="4"/>
  <c r="L22" i="4"/>
  <c r="G22" i="4"/>
  <c r="F22" i="4"/>
  <c r="E22" i="4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" i="2"/>
</calcChain>
</file>

<file path=xl/sharedStrings.xml><?xml version="1.0" encoding="utf-8"?>
<sst xmlns="http://schemas.openxmlformats.org/spreadsheetml/2006/main" count="329" uniqueCount="118">
  <si>
    <t>考试号</t>
  </si>
  <si>
    <t>姓名</t>
  </si>
  <si>
    <t>中文打字</t>
  </si>
  <si>
    <t>Word</t>
  </si>
  <si>
    <t>Excel</t>
  </si>
  <si>
    <t>DW</t>
  </si>
  <si>
    <t>PS</t>
  </si>
  <si>
    <t>程序填空</t>
  </si>
  <si>
    <t>程序改错</t>
  </si>
  <si>
    <t>程序设计</t>
  </si>
  <si>
    <t>jc101</t>
  </si>
  <si>
    <t>jc103</t>
  </si>
  <si>
    <t>jc104</t>
  </si>
  <si>
    <t>jc107</t>
  </si>
  <si>
    <t>jc111</t>
  </si>
  <si>
    <t>jc113</t>
  </si>
  <si>
    <t>jc114</t>
  </si>
  <si>
    <t>jc117</t>
  </si>
  <si>
    <t>褚梦佳</t>
  </si>
  <si>
    <t>蔡敏梅</t>
  </si>
  <si>
    <t>赵林莉</t>
  </si>
  <si>
    <t>糜义杰</t>
  </si>
  <si>
    <t>周丽萍</t>
  </si>
  <si>
    <t>王英</t>
  </si>
  <si>
    <t>陈子雅</t>
  </si>
  <si>
    <t>周文洁</t>
  </si>
  <si>
    <t>成立</t>
  </si>
  <si>
    <t>陈晖</t>
  </si>
  <si>
    <t>王玉芳</t>
    <phoneticPr fontId="4" type="noConversion"/>
  </si>
  <si>
    <t>邵艳</t>
  </si>
  <si>
    <t>殷岳峰</t>
  </si>
  <si>
    <t>董红</t>
  </si>
  <si>
    <t>王海霞</t>
  </si>
  <si>
    <t>闫静</t>
  </si>
  <si>
    <t>裴娟娟</t>
  </si>
  <si>
    <t>曹淤青</t>
  </si>
  <si>
    <t>毛翠柳</t>
  </si>
  <si>
    <t>胡云</t>
  </si>
  <si>
    <t>谢洁</t>
  </si>
  <si>
    <t>杨学胜</t>
  </si>
  <si>
    <t>强兆娣</t>
  </si>
  <si>
    <t>徐佳佳</t>
  </si>
  <si>
    <t>汤勇</t>
  </si>
  <si>
    <t>谢京平</t>
  </si>
  <si>
    <t>唐红霞</t>
  </si>
  <si>
    <t>顾荣荣</t>
  </si>
  <si>
    <t>钱继英</t>
  </si>
  <si>
    <t>丁明亚</t>
  </si>
  <si>
    <t>jc102</t>
    <phoneticPr fontId="1" type="noConversion"/>
  </si>
  <si>
    <t>jc105</t>
  </si>
  <si>
    <t>jc106</t>
  </si>
  <si>
    <t>jc108</t>
  </si>
  <si>
    <t>jc109</t>
  </si>
  <si>
    <t>jc110</t>
  </si>
  <si>
    <t>jc112</t>
  </si>
  <si>
    <t>jc115</t>
  </si>
  <si>
    <t>jc116</t>
  </si>
  <si>
    <t>jc118</t>
  </si>
  <si>
    <t>jc119</t>
  </si>
  <si>
    <t>jc120</t>
  </si>
  <si>
    <t>jc121</t>
  </si>
  <si>
    <t>jc122</t>
  </si>
  <si>
    <t>jc123</t>
  </si>
  <si>
    <t>jc124</t>
  </si>
  <si>
    <t>jc125</t>
  </si>
  <si>
    <t>jc126</t>
  </si>
  <si>
    <t>jc127</t>
  </si>
  <si>
    <t>jc128</t>
  </si>
  <si>
    <t>jc129</t>
  </si>
  <si>
    <t>jc130</t>
  </si>
  <si>
    <t>女</t>
  </si>
  <si>
    <t>男</t>
  </si>
  <si>
    <t>性别</t>
    <phoneticPr fontId="1" type="noConversion"/>
  </si>
  <si>
    <t xml:space="preserve"> </t>
    <phoneticPr fontId="1" type="noConversion"/>
  </si>
  <si>
    <t>2018年计算机专业高三技能成绩汇总表</t>
    <phoneticPr fontId="1" type="noConversion"/>
  </si>
  <si>
    <t>学号</t>
  </si>
  <si>
    <t>学号</t>
    <phoneticPr fontId="1" type="noConversion"/>
  </si>
  <si>
    <t>总分</t>
  </si>
  <si>
    <t>总分</t>
    <phoneticPr fontId="1" type="noConversion"/>
  </si>
  <si>
    <t>中文打字</t>
    <phoneticPr fontId="1" type="noConversion"/>
  </si>
  <si>
    <t>&lt;30</t>
    <phoneticPr fontId="1" type="noConversion"/>
  </si>
  <si>
    <t>总分</t>
    <phoneticPr fontId="1" type="noConversion"/>
  </si>
  <si>
    <t>&lt;220</t>
    <phoneticPr fontId="1" type="noConversion"/>
  </si>
  <si>
    <t>10</t>
  </si>
  <si>
    <t>11</t>
  </si>
  <si>
    <t>12</t>
  </si>
  <si>
    <t>13</t>
  </si>
  <si>
    <t>14</t>
  </si>
  <si>
    <t>18</t>
  </si>
  <si>
    <t>21</t>
  </si>
  <si>
    <t>23</t>
  </si>
  <si>
    <t>26</t>
  </si>
  <si>
    <t>28</t>
  </si>
  <si>
    <t>30</t>
  </si>
  <si>
    <t>性别</t>
  </si>
  <si>
    <t>王玉芳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</si>
  <si>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</si>
  <si>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</si>
  <si>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</si>
  <si>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</si>
  <si>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</si>
  <si>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</si>
  <si>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</si>
  <si>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</si>
  <si>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</si>
  <si>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15</t>
  </si>
  <si>
    <t>16</t>
  </si>
  <si>
    <t>17</t>
  </si>
  <si>
    <t>19</t>
  </si>
  <si>
    <t>20</t>
  </si>
  <si>
    <t>22</t>
  </si>
  <si>
    <t>24</t>
  </si>
  <si>
    <t>25</t>
  </si>
  <si>
    <t>27</t>
  </si>
  <si>
    <t>29</t>
  </si>
  <si>
    <t>女 平均值</t>
  </si>
  <si>
    <t>男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</si>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</sst>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1"/>
      <color theme="1"/>
      <name val="宋体"/>
      <family val="2"/>
      <charset val="134"/>
      <scheme val="minor"/>
    </font>
    <font>
      <b/>
      <sz val="14"/>
      <color rgb="FF7030A0"/>
      <name val="黑体"/>
      <family val="3"/>
      <charset val="134"/>
    </font>
    <font>
      <sz val="10"/>
      <color theme="1"/>
      <name val="华文楷体"/>
      <family val="3"/>
      <charset val="134"/>
    </font>
    <font>
      <sz val="10"/>
      <color indexed="8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ck">
        <color rgb="FFFF0000"/>
      </left>
      <right style="thin">
        <color indexed="22"/>
      </right>
      <top style="thick">
        <color rgb="FFFF0000"/>
      </top>
      <bottom style="thin">
        <color indexed="22"/>
      </bottom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thin">
        <color indexed="22"/>
      </right>
      <top style="thin">
        <color indexed="22"/>
      </top>
      <bottom style="thick">
        <color rgb="FFFF00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7">
    <xf numFmtId="0" fontId="0" fillId="0" borderId="0" xfId="0">
      <alignment vertical="center"/>
    </xf>
    <xf numFmtId="0" fontId="3" fillId="0" borderId="1" xfId="1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8" fillId="0" borderId="2" xfId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8" fillId="0" borderId="7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0" fillId="0" borderId="10" xfId="0" applyBorder="1">
      <alignment vertical="center"/>
    </xf>
  </cellXfs>
  <cellStyles count="2">
    <cellStyle name="常规" xfId="0" builtinId="0"/>
    <cellStyle name="常规_Sheet9" xfId="1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部分学生总分统计图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Sheet2!$L$2</c:f>
              <c:strCache>
                <c:ptCount val="1"/>
                <c:pt idx="0">
                  <c:v>总分</c:v>
                </c:pt>
              </c:strCache>
            </c:strRef>
          </c:tx>
          <c:invertIfNegative val="0"/>
          <c:cat>
            <c:strRef>
              <c:f>Sheet2!$C$3:$C$13</c:f>
              <c:strCache>
                <c:ptCount val="11"/>
                <c:pt idx="0">
                  <c:v>褚梦佳</c:v>
                </c:pt>
                <c:pt idx="1">
                  <c:v>蔡敏梅</c:v>
                </c:pt>
                <c:pt idx="2">
                  <c:v>赵林莉</c:v>
                </c:pt>
                <c:pt idx="3">
                  <c:v>糜义杰</c:v>
                </c:pt>
                <c:pt idx="4">
                  <c:v>周丽萍</c:v>
                </c:pt>
                <c:pt idx="5">
                  <c:v>王英</c:v>
                </c:pt>
                <c:pt idx="6">
                  <c:v>陈子雅</c:v>
                </c:pt>
                <c:pt idx="7">
                  <c:v>周文洁</c:v>
                </c:pt>
                <c:pt idx="8">
                  <c:v>成立</c:v>
                </c:pt>
                <c:pt idx="9">
                  <c:v>陈晖</c:v>
                </c:pt>
                <c:pt idx="10">
                  <c:v>王玉芳</c:v>
                </c:pt>
              </c:strCache>
            </c:strRef>
          </c:cat>
          <c:val>
            <c:numRef>
              <c:f>Sheet2!$L$3:$L$13</c:f>
              <c:numCache>
                <c:formatCode>General</c:formatCode>
                <c:ptCount val="11"/>
                <c:pt idx="0">
                  <c:v>298.3</c:v>
                </c:pt>
                <c:pt idx="1">
                  <c:v>300</c:v>
                </c:pt>
                <c:pt idx="2">
                  <c:v>242.3</c:v>
                </c:pt>
                <c:pt idx="3">
                  <c:v>182.2</c:v>
                </c:pt>
                <c:pt idx="4">
                  <c:v>238.29999999999998</c:v>
                </c:pt>
                <c:pt idx="5">
                  <c:v>227.9</c:v>
                </c:pt>
                <c:pt idx="6">
                  <c:v>297.39999999999998</c:v>
                </c:pt>
                <c:pt idx="7">
                  <c:v>298.3</c:v>
                </c:pt>
                <c:pt idx="8">
                  <c:v>168</c:v>
                </c:pt>
                <c:pt idx="9">
                  <c:v>190.6</c:v>
                </c:pt>
                <c:pt idx="10">
                  <c:v>189.6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1448704"/>
        <c:axId val="113819648"/>
        <c:axId val="0"/>
      </c:bar3DChart>
      <c:catAx>
        <c:axId val="121448704"/>
        <c:scaling>
          <c:orientation val="minMax"/>
        </c:scaling>
        <c:delete val="0"/>
        <c:axPos val="b"/>
        <c:majorTickMark val="out"/>
        <c:minorTickMark val="none"/>
        <c:tickLblPos val="nextTo"/>
        <c:crossAx val="113819648"/>
        <c:crosses val="autoZero"/>
        <c:auto val="1"/>
        <c:lblAlgn val="ctr"/>
        <c:lblOffset val="100"/>
        <c:noMultiLvlLbl val="0"/>
      </c:catAx>
      <c:valAx>
        <c:axId val="113819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448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623887</xdr:colOff>
      <xdr:row>0</xdr:row>
      <xdr:rowOff>28575</xdr:rowOff>
    </xdr:from>
    <xdr:to>
      <xdr:col>10</xdr:col>
      <xdr:colOff>395287</xdr:colOff>
      <xdr:row>16</xdr:row>
      <xdr:rowOff>28575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abSelected="1" workbookViewId="0">
      <selection sqref="A1:K1"/>
    </sheetView>
  </sheetViews>
  <sheetFormatPr defaultRowHeight="13.5" x14ac:dyDescent="0.15"/>
  <sheetData>
    <row r="1" spans="1:16" ht="30" customHeight="1" x14ac:dyDescent="0.15">
      <c r="A1" s="3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6" x14ac:dyDescent="0.15">
      <c r="A2" s="4" t="s">
        <v>0</v>
      </c>
      <c r="B2" s="4" t="s">
        <v>72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</row>
    <row r="3" spans="1:16" x14ac:dyDescent="0.15">
      <c r="A3" s="4" t="s">
        <v>10</v>
      </c>
      <c r="B3" s="5" t="s">
        <v>70</v>
      </c>
      <c r="C3" s="5" t="s">
        <v>18</v>
      </c>
      <c r="D3" s="4">
        <v>50</v>
      </c>
      <c r="E3" s="4">
        <v>40</v>
      </c>
      <c r="F3" s="4">
        <v>40</v>
      </c>
      <c r="G3" s="4">
        <v>48.3</v>
      </c>
      <c r="H3" s="4">
        <v>40</v>
      </c>
      <c r="I3" s="4">
        <v>20</v>
      </c>
      <c r="J3" s="4">
        <v>30</v>
      </c>
      <c r="K3" s="4">
        <v>30</v>
      </c>
    </row>
    <row r="4" spans="1:16" x14ac:dyDescent="0.15">
      <c r="A4" s="4" t="s">
        <v>48</v>
      </c>
      <c r="B4" s="5" t="s">
        <v>70</v>
      </c>
      <c r="C4" s="5" t="s">
        <v>19</v>
      </c>
      <c r="D4" s="4">
        <v>50</v>
      </c>
      <c r="E4" s="4">
        <v>40</v>
      </c>
      <c r="F4" s="4">
        <v>40</v>
      </c>
      <c r="G4" s="4">
        <v>50</v>
      </c>
      <c r="H4" s="4">
        <v>40</v>
      </c>
      <c r="I4" s="4">
        <v>20</v>
      </c>
      <c r="J4" s="4">
        <v>30</v>
      </c>
      <c r="K4" s="4">
        <v>30</v>
      </c>
    </row>
    <row r="5" spans="1:16" x14ac:dyDescent="0.15">
      <c r="A5" s="4" t="s">
        <v>11</v>
      </c>
      <c r="B5" s="5" t="s">
        <v>70</v>
      </c>
      <c r="C5" s="5" t="s">
        <v>20</v>
      </c>
      <c r="D5" s="4">
        <v>50</v>
      </c>
      <c r="E5" s="4">
        <v>35.700000000000003</v>
      </c>
      <c r="F5" s="4">
        <v>37.6</v>
      </c>
      <c r="G5" s="4">
        <v>27.6</v>
      </c>
      <c r="H5" s="4">
        <v>40</v>
      </c>
      <c r="I5" s="4">
        <v>20</v>
      </c>
      <c r="J5" s="4">
        <v>30</v>
      </c>
      <c r="K5" s="4">
        <v>1.4</v>
      </c>
    </row>
    <row r="6" spans="1:16" x14ac:dyDescent="0.15">
      <c r="A6" s="4" t="s">
        <v>12</v>
      </c>
      <c r="B6" s="5" t="s">
        <v>71</v>
      </c>
      <c r="C6" s="5" t="s">
        <v>21</v>
      </c>
      <c r="D6" s="4">
        <v>50</v>
      </c>
      <c r="E6" s="4">
        <v>37</v>
      </c>
      <c r="F6" s="4">
        <v>36</v>
      </c>
      <c r="G6" s="4">
        <v>23.2</v>
      </c>
      <c r="H6" s="4">
        <v>36</v>
      </c>
      <c r="I6" s="4">
        <v>0</v>
      </c>
      <c r="J6" s="4">
        <v>0</v>
      </c>
      <c r="K6" s="4">
        <v>0</v>
      </c>
    </row>
    <row r="7" spans="1:16" x14ac:dyDescent="0.15">
      <c r="A7" s="4" t="s">
        <v>49</v>
      </c>
      <c r="B7" s="5" t="s">
        <v>70</v>
      </c>
      <c r="C7" s="5" t="s">
        <v>22</v>
      </c>
      <c r="D7" s="4">
        <v>50</v>
      </c>
      <c r="E7" s="4">
        <v>40</v>
      </c>
      <c r="F7" s="4">
        <v>39.200000000000003</v>
      </c>
      <c r="G7" s="4">
        <v>44.6</v>
      </c>
      <c r="H7" s="4">
        <v>40</v>
      </c>
      <c r="I7" s="4">
        <v>20</v>
      </c>
      <c r="J7" s="4">
        <v>0</v>
      </c>
      <c r="K7" s="4">
        <v>4.5</v>
      </c>
    </row>
    <row r="8" spans="1:16" x14ac:dyDescent="0.15">
      <c r="A8" s="4" t="s">
        <v>50</v>
      </c>
      <c r="B8" s="5" t="s">
        <v>70</v>
      </c>
      <c r="C8" s="5" t="s">
        <v>23</v>
      </c>
      <c r="D8" s="4">
        <v>50</v>
      </c>
      <c r="E8" s="4">
        <v>39.1</v>
      </c>
      <c r="F8" s="4">
        <v>38.4</v>
      </c>
      <c r="G8" s="4">
        <v>19</v>
      </c>
      <c r="H8" s="4">
        <v>40</v>
      </c>
      <c r="I8" s="4">
        <v>20</v>
      </c>
      <c r="J8" s="4">
        <v>20</v>
      </c>
      <c r="K8" s="4">
        <v>1.4</v>
      </c>
    </row>
    <row r="9" spans="1:16" x14ac:dyDescent="0.15">
      <c r="A9" s="4" t="s">
        <v>13</v>
      </c>
      <c r="B9" s="5" t="s">
        <v>71</v>
      </c>
      <c r="C9" s="5" t="s">
        <v>24</v>
      </c>
      <c r="D9" s="4">
        <v>50</v>
      </c>
      <c r="E9" s="4">
        <v>37.4</v>
      </c>
      <c r="F9" s="4">
        <v>40</v>
      </c>
      <c r="G9" s="4">
        <v>50</v>
      </c>
      <c r="H9" s="4">
        <v>40</v>
      </c>
      <c r="I9" s="4">
        <v>20</v>
      </c>
      <c r="J9" s="4">
        <v>30</v>
      </c>
      <c r="K9" s="4">
        <v>30</v>
      </c>
    </row>
    <row r="10" spans="1:16" x14ac:dyDescent="0.15">
      <c r="A10" s="4" t="s">
        <v>51</v>
      </c>
      <c r="B10" s="5" t="s">
        <v>70</v>
      </c>
      <c r="C10" s="5" t="s">
        <v>25</v>
      </c>
      <c r="D10" s="4">
        <v>50</v>
      </c>
      <c r="E10" s="4">
        <v>40</v>
      </c>
      <c r="F10" s="4">
        <v>40</v>
      </c>
      <c r="G10" s="4">
        <v>48.3</v>
      </c>
      <c r="H10" s="4">
        <v>40</v>
      </c>
      <c r="I10" s="4">
        <v>20</v>
      </c>
      <c r="J10" s="4">
        <v>30</v>
      </c>
      <c r="K10" s="4">
        <v>30</v>
      </c>
    </row>
    <row r="11" spans="1:16" x14ac:dyDescent="0.15">
      <c r="A11" s="4" t="s">
        <v>52</v>
      </c>
      <c r="B11" s="5" t="s">
        <v>71</v>
      </c>
      <c r="C11" s="5" t="s">
        <v>26</v>
      </c>
      <c r="D11" s="4">
        <v>33</v>
      </c>
      <c r="E11" s="4">
        <v>40</v>
      </c>
      <c r="F11" s="4">
        <v>27</v>
      </c>
      <c r="G11" s="4">
        <v>16</v>
      </c>
      <c r="H11" s="4">
        <v>16</v>
      </c>
      <c r="I11" s="4">
        <v>10</v>
      </c>
      <c r="J11" s="4">
        <v>6</v>
      </c>
      <c r="K11" s="4">
        <v>20</v>
      </c>
      <c r="P11" t="s">
        <v>73</v>
      </c>
    </row>
    <row r="12" spans="1:16" x14ac:dyDescent="0.15">
      <c r="A12" s="4" t="s">
        <v>53</v>
      </c>
      <c r="B12" s="5" t="s">
        <v>71</v>
      </c>
      <c r="C12" s="5" t="s">
        <v>27</v>
      </c>
      <c r="D12" s="4">
        <v>22</v>
      </c>
      <c r="E12" s="4">
        <v>37.6</v>
      </c>
      <c r="F12" s="4">
        <v>26</v>
      </c>
      <c r="G12" s="4">
        <v>17</v>
      </c>
      <c r="H12" s="4">
        <v>40</v>
      </c>
      <c r="I12" s="4">
        <v>19</v>
      </c>
      <c r="J12" s="4">
        <v>10</v>
      </c>
      <c r="K12" s="4">
        <v>19</v>
      </c>
    </row>
    <row r="13" spans="1:16" x14ac:dyDescent="0.15">
      <c r="A13" s="4" t="s">
        <v>14</v>
      </c>
      <c r="B13" s="5" t="s">
        <v>70</v>
      </c>
      <c r="C13" s="5" t="s">
        <v>28</v>
      </c>
      <c r="D13" s="4">
        <v>26</v>
      </c>
      <c r="E13" s="4">
        <v>36</v>
      </c>
      <c r="F13" s="4">
        <v>34</v>
      </c>
      <c r="G13" s="4">
        <v>16</v>
      </c>
      <c r="H13" s="4">
        <v>37.6</v>
      </c>
      <c r="I13" s="4">
        <v>17</v>
      </c>
      <c r="J13" s="4">
        <v>7</v>
      </c>
      <c r="K13" s="4">
        <v>16</v>
      </c>
    </row>
    <row r="14" spans="1:16" x14ac:dyDescent="0.15">
      <c r="A14" s="4" t="s">
        <v>54</v>
      </c>
      <c r="B14" s="5" t="s">
        <v>70</v>
      </c>
      <c r="C14" s="5" t="s">
        <v>29</v>
      </c>
      <c r="D14" s="4">
        <v>24</v>
      </c>
      <c r="E14" s="4">
        <v>39.200000000000003</v>
      </c>
      <c r="F14" s="4">
        <v>20</v>
      </c>
      <c r="G14" s="4">
        <v>15</v>
      </c>
      <c r="H14" s="4">
        <v>36</v>
      </c>
      <c r="I14" s="4">
        <v>19</v>
      </c>
      <c r="J14" s="4">
        <v>10</v>
      </c>
      <c r="K14" s="4">
        <v>13</v>
      </c>
    </row>
    <row r="15" spans="1:16" x14ac:dyDescent="0.15">
      <c r="A15" s="4" t="s">
        <v>15</v>
      </c>
      <c r="B15" s="5" t="s">
        <v>71</v>
      </c>
      <c r="C15" s="5" t="s">
        <v>30</v>
      </c>
      <c r="D15" s="4">
        <v>23</v>
      </c>
      <c r="E15" s="4">
        <v>38.4</v>
      </c>
      <c r="F15" s="4">
        <v>33</v>
      </c>
      <c r="G15" s="4">
        <v>20</v>
      </c>
      <c r="H15" s="4">
        <v>39.200000000000003</v>
      </c>
      <c r="I15" s="4">
        <v>14</v>
      </c>
      <c r="J15" s="4">
        <v>7</v>
      </c>
      <c r="K15" s="4">
        <v>4</v>
      </c>
    </row>
    <row r="16" spans="1:16" x14ac:dyDescent="0.15">
      <c r="A16" s="4" t="s">
        <v>16</v>
      </c>
      <c r="B16" s="5" t="s">
        <v>70</v>
      </c>
      <c r="C16" s="5" t="s">
        <v>31</v>
      </c>
      <c r="D16" s="4">
        <v>15</v>
      </c>
      <c r="E16" s="4">
        <v>40</v>
      </c>
      <c r="F16" s="4">
        <v>27</v>
      </c>
      <c r="G16" s="4">
        <v>19</v>
      </c>
      <c r="H16" s="4">
        <v>38.4</v>
      </c>
      <c r="I16" s="4">
        <v>16</v>
      </c>
      <c r="J16" s="4">
        <v>10</v>
      </c>
      <c r="K16" s="4">
        <v>16</v>
      </c>
    </row>
    <row r="17" spans="1:11" x14ac:dyDescent="0.15">
      <c r="A17" s="4" t="s">
        <v>55</v>
      </c>
      <c r="B17" s="5" t="s">
        <v>70</v>
      </c>
      <c r="C17" s="5" t="s">
        <v>32</v>
      </c>
      <c r="D17" s="4">
        <v>50</v>
      </c>
      <c r="E17" s="4">
        <v>40</v>
      </c>
      <c r="F17" s="4">
        <v>39.200000000000003</v>
      </c>
      <c r="G17" s="4">
        <v>18</v>
      </c>
      <c r="H17" s="4">
        <v>40</v>
      </c>
      <c r="I17" s="4">
        <v>16</v>
      </c>
      <c r="J17" s="4">
        <v>10</v>
      </c>
      <c r="K17" s="4">
        <v>18</v>
      </c>
    </row>
    <row r="18" spans="1:11" x14ac:dyDescent="0.15">
      <c r="A18" s="4" t="s">
        <v>56</v>
      </c>
      <c r="B18" s="5" t="s">
        <v>70</v>
      </c>
      <c r="C18" s="5" t="s">
        <v>33</v>
      </c>
      <c r="D18" s="4">
        <v>50</v>
      </c>
      <c r="E18" s="4">
        <v>39.1</v>
      </c>
      <c r="F18" s="4">
        <v>38.4</v>
      </c>
      <c r="G18" s="4">
        <v>34</v>
      </c>
      <c r="H18" s="4">
        <v>20</v>
      </c>
      <c r="I18" s="4">
        <v>20</v>
      </c>
      <c r="J18" s="4">
        <v>10</v>
      </c>
      <c r="K18" s="4">
        <v>15</v>
      </c>
    </row>
    <row r="19" spans="1:11" x14ac:dyDescent="0.15">
      <c r="A19" s="4" t="s">
        <v>17</v>
      </c>
      <c r="B19" s="5" t="s">
        <v>70</v>
      </c>
      <c r="C19" s="5" t="s">
        <v>34</v>
      </c>
      <c r="D19" s="4">
        <v>40</v>
      </c>
      <c r="E19" s="4">
        <v>40</v>
      </c>
      <c r="F19" s="4">
        <v>40</v>
      </c>
      <c r="G19" s="4">
        <v>28</v>
      </c>
      <c r="H19" s="4">
        <v>19</v>
      </c>
      <c r="I19" s="4">
        <v>15</v>
      </c>
      <c r="J19" s="4">
        <v>10</v>
      </c>
      <c r="K19" s="4">
        <v>20</v>
      </c>
    </row>
    <row r="20" spans="1:11" x14ac:dyDescent="0.15">
      <c r="A20" s="4" t="s">
        <v>57</v>
      </c>
      <c r="B20" s="5" t="s">
        <v>71</v>
      </c>
      <c r="C20" s="5" t="s">
        <v>35</v>
      </c>
      <c r="D20" s="4">
        <v>27</v>
      </c>
      <c r="E20" s="4">
        <v>16</v>
      </c>
      <c r="F20" s="4">
        <v>16</v>
      </c>
      <c r="G20" s="4">
        <v>35</v>
      </c>
      <c r="H20" s="4">
        <v>20</v>
      </c>
      <c r="I20" s="4">
        <v>18</v>
      </c>
      <c r="J20" s="4">
        <v>10</v>
      </c>
      <c r="K20" s="4">
        <v>19</v>
      </c>
    </row>
    <row r="21" spans="1:11" x14ac:dyDescent="0.15">
      <c r="A21" s="4" t="s">
        <v>58</v>
      </c>
      <c r="B21" s="5" t="s">
        <v>70</v>
      </c>
      <c r="C21" s="5" t="s">
        <v>36</v>
      </c>
      <c r="D21" s="4">
        <v>26</v>
      </c>
      <c r="E21" s="4">
        <v>17</v>
      </c>
      <c r="F21" s="4">
        <v>40</v>
      </c>
      <c r="G21" s="4">
        <v>50</v>
      </c>
      <c r="H21" s="4">
        <v>40</v>
      </c>
      <c r="I21" s="4">
        <v>20</v>
      </c>
      <c r="J21" s="4">
        <v>18</v>
      </c>
      <c r="K21" s="4">
        <v>19</v>
      </c>
    </row>
    <row r="22" spans="1:11" x14ac:dyDescent="0.15">
      <c r="A22" s="4" t="s">
        <v>59</v>
      </c>
      <c r="B22" s="5" t="s">
        <v>70</v>
      </c>
      <c r="C22" s="5" t="s">
        <v>37</v>
      </c>
      <c r="D22" s="4">
        <v>34</v>
      </c>
      <c r="E22" s="4">
        <v>16</v>
      </c>
      <c r="F22" s="4">
        <v>37.6</v>
      </c>
      <c r="G22" s="4">
        <v>17</v>
      </c>
      <c r="H22" s="4">
        <v>7</v>
      </c>
      <c r="I22" s="4">
        <v>19</v>
      </c>
      <c r="J22" s="4">
        <v>6</v>
      </c>
      <c r="K22" s="4">
        <v>16</v>
      </c>
    </row>
    <row r="23" spans="1:11" x14ac:dyDescent="0.15">
      <c r="A23" s="4" t="s">
        <v>60</v>
      </c>
      <c r="B23" s="5" t="s">
        <v>70</v>
      </c>
      <c r="C23" s="5" t="s">
        <v>38</v>
      </c>
      <c r="D23" s="4">
        <v>20</v>
      </c>
      <c r="E23" s="4">
        <v>40</v>
      </c>
      <c r="F23" s="4">
        <v>36</v>
      </c>
      <c r="G23" s="4">
        <v>19</v>
      </c>
      <c r="H23" s="4">
        <v>10</v>
      </c>
      <c r="I23" s="4">
        <v>16</v>
      </c>
      <c r="J23" s="4">
        <v>19</v>
      </c>
      <c r="K23" s="4">
        <v>10</v>
      </c>
    </row>
    <row r="24" spans="1:11" x14ac:dyDescent="0.15">
      <c r="A24" s="4" t="s">
        <v>61</v>
      </c>
      <c r="B24" s="5" t="s">
        <v>71</v>
      </c>
      <c r="C24" s="5" t="s">
        <v>39</v>
      </c>
      <c r="D24" s="4">
        <v>33</v>
      </c>
      <c r="E24" s="4">
        <v>35.700000000000003</v>
      </c>
      <c r="F24" s="4">
        <v>39.200000000000003</v>
      </c>
      <c r="G24" s="4">
        <v>14</v>
      </c>
      <c r="H24" s="4">
        <v>7</v>
      </c>
      <c r="I24" s="4">
        <v>13</v>
      </c>
      <c r="J24" s="4">
        <v>17</v>
      </c>
      <c r="K24" s="4">
        <v>10</v>
      </c>
    </row>
    <row r="25" spans="1:11" x14ac:dyDescent="0.15">
      <c r="A25" s="4" t="s">
        <v>62</v>
      </c>
      <c r="B25" s="5" t="s">
        <v>70</v>
      </c>
      <c r="C25" s="5" t="s">
        <v>40</v>
      </c>
      <c r="D25" s="4">
        <v>27</v>
      </c>
      <c r="E25" s="4">
        <v>37</v>
      </c>
      <c r="F25" s="4">
        <v>38.4</v>
      </c>
      <c r="G25" s="4">
        <v>16</v>
      </c>
      <c r="H25" s="4">
        <v>10</v>
      </c>
      <c r="I25" s="4">
        <v>4</v>
      </c>
      <c r="J25" s="4">
        <v>18</v>
      </c>
      <c r="K25" s="4">
        <v>9</v>
      </c>
    </row>
    <row r="26" spans="1:11" x14ac:dyDescent="0.15">
      <c r="A26" s="4" t="s">
        <v>63</v>
      </c>
      <c r="B26" s="5" t="s">
        <v>70</v>
      </c>
      <c r="C26" s="5" t="s">
        <v>41</v>
      </c>
      <c r="D26" s="4">
        <v>39.200000000000003</v>
      </c>
      <c r="E26" s="4">
        <v>40</v>
      </c>
      <c r="F26" s="4">
        <v>40</v>
      </c>
      <c r="G26" s="4">
        <v>16</v>
      </c>
      <c r="H26" s="4">
        <v>10</v>
      </c>
      <c r="I26" s="4">
        <v>16</v>
      </c>
      <c r="J26" s="4">
        <v>17</v>
      </c>
      <c r="K26" s="4">
        <v>9</v>
      </c>
    </row>
    <row r="27" spans="1:11" x14ac:dyDescent="0.15">
      <c r="A27" s="4" t="s">
        <v>64</v>
      </c>
      <c r="B27" s="5" t="s">
        <v>71</v>
      </c>
      <c r="C27" s="5" t="s">
        <v>42</v>
      </c>
      <c r="D27" s="4">
        <v>35</v>
      </c>
      <c r="E27" s="4">
        <v>39.1</v>
      </c>
      <c r="F27" s="4">
        <v>19</v>
      </c>
      <c r="G27" s="4">
        <v>30</v>
      </c>
      <c r="H27" s="4">
        <v>18</v>
      </c>
      <c r="I27" s="4">
        <v>18</v>
      </c>
      <c r="J27" s="4">
        <v>10</v>
      </c>
      <c r="K27" s="4">
        <v>8</v>
      </c>
    </row>
    <row r="28" spans="1:11" x14ac:dyDescent="0.15">
      <c r="A28" s="4" t="s">
        <v>65</v>
      </c>
      <c r="B28" s="5" t="s">
        <v>71</v>
      </c>
      <c r="C28" s="5" t="s">
        <v>43</v>
      </c>
      <c r="D28" s="4">
        <v>25</v>
      </c>
      <c r="E28" s="4">
        <v>37.4</v>
      </c>
      <c r="F28" s="4">
        <v>19</v>
      </c>
      <c r="G28" s="4">
        <v>32</v>
      </c>
      <c r="H28" s="4">
        <v>18</v>
      </c>
      <c r="I28" s="4">
        <v>15</v>
      </c>
      <c r="J28" s="4">
        <v>10</v>
      </c>
      <c r="K28" s="4">
        <v>8</v>
      </c>
    </row>
    <row r="29" spans="1:11" x14ac:dyDescent="0.15">
      <c r="A29" s="4" t="s">
        <v>66</v>
      </c>
      <c r="B29" s="5" t="s">
        <v>70</v>
      </c>
      <c r="C29" s="5" t="s">
        <v>44</v>
      </c>
      <c r="D29" s="4">
        <v>34</v>
      </c>
      <c r="E29" s="4">
        <v>40</v>
      </c>
      <c r="F29" s="4">
        <v>19</v>
      </c>
      <c r="G29" s="4">
        <v>32</v>
      </c>
      <c r="H29" s="4">
        <v>20</v>
      </c>
      <c r="I29" s="4">
        <v>20</v>
      </c>
      <c r="J29" s="4">
        <v>10</v>
      </c>
      <c r="K29" s="4">
        <v>10</v>
      </c>
    </row>
    <row r="30" spans="1:11" x14ac:dyDescent="0.15">
      <c r="A30" s="4" t="s">
        <v>67</v>
      </c>
      <c r="B30" s="5" t="s">
        <v>70</v>
      </c>
      <c r="C30" s="5" t="s">
        <v>45</v>
      </c>
      <c r="D30" s="4">
        <v>26</v>
      </c>
      <c r="E30" s="4">
        <v>40</v>
      </c>
      <c r="F30" s="4">
        <v>16</v>
      </c>
      <c r="G30" s="4">
        <v>27</v>
      </c>
      <c r="H30" s="4">
        <v>19</v>
      </c>
      <c r="I30" s="4">
        <v>19</v>
      </c>
      <c r="J30" s="4">
        <v>10</v>
      </c>
      <c r="K30" s="4">
        <v>10</v>
      </c>
    </row>
    <row r="31" spans="1:11" x14ac:dyDescent="0.15">
      <c r="A31" s="4" t="s">
        <v>68</v>
      </c>
      <c r="B31" s="5" t="s">
        <v>70</v>
      </c>
      <c r="C31" s="5" t="s">
        <v>46</v>
      </c>
      <c r="D31" s="4">
        <v>35</v>
      </c>
      <c r="E31" s="4">
        <v>37.6</v>
      </c>
      <c r="F31" s="4">
        <v>13</v>
      </c>
      <c r="G31" s="4">
        <v>30</v>
      </c>
      <c r="H31" s="4">
        <v>20</v>
      </c>
      <c r="I31" s="4">
        <v>19</v>
      </c>
      <c r="J31" s="4">
        <v>10</v>
      </c>
      <c r="K31" s="4">
        <v>8</v>
      </c>
    </row>
    <row r="32" spans="1:11" x14ac:dyDescent="0.15">
      <c r="A32" s="4" t="s">
        <v>69</v>
      </c>
      <c r="B32" s="5" t="s">
        <v>71</v>
      </c>
      <c r="C32" s="5" t="s">
        <v>47</v>
      </c>
      <c r="D32" s="4">
        <v>16</v>
      </c>
      <c r="E32" s="4">
        <v>36</v>
      </c>
      <c r="F32" s="4">
        <v>4</v>
      </c>
      <c r="G32" s="4">
        <v>33</v>
      </c>
      <c r="H32" s="4">
        <v>20</v>
      </c>
      <c r="I32" s="4">
        <v>16</v>
      </c>
      <c r="J32" s="4">
        <v>10</v>
      </c>
      <c r="K32" s="4">
        <v>9</v>
      </c>
    </row>
    <row r="33" spans="2:2" x14ac:dyDescent="0.15">
      <c r="B33" s="1"/>
    </row>
    <row r="34" spans="2:2" x14ac:dyDescent="0.15">
      <c r="B34" s="1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19" workbookViewId="0">
      <selection activeCell="L2" activeCellId="1" sqref="C2:C13 L2:L13"/>
    </sheetView>
  </sheetViews>
  <sheetFormatPr defaultRowHeight="13.5" x14ac:dyDescent="0.15"/>
  <sheetData>
    <row r="1" spans="1:12" x14ac:dyDescent="0.15">
      <c r="A1" s="4"/>
      <c r="B1" s="4"/>
      <c r="C1" s="4"/>
      <c r="D1" s="4"/>
      <c r="E1" s="4"/>
      <c r="F1" s="4"/>
      <c r="G1" s="4"/>
      <c r="H1" s="4"/>
      <c r="I1" s="4"/>
      <c r="J1" s="4"/>
    </row>
    <row r="2" spans="1:12" x14ac:dyDescent="0.15">
      <c r="A2" s="5" t="s">
        <v>76</v>
      </c>
      <c r="B2" s="4" t="s">
        <v>72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78</v>
      </c>
    </row>
    <row r="3" spans="1:12" x14ac:dyDescent="0.15">
      <c r="A3" s="5" t="str">
        <f>MID(一模技能成绩表!$A3,4,2)</f>
        <v>01</v>
      </c>
      <c r="B3" s="5" t="s">
        <v>70</v>
      </c>
      <c r="C3" s="5" t="s">
        <v>18</v>
      </c>
      <c r="D3" s="4">
        <v>50</v>
      </c>
      <c r="E3" s="4">
        <v>40</v>
      </c>
      <c r="F3" s="4">
        <v>40</v>
      </c>
      <c r="G3" s="4">
        <v>48.3</v>
      </c>
      <c r="H3" s="4">
        <v>40</v>
      </c>
      <c r="I3" s="4">
        <v>20</v>
      </c>
      <c r="J3" s="4">
        <v>30</v>
      </c>
      <c r="K3" s="4">
        <v>30</v>
      </c>
      <c r="L3">
        <f>SUM(D3:K3)</f>
        <v>298.3</v>
      </c>
    </row>
    <row r="4" spans="1:12" x14ac:dyDescent="0.15">
      <c r="A4" s="5" t="str">
        <f>MID(一模技能成绩表!$A4,4,2)</f>
        <v>02</v>
      </c>
      <c r="B4" s="5" t="s">
        <v>70</v>
      </c>
      <c r="C4" s="5" t="s">
        <v>19</v>
      </c>
      <c r="D4" s="4">
        <v>50</v>
      </c>
      <c r="E4" s="4">
        <v>40</v>
      </c>
      <c r="F4" s="4">
        <v>40</v>
      </c>
      <c r="G4" s="4">
        <v>50</v>
      </c>
      <c r="H4" s="4">
        <v>40</v>
      </c>
      <c r="I4" s="4">
        <v>20</v>
      </c>
      <c r="J4" s="4">
        <v>30</v>
      </c>
      <c r="K4" s="4">
        <v>30</v>
      </c>
      <c r="L4">
        <f t="shared" ref="L4:L32" si="0">SUM(D4:K4)</f>
        <v>300</v>
      </c>
    </row>
    <row r="5" spans="1:12" x14ac:dyDescent="0.15">
      <c r="A5" s="5" t="str">
        <f>MID(一模技能成绩表!$A5,4,2)</f>
        <v>03</v>
      </c>
      <c r="B5" s="5" t="s">
        <v>70</v>
      </c>
      <c r="C5" s="5" t="s">
        <v>20</v>
      </c>
      <c r="D5" s="4">
        <v>50</v>
      </c>
      <c r="E5" s="4">
        <v>35.700000000000003</v>
      </c>
      <c r="F5" s="4">
        <v>37.6</v>
      </c>
      <c r="G5" s="4">
        <v>27.6</v>
      </c>
      <c r="H5" s="4">
        <v>40</v>
      </c>
      <c r="I5" s="4">
        <v>20</v>
      </c>
      <c r="J5" s="4">
        <v>30</v>
      </c>
      <c r="K5" s="4">
        <v>1.4</v>
      </c>
      <c r="L5">
        <f t="shared" si="0"/>
        <v>242.3</v>
      </c>
    </row>
    <row r="6" spans="1:12" x14ac:dyDescent="0.15">
      <c r="A6" s="5" t="str">
        <f>MID(一模技能成绩表!$A6,4,2)</f>
        <v>04</v>
      </c>
      <c r="B6" s="5" t="s">
        <v>71</v>
      </c>
      <c r="C6" s="5" t="s">
        <v>21</v>
      </c>
      <c r="D6" s="4">
        <v>50</v>
      </c>
      <c r="E6" s="4">
        <v>37</v>
      </c>
      <c r="F6" s="4">
        <v>36</v>
      </c>
      <c r="G6" s="4">
        <v>23.2</v>
      </c>
      <c r="H6" s="4">
        <v>36</v>
      </c>
      <c r="I6" s="4">
        <v>0</v>
      </c>
      <c r="J6" s="4">
        <v>0</v>
      </c>
      <c r="K6" s="4">
        <v>0</v>
      </c>
      <c r="L6">
        <f t="shared" si="0"/>
        <v>182.2</v>
      </c>
    </row>
    <row r="7" spans="1:12" x14ac:dyDescent="0.15">
      <c r="A7" s="5" t="str">
        <f>MID(一模技能成绩表!$A7,4,2)</f>
        <v>05</v>
      </c>
      <c r="B7" s="5" t="s">
        <v>70</v>
      </c>
      <c r="C7" s="5" t="s">
        <v>22</v>
      </c>
      <c r="D7" s="4">
        <v>50</v>
      </c>
      <c r="E7" s="4">
        <v>40</v>
      </c>
      <c r="F7" s="4">
        <v>39.200000000000003</v>
      </c>
      <c r="G7" s="4">
        <v>44.6</v>
      </c>
      <c r="H7" s="4">
        <v>40</v>
      </c>
      <c r="I7" s="4">
        <v>20</v>
      </c>
      <c r="J7" s="4">
        <v>0</v>
      </c>
      <c r="K7" s="4">
        <v>4.5</v>
      </c>
      <c r="L7">
        <f t="shared" si="0"/>
        <v>238.29999999999998</v>
      </c>
    </row>
    <row r="8" spans="1:12" x14ac:dyDescent="0.15">
      <c r="A8" s="5" t="str">
        <f>MID(一模技能成绩表!$A8,4,2)</f>
        <v>06</v>
      </c>
      <c r="B8" s="5" t="s">
        <v>70</v>
      </c>
      <c r="C8" s="5" t="s">
        <v>23</v>
      </c>
      <c r="D8" s="4">
        <v>50</v>
      </c>
      <c r="E8" s="4">
        <v>39.1</v>
      </c>
      <c r="F8" s="4">
        <v>38.4</v>
      </c>
      <c r="G8" s="4">
        <v>19</v>
      </c>
      <c r="H8" s="4">
        <v>40</v>
      </c>
      <c r="I8" s="4">
        <v>20</v>
      </c>
      <c r="J8" s="4">
        <v>20</v>
      </c>
      <c r="K8" s="4">
        <v>1.4</v>
      </c>
      <c r="L8">
        <f t="shared" si="0"/>
        <v>227.9</v>
      </c>
    </row>
    <row r="9" spans="1:12" x14ac:dyDescent="0.15">
      <c r="A9" s="5" t="str">
        <f>MID(一模技能成绩表!$A9,4,2)</f>
        <v>07</v>
      </c>
      <c r="B9" s="5" t="s">
        <v>71</v>
      </c>
      <c r="C9" s="5" t="s">
        <v>24</v>
      </c>
      <c r="D9" s="4">
        <v>50</v>
      </c>
      <c r="E9" s="4">
        <v>37.4</v>
      </c>
      <c r="F9" s="4">
        <v>40</v>
      </c>
      <c r="G9" s="4">
        <v>50</v>
      </c>
      <c r="H9" s="4">
        <v>40</v>
      </c>
      <c r="I9" s="4">
        <v>20</v>
      </c>
      <c r="J9" s="4">
        <v>30</v>
      </c>
      <c r="K9" s="4">
        <v>30</v>
      </c>
      <c r="L9">
        <f t="shared" si="0"/>
        <v>297.39999999999998</v>
      </c>
    </row>
    <row r="10" spans="1:12" x14ac:dyDescent="0.15">
      <c r="A10" s="5" t="str">
        <f>MID(一模技能成绩表!$A10,4,2)</f>
        <v>08</v>
      </c>
      <c r="B10" s="5" t="s">
        <v>70</v>
      </c>
      <c r="C10" s="5" t="s">
        <v>25</v>
      </c>
      <c r="D10" s="4">
        <v>50</v>
      </c>
      <c r="E10" s="4">
        <v>40</v>
      </c>
      <c r="F10" s="4">
        <v>40</v>
      </c>
      <c r="G10" s="4">
        <v>48.3</v>
      </c>
      <c r="H10" s="4">
        <v>40</v>
      </c>
      <c r="I10" s="4">
        <v>20</v>
      </c>
      <c r="J10" s="4">
        <v>30</v>
      </c>
      <c r="K10" s="4">
        <v>30</v>
      </c>
      <c r="L10">
        <f t="shared" si="0"/>
        <v>298.3</v>
      </c>
    </row>
    <row r="11" spans="1:12" x14ac:dyDescent="0.15">
      <c r="A11" s="5" t="str">
        <f>MID(一模技能成绩表!$A11,4,2)</f>
        <v>09</v>
      </c>
      <c r="B11" s="5" t="s">
        <v>71</v>
      </c>
      <c r="C11" s="5" t="s">
        <v>26</v>
      </c>
      <c r="D11" s="4">
        <v>33</v>
      </c>
      <c r="E11" s="4">
        <v>40</v>
      </c>
      <c r="F11" s="4">
        <v>27</v>
      </c>
      <c r="G11" s="4">
        <v>16</v>
      </c>
      <c r="H11" s="4">
        <v>16</v>
      </c>
      <c r="I11" s="4">
        <v>10</v>
      </c>
      <c r="J11" s="4">
        <v>6</v>
      </c>
      <c r="K11" s="4">
        <v>20</v>
      </c>
      <c r="L11">
        <f t="shared" si="0"/>
        <v>168</v>
      </c>
    </row>
    <row r="12" spans="1:12" x14ac:dyDescent="0.15">
      <c r="A12" s="5" t="str">
        <f>MID(一模技能成绩表!$A12,4,2)</f>
        <v>10</v>
      </c>
      <c r="B12" s="5" t="s">
        <v>71</v>
      </c>
      <c r="C12" s="5" t="s">
        <v>27</v>
      </c>
      <c r="D12" s="4">
        <v>22</v>
      </c>
      <c r="E12" s="4">
        <v>37.6</v>
      </c>
      <c r="F12" s="4">
        <v>26</v>
      </c>
      <c r="G12" s="4">
        <v>17</v>
      </c>
      <c r="H12" s="4">
        <v>40</v>
      </c>
      <c r="I12" s="4">
        <v>19</v>
      </c>
      <c r="J12" s="4">
        <v>10</v>
      </c>
      <c r="K12" s="4">
        <v>19</v>
      </c>
      <c r="L12">
        <f t="shared" si="0"/>
        <v>190.6</v>
      </c>
    </row>
    <row r="13" spans="1:12" x14ac:dyDescent="0.15">
      <c r="A13" s="5" t="str">
        <f>MID(一模技能成绩表!$A13,4,2)</f>
        <v>11</v>
      </c>
      <c r="B13" s="5" t="s">
        <v>70</v>
      </c>
      <c r="C13" s="5" t="s">
        <v>28</v>
      </c>
      <c r="D13" s="4">
        <v>26</v>
      </c>
      <c r="E13" s="4">
        <v>36</v>
      </c>
      <c r="F13" s="4">
        <v>34</v>
      </c>
      <c r="G13" s="4">
        <v>16</v>
      </c>
      <c r="H13" s="4">
        <v>37.6</v>
      </c>
      <c r="I13" s="4">
        <v>17</v>
      </c>
      <c r="J13" s="4">
        <v>7</v>
      </c>
      <c r="K13" s="4">
        <v>16</v>
      </c>
      <c r="L13">
        <f t="shared" si="0"/>
        <v>189.6</v>
      </c>
    </row>
    <row r="14" spans="1:12" x14ac:dyDescent="0.15">
      <c r="A14" s="5" t="str">
        <f>MID(一模技能成绩表!$A14,4,2)</f>
        <v>12</v>
      </c>
      <c r="B14" s="5" t="s">
        <v>70</v>
      </c>
      <c r="C14" s="5" t="s">
        <v>29</v>
      </c>
      <c r="D14" s="4">
        <v>24</v>
      </c>
      <c r="E14" s="4">
        <v>39.200000000000003</v>
      </c>
      <c r="F14" s="4">
        <v>20</v>
      </c>
      <c r="G14" s="4">
        <v>15</v>
      </c>
      <c r="H14" s="4">
        <v>36</v>
      </c>
      <c r="I14" s="4">
        <v>19</v>
      </c>
      <c r="J14" s="4">
        <v>10</v>
      </c>
      <c r="K14" s="4">
        <v>13</v>
      </c>
      <c r="L14">
        <f t="shared" si="0"/>
        <v>176.2</v>
      </c>
    </row>
    <row r="15" spans="1:12" x14ac:dyDescent="0.15">
      <c r="A15" s="5" t="str">
        <f>MID(一模技能成绩表!$A15,4,2)</f>
        <v>13</v>
      </c>
      <c r="B15" s="5" t="s">
        <v>71</v>
      </c>
      <c r="C15" s="5" t="s">
        <v>30</v>
      </c>
      <c r="D15" s="4">
        <v>23</v>
      </c>
      <c r="E15" s="4">
        <v>38.4</v>
      </c>
      <c r="F15" s="4">
        <v>33</v>
      </c>
      <c r="G15" s="4">
        <v>20</v>
      </c>
      <c r="H15" s="4">
        <v>39.200000000000003</v>
      </c>
      <c r="I15" s="4">
        <v>14</v>
      </c>
      <c r="J15" s="4">
        <v>7</v>
      </c>
      <c r="K15" s="4">
        <v>4</v>
      </c>
      <c r="L15">
        <f t="shared" si="0"/>
        <v>178.60000000000002</v>
      </c>
    </row>
    <row r="16" spans="1:12" x14ac:dyDescent="0.15">
      <c r="A16" s="5" t="str">
        <f>MID(一模技能成绩表!$A16,4,2)</f>
        <v>14</v>
      </c>
      <c r="B16" s="5" t="s">
        <v>70</v>
      </c>
      <c r="C16" s="5" t="s">
        <v>31</v>
      </c>
      <c r="D16" s="4">
        <v>15</v>
      </c>
      <c r="E16" s="4">
        <v>40</v>
      </c>
      <c r="F16" s="4">
        <v>27</v>
      </c>
      <c r="G16" s="4">
        <v>19</v>
      </c>
      <c r="H16" s="4">
        <v>38.4</v>
      </c>
      <c r="I16" s="4">
        <v>16</v>
      </c>
      <c r="J16" s="4">
        <v>10</v>
      </c>
      <c r="K16" s="4">
        <v>16</v>
      </c>
      <c r="L16">
        <f t="shared" si="0"/>
        <v>181.4</v>
      </c>
    </row>
    <row r="17" spans="1:12" x14ac:dyDescent="0.15">
      <c r="A17" s="5" t="str">
        <f>MID(一模技能成绩表!$A17,4,2)</f>
        <v>15</v>
      </c>
      <c r="B17" s="5" t="s">
        <v>70</v>
      </c>
      <c r="C17" s="5" t="s">
        <v>32</v>
      </c>
      <c r="D17" s="4">
        <v>50</v>
      </c>
      <c r="E17" s="4">
        <v>40</v>
      </c>
      <c r="F17" s="4">
        <v>39.200000000000003</v>
      </c>
      <c r="G17" s="4">
        <v>18</v>
      </c>
      <c r="H17" s="4">
        <v>40</v>
      </c>
      <c r="I17" s="4">
        <v>16</v>
      </c>
      <c r="J17" s="4">
        <v>10</v>
      </c>
      <c r="K17" s="4">
        <v>18</v>
      </c>
      <c r="L17">
        <f t="shared" si="0"/>
        <v>231.2</v>
      </c>
    </row>
    <row r="18" spans="1:12" x14ac:dyDescent="0.15">
      <c r="A18" s="5" t="str">
        <f>MID(一模技能成绩表!$A18,4,2)</f>
        <v>16</v>
      </c>
      <c r="B18" s="5" t="s">
        <v>70</v>
      </c>
      <c r="C18" s="5" t="s">
        <v>33</v>
      </c>
      <c r="D18" s="4">
        <v>50</v>
      </c>
      <c r="E18" s="4">
        <v>39.1</v>
      </c>
      <c r="F18" s="4">
        <v>38.4</v>
      </c>
      <c r="G18" s="4">
        <v>34</v>
      </c>
      <c r="H18" s="4">
        <v>20</v>
      </c>
      <c r="I18" s="4">
        <v>20</v>
      </c>
      <c r="J18" s="4">
        <v>10</v>
      </c>
      <c r="K18" s="4">
        <v>15</v>
      </c>
      <c r="L18">
        <f t="shared" si="0"/>
        <v>226.5</v>
      </c>
    </row>
    <row r="19" spans="1:12" x14ac:dyDescent="0.15">
      <c r="A19" s="5" t="str">
        <f>MID(一模技能成绩表!$A19,4,2)</f>
        <v>17</v>
      </c>
      <c r="B19" s="5" t="s">
        <v>70</v>
      </c>
      <c r="C19" s="5" t="s">
        <v>34</v>
      </c>
      <c r="D19" s="4">
        <v>40</v>
      </c>
      <c r="E19" s="4">
        <v>40</v>
      </c>
      <c r="F19" s="4">
        <v>40</v>
      </c>
      <c r="G19" s="4">
        <v>28</v>
      </c>
      <c r="H19" s="4">
        <v>19</v>
      </c>
      <c r="I19" s="4">
        <v>15</v>
      </c>
      <c r="J19" s="4">
        <v>10</v>
      </c>
      <c r="K19" s="4">
        <v>20</v>
      </c>
      <c r="L19">
        <f t="shared" si="0"/>
        <v>212</v>
      </c>
    </row>
    <row r="20" spans="1:12" x14ac:dyDescent="0.15">
      <c r="A20" s="5" t="str">
        <f>MID(一模技能成绩表!$A20,4,2)</f>
        <v>18</v>
      </c>
      <c r="B20" s="5" t="s">
        <v>71</v>
      </c>
      <c r="C20" s="5" t="s">
        <v>35</v>
      </c>
      <c r="D20" s="4">
        <v>27</v>
      </c>
      <c r="E20" s="4">
        <v>16</v>
      </c>
      <c r="F20" s="4">
        <v>16</v>
      </c>
      <c r="G20" s="4">
        <v>35</v>
      </c>
      <c r="H20" s="4">
        <v>20</v>
      </c>
      <c r="I20" s="4">
        <v>18</v>
      </c>
      <c r="J20" s="4">
        <v>10</v>
      </c>
      <c r="K20" s="4">
        <v>19</v>
      </c>
      <c r="L20">
        <f t="shared" si="0"/>
        <v>161</v>
      </c>
    </row>
    <row r="21" spans="1:12" x14ac:dyDescent="0.15">
      <c r="A21" s="5" t="str">
        <f>MID(一模技能成绩表!$A21,4,2)</f>
        <v>19</v>
      </c>
      <c r="B21" s="5" t="s">
        <v>70</v>
      </c>
      <c r="C21" s="5" t="s">
        <v>36</v>
      </c>
      <c r="D21" s="4">
        <v>26</v>
      </c>
      <c r="E21" s="4">
        <v>17</v>
      </c>
      <c r="F21" s="4">
        <v>40</v>
      </c>
      <c r="G21" s="4">
        <v>50</v>
      </c>
      <c r="H21" s="4">
        <v>40</v>
      </c>
      <c r="I21" s="4">
        <v>20</v>
      </c>
      <c r="J21" s="4">
        <v>18</v>
      </c>
      <c r="K21" s="4">
        <v>19</v>
      </c>
      <c r="L21">
        <f t="shared" si="0"/>
        <v>230</v>
      </c>
    </row>
    <row r="22" spans="1:12" x14ac:dyDescent="0.15">
      <c r="A22" s="5" t="str">
        <f>MID(一模技能成绩表!$A22,4,2)</f>
        <v>20</v>
      </c>
      <c r="B22" s="5" t="s">
        <v>70</v>
      </c>
      <c r="C22" s="5" t="s">
        <v>37</v>
      </c>
      <c r="D22" s="4">
        <v>34</v>
      </c>
      <c r="E22" s="4">
        <v>16</v>
      </c>
      <c r="F22" s="4">
        <v>37.6</v>
      </c>
      <c r="G22" s="4">
        <v>17</v>
      </c>
      <c r="H22" s="4">
        <v>7</v>
      </c>
      <c r="I22" s="4">
        <v>19</v>
      </c>
      <c r="J22" s="4">
        <v>6</v>
      </c>
      <c r="K22" s="4">
        <v>16</v>
      </c>
      <c r="L22">
        <f t="shared" si="0"/>
        <v>152.6</v>
      </c>
    </row>
    <row r="23" spans="1:12" x14ac:dyDescent="0.15">
      <c r="A23" s="5" t="str">
        <f>MID(一模技能成绩表!$A23,4,2)</f>
        <v>21</v>
      </c>
      <c r="B23" s="5" t="s">
        <v>70</v>
      </c>
      <c r="C23" s="5" t="s">
        <v>38</v>
      </c>
      <c r="D23" s="4">
        <v>20</v>
      </c>
      <c r="E23" s="4">
        <v>40</v>
      </c>
      <c r="F23" s="4">
        <v>36</v>
      </c>
      <c r="G23" s="4">
        <v>19</v>
      </c>
      <c r="H23" s="4">
        <v>10</v>
      </c>
      <c r="I23" s="4">
        <v>16</v>
      </c>
      <c r="J23" s="4">
        <v>19</v>
      </c>
      <c r="K23" s="4">
        <v>10</v>
      </c>
      <c r="L23">
        <f t="shared" si="0"/>
        <v>170</v>
      </c>
    </row>
    <row r="24" spans="1:12" x14ac:dyDescent="0.15">
      <c r="A24" s="5" t="str">
        <f>MID(一模技能成绩表!$A24,4,2)</f>
        <v>22</v>
      </c>
      <c r="B24" s="5" t="s">
        <v>71</v>
      </c>
      <c r="C24" s="5" t="s">
        <v>39</v>
      </c>
      <c r="D24" s="4">
        <v>33</v>
      </c>
      <c r="E24" s="4">
        <v>35.700000000000003</v>
      </c>
      <c r="F24" s="4">
        <v>39.200000000000003</v>
      </c>
      <c r="G24" s="4">
        <v>14</v>
      </c>
      <c r="H24" s="4">
        <v>7</v>
      </c>
      <c r="I24" s="4">
        <v>13</v>
      </c>
      <c r="J24" s="4">
        <v>17</v>
      </c>
      <c r="K24" s="4">
        <v>10</v>
      </c>
      <c r="L24">
        <f t="shared" si="0"/>
        <v>168.9</v>
      </c>
    </row>
    <row r="25" spans="1:12" x14ac:dyDescent="0.15">
      <c r="A25" s="5" t="str">
        <f>MID(一模技能成绩表!$A25,4,2)</f>
        <v>23</v>
      </c>
      <c r="B25" s="5" t="s">
        <v>70</v>
      </c>
      <c r="C25" s="5" t="s">
        <v>40</v>
      </c>
      <c r="D25" s="4">
        <v>27</v>
      </c>
      <c r="E25" s="4">
        <v>37</v>
      </c>
      <c r="F25" s="4">
        <v>38.4</v>
      </c>
      <c r="G25" s="4">
        <v>16</v>
      </c>
      <c r="H25" s="4">
        <v>10</v>
      </c>
      <c r="I25" s="4">
        <v>4</v>
      </c>
      <c r="J25" s="4">
        <v>18</v>
      </c>
      <c r="K25" s="4">
        <v>9</v>
      </c>
      <c r="L25">
        <f t="shared" si="0"/>
        <v>159.4</v>
      </c>
    </row>
    <row r="26" spans="1:12" x14ac:dyDescent="0.15">
      <c r="A26" s="5" t="str">
        <f>MID(一模技能成绩表!$A26,4,2)</f>
        <v>24</v>
      </c>
      <c r="B26" s="5" t="s">
        <v>70</v>
      </c>
      <c r="C26" s="5" t="s">
        <v>41</v>
      </c>
      <c r="D26" s="4">
        <v>39.200000000000003</v>
      </c>
      <c r="E26" s="4">
        <v>40</v>
      </c>
      <c r="F26" s="4">
        <v>40</v>
      </c>
      <c r="G26" s="4">
        <v>16</v>
      </c>
      <c r="H26" s="4">
        <v>10</v>
      </c>
      <c r="I26" s="4">
        <v>16</v>
      </c>
      <c r="J26" s="4">
        <v>17</v>
      </c>
      <c r="K26" s="4">
        <v>9</v>
      </c>
      <c r="L26">
        <f t="shared" si="0"/>
        <v>187.2</v>
      </c>
    </row>
    <row r="27" spans="1:12" x14ac:dyDescent="0.15">
      <c r="A27" s="5" t="str">
        <f>MID(一模技能成绩表!$A27,4,2)</f>
        <v>25</v>
      </c>
      <c r="B27" s="5" t="s">
        <v>71</v>
      </c>
      <c r="C27" s="5" t="s">
        <v>42</v>
      </c>
      <c r="D27" s="4">
        <v>35</v>
      </c>
      <c r="E27" s="4">
        <v>39.1</v>
      </c>
      <c r="F27" s="4">
        <v>19</v>
      </c>
      <c r="G27" s="4">
        <v>30</v>
      </c>
      <c r="H27" s="4">
        <v>18</v>
      </c>
      <c r="I27" s="4">
        <v>18</v>
      </c>
      <c r="J27" s="4">
        <v>10</v>
      </c>
      <c r="K27" s="4">
        <v>8</v>
      </c>
      <c r="L27">
        <f t="shared" si="0"/>
        <v>177.1</v>
      </c>
    </row>
    <row r="28" spans="1:12" x14ac:dyDescent="0.15">
      <c r="A28" s="5" t="str">
        <f>MID(一模技能成绩表!$A28,4,2)</f>
        <v>26</v>
      </c>
      <c r="B28" s="5" t="s">
        <v>71</v>
      </c>
      <c r="C28" s="5" t="s">
        <v>43</v>
      </c>
      <c r="D28" s="4">
        <v>25</v>
      </c>
      <c r="E28" s="4">
        <v>37.4</v>
      </c>
      <c r="F28" s="4">
        <v>19</v>
      </c>
      <c r="G28" s="4">
        <v>32</v>
      </c>
      <c r="H28" s="4">
        <v>18</v>
      </c>
      <c r="I28" s="4">
        <v>15</v>
      </c>
      <c r="J28" s="4">
        <v>10</v>
      </c>
      <c r="K28" s="4">
        <v>8</v>
      </c>
      <c r="L28">
        <f t="shared" si="0"/>
        <v>164.4</v>
      </c>
    </row>
    <row r="29" spans="1:12" x14ac:dyDescent="0.15">
      <c r="A29" s="5" t="str">
        <f>MID(一模技能成绩表!$A29,4,2)</f>
        <v>27</v>
      </c>
      <c r="B29" s="5" t="s">
        <v>70</v>
      </c>
      <c r="C29" s="5" t="s">
        <v>44</v>
      </c>
      <c r="D29" s="4">
        <v>34</v>
      </c>
      <c r="E29" s="4">
        <v>40</v>
      </c>
      <c r="F29" s="4">
        <v>19</v>
      </c>
      <c r="G29" s="4">
        <v>32</v>
      </c>
      <c r="H29" s="4">
        <v>20</v>
      </c>
      <c r="I29" s="4">
        <v>20</v>
      </c>
      <c r="J29" s="4">
        <v>10</v>
      </c>
      <c r="K29" s="4">
        <v>10</v>
      </c>
      <c r="L29">
        <f t="shared" si="0"/>
        <v>185</v>
      </c>
    </row>
    <row r="30" spans="1:12" x14ac:dyDescent="0.15">
      <c r="A30" s="5" t="str">
        <f>MID(一模技能成绩表!$A30,4,2)</f>
        <v>28</v>
      </c>
      <c r="B30" s="5" t="s">
        <v>70</v>
      </c>
      <c r="C30" s="5" t="s">
        <v>45</v>
      </c>
      <c r="D30" s="4">
        <v>26</v>
      </c>
      <c r="E30" s="4">
        <v>40</v>
      </c>
      <c r="F30" s="4">
        <v>16</v>
      </c>
      <c r="G30" s="4">
        <v>27</v>
      </c>
      <c r="H30" s="4">
        <v>19</v>
      </c>
      <c r="I30" s="4">
        <v>19</v>
      </c>
      <c r="J30" s="4">
        <v>10</v>
      </c>
      <c r="K30" s="4">
        <v>10</v>
      </c>
      <c r="L30">
        <f t="shared" si="0"/>
        <v>167</v>
      </c>
    </row>
    <row r="31" spans="1:12" x14ac:dyDescent="0.15">
      <c r="A31" s="5" t="str">
        <f>MID(一模技能成绩表!$A31,4,2)</f>
        <v>29</v>
      </c>
      <c r="B31" s="5" t="s">
        <v>70</v>
      </c>
      <c r="C31" s="5" t="s">
        <v>46</v>
      </c>
      <c r="D31" s="4">
        <v>35</v>
      </c>
      <c r="E31" s="4">
        <v>37.6</v>
      </c>
      <c r="F31" s="4">
        <v>13</v>
      </c>
      <c r="G31" s="4">
        <v>30</v>
      </c>
      <c r="H31" s="4">
        <v>20</v>
      </c>
      <c r="I31" s="4">
        <v>19</v>
      </c>
      <c r="J31" s="4">
        <v>10</v>
      </c>
      <c r="K31" s="4">
        <v>8</v>
      </c>
      <c r="L31">
        <f t="shared" si="0"/>
        <v>172.6</v>
      </c>
    </row>
    <row r="32" spans="1:12" x14ac:dyDescent="0.15">
      <c r="A32" s="5" t="str">
        <f>MID(一模技能成绩表!$A32,4,2)</f>
        <v>30</v>
      </c>
      <c r="B32" s="5" t="s">
        <v>71</v>
      </c>
      <c r="C32" s="5" t="s">
        <v>47</v>
      </c>
      <c r="D32" s="4">
        <v>16</v>
      </c>
      <c r="E32" s="4">
        <v>36</v>
      </c>
      <c r="F32" s="4">
        <v>4</v>
      </c>
      <c r="G32" s="4">
        <v>33</v>
      </c>
      <c r="H32" s="4">
        <v>20</v>
      </c>
      <c r="I32" s="4">
        <v>16</v>
      </c>
      <c r="J32" s="4">
        <v>10</v>
      </c>
      <c r="K32" s="4">
        <v>9</v>
      </c>
      <c r="L32">
        <f t="shared" si="0"/>
        <v>144</v>
      </c>
    </row>
  </sheetData>
  <phoneticPr fontId="1" type="noConversion"/>
  <conditionalFormatting sqref="L3:L32">
    <cfRule type="cellIs" dxfId="0" priority="1" operator="greaterThan">
      <formula>290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firstPageNumber="2" orientation="landscape" useFirstPageNumber="1" r:id="rId1"/>
  <headerFooter>
    <oddFooter>&amp;C&amp;14&amp;P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opLeftCell="A4" workbookViewId="0">
      <selection activeCell="I8" sqref="I8"/>
    </sheetView>
  </sheetViews>
  <sheetFormatPr defaultRowHeight="13.5" x14ac:dyDescent="0.15"/>
  <sheetData>
    <row r="1" spans="1:12" x14ac:dyDescent="0.15">
      <c r="A1" t="s">
        <v>79</v>
      </c>
      <c r="B1" t="s">
        <v>81</v>
      </c>
    </row>
    <row r="2" spans="1:12" x14ac:dyDescent="0.15">
      <c r="A2" t="s">
        <v>80</v>
      </c>
      <c r="B2" t="s">
        <v>82</v>
      </c>
    </row>
    <row r="4" spans="1:12" ht="14.25" thickBot="1" x14ac:dyDescent="0.2"/>
    <row r="5" spans="1:12" ht="14.25" thickTop="1" x14ac:dyDescent="0.15">
      <c r="A5" s="7" t="s">
        <v>76</v>
      </c>
      <c r="B5" s="8" t="s">
        <v>72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9" t="s">
        <v>78</v>
      </c>
    </row>
    <row r="6" spans="1:12" x14ac:dyDescent="0.15">
      <c r="A6" s="10" t="s">
        <v>83</v>
      </c>
      <c r="B6" s="5" t="s">
        <v>71</v>
      </c>
      <c r="C6" s="5" t="s">
        <v>27</v>
      </c>
      <c r="D6" s="11">
        <v>22</v>
      </c>
      <c r="E6" s="11">
        <v>37.6</v>
      </c>
      <c r="F6" s="11">
        <v>26</v>
      </c>
      <c r="G6" s="11">
        <v>17</v>
      </c>
      <c r="H6" s="11">
        <v>40</v>
      </c>
      <c r="I6" s="11">
        <v>19</v>
      </c>
      <c r="J6" s="11">
        <v>10</v>
      </c>
      <c r="K6" s="11">
        <v>19</v>
      </c>
      <c r="L6" s="12">
        <v>190.6</v>
      </c>
    </row>
    <row r="7" spans="1:12" x14ac:dyDescent="0.15">
      <c r="A7" s="10" t="s">
        <v>84</v>
      </c>
      <c r="B7" s="5" t="s">
        <v>70</v>
      </c>
      <c r="C7" s="5" t="s">
        <v>28</v>
      </c>
      <c r="D7" s="11">
        <v>26</v>
      </c>
      <c r="E7" s="11">
        <v>36</v>
      </c>
      <c r="F7" s="11">
        <v>34</v>
      </c>
      <c r="G7" s="11">
        <v>16</v>
      </c>
      <c r="H7" s="11">
        <v>37.6</v>
      </c>
      <c r="I7" s="11">
        <v>17</v>
      </c>
      <c r="J7" s="11">
        <v>7</v>
      </c>
      <c r="K7" s="11">
        <v>16</v>
      </c>
      <c r="L7" s="12">
        <v>189.6</v>
      </c>
    </row>
    <row r="8" spans="1:12" x14ac:dyDescent="0.15">
      <c r="A8" s="10" t="s">
        <v>85</v>
      </c>
      <c r="B8" s="5" t="s">
        <v>70</v>
      </c>
      <c r="C8" s="5" t="s">
        <v>29</v>
      </c>
      <c r="D8" s="11">
        <v>24</v>
      </c>
      <c r="E8" s="11">
        <v>39.200000000000003</v>
      </c>
      <c r="F8" s="11">
        <v>20</v>
      </c>
      <c r="G8" s="11">
        <v>15</v>
      </c>
      <c r="H8" s="11">
        <v>36</v>
      </c>
      <c r="I8" s="11">
        <v>19</v>
      </c>
      <c r="J8" s="11">
        <v>10</v>
      </c>
      <c r="K8" s="11">
        <v>13</v>
      </c>
      <c r="L8" s="12">
        <v>176.2</v>
      </c>
    </row>
    <row r="9" spans="1:12" x14ac:dyDescent="0.15">
      <c r="A9" s="10" t="s">
        <v>86</v>
      </c>
      <c r="B9" s="5" t="s">
        <v>71</v>
      </c>
      <c r="C9" s="5" t="s">
        <v>30</v>
      </c>
      <c r="D9" s="11">
        <v>23</v>
      </c>
      <c r="E9" s="11">
        <v>38.4</v>
      </c>
      <c r="F9" s="11">
        <v>33</v>
      </c>
      <c r="G9" s="11">
        <v>20</v>
      </c>
      <c r="H9" s="11">
        <v>39.200000000000003</v>
      </c>
      <c r="I9" s="11">
        <v>14</v>
      </c>
      <c r="J9" s="11">
        <v>7</v>
      </c>
      <c r="K9" s="11">
        <v>4</v>
      </c>
      <c r="L9" s="12">
        <v>178.60000000000002</v>
      </c>
    </row>
    <row r="10" spans="1:12" x14ac:dyDescent="0.15">
      <c r="A10" s="10" t="s">
        <v>87</v>
      </c>
      <c r="B10" s="5" t="s">
        <v>70</v>
      </c>
      <c r="C10" s="5" t="s">
        <v>31</v>
      </c>
      <c r="D10" s="11">
        <v>15</v>
      </c>
      <c r="E10" s="11">
        <v>40</v>
      </c>
      <c r="F10" s="11">
        <v>27</v>
      </c>
      <c r="G10" s="11">
        <v>19</v>
      </c>
      <c r="H10" s="11">
        <v>38.4</v>
      </c>
      <c r="I10" s="11">
        <v>16</v>
      </c>
      <c r="J10" s="11">
        <v>10</v>
      </c>
      <c r="K10" s="11">
        <v>16</v>
      </c>
      <c r="L10" s="12">
        <v>181.4</v>
      </c>
    </row>
    <row r="11" spans="1:12" x14ac:dyDescent="0.15">
      <c r="A11" s="10" t="s">
        <v>88</v>
      </c>
      <c r="B11" s="5" t="s">
        <v>71</v>
      </c>
      <c r="C11" s="5" t="s">
        <v>35</v>
      </c>
      <c r="D11" s="11">
        <v>27</v>
      </c>
      <c r="E11" s="11">
        <v>16</v>
      </c>
      <c r="F11" s="11">
        <v>16</v>
      </c>
      <c r="G11" s="11">
        <v>35</v>
      </c>
      <c r="H11" s="11">
        <v>20</v>
      </c>
      <c r="I11" s="11">
        <v>18</v>
      </c>
      <c r="J11" s="11">
        <v>10</v>
      </c>
      <c r="K11" s="11">
        <v>19</v>
      </c>
      <c r="L11" s="12">
        <v>161</v>
      </c>
    </row>
    <row r="12" spans="1:12" x14ac:dyDescent="0.15">
      <c r="A12" s="10" t="s">
        <v>89</v>
      </c>
      <c r="B12" s="5" t="s">
        <v>70</v>
      </c>
      <c r="C12" s="5" t="s">
        <v>38</v>
      </c>
      <c r="D12" s="11">
        <v>20</v>
      </c>
      <c r="E12" s="11">
        <v>40</v>
      </c>
      <c r="F12" s="11">
        <v>36</v>
      </c>
      <c r="G12" s="11">
        <v>19</v>
      </c>
      <c r="H12" s="11">
        <v>10</v>
      </c>
      <c r="I12" s="11">
        <v>16</v>
      </c>
      <c r="J12" s="11">
        <v>19</v>
      </c>
      <c r="K12" s="11">
        <v>10</v>
      </c>
      <c r="L12" s="12">
        <v>170</v>
      </c>
    </row>
    <row r="13" spans="1:12" x14ac:dyDescent="0.15">
      <c r="A13" s="10" t="s">
        <v>90</v>
      </c>
      <c r="B13" s="5" t="s">
        <v>70</v>
      </c>
      <c r="C13" s="5" t="s">
        <v>40</v>
      </c>
      <c r="D13" s="11">
        <v>27</v>
      </c>
      <c r="E13" s="11">
        <v>37</v>
      </c>
      <c r="F13" s="11">
        <v>38.4</v>
      </c>
      <c r="G13" s="11">
        <v>16</v>
      </c>
      <c r="H13" s="11">
        <v>10</v>
      </c>
      <c r="I13" s="11">
        <v>4</v>
      </c>
      <c r="J13" s="11">
        <v>18</v>
      </c>
      <c r="K13" s="11">
        <v>9</v>
      </c>
      <c r="L13" s="12">
        <v>159.4</v>
      </c>
    </row>
    <row r="14" spans="1:12" x14ac:dyDescent="0.15">
      <c r="A14" s="10" t="s">
        <v>91</v>
      </c>
      <c r="B14" s="5" t="s">
        <v>71</v>
      </c>
      <c r="C14" s="5" t="s">
        <v>43</v>
      </c>
      <c r="D14" s="11">
        <v>25</v>
      </c>
      <c r="E14" s="11">
        <v>37.4</v>
      </c>
      <c r="F14" s="11">
        <v>19</v>
      </c>
      <c r="G14" s="11">
        <v>32</v>
      </c>
      <c r="H14" s="11">
        <v>18</v>
      </c>
      <c r="I14" s="11">
        <v>15</v>
      </c>
      <c r="J14" s="11">
        <v>10</v>
      </c>
      <c r="K14" s="11">
        <v>8</v>
      </c>
      <c r="L14" s="12">
        <v>164.4</v>
      </c>
    </row>
    <row r="15" spans="1:12" x14ac:dyDescent="0.15">
      <c r="A15" s="10" t="s">
        <v>92</v>
      </c>
      <c r="B15" s="5" t="s">
        <v>70</v>
      </c>
      <c r="C15" s="5" t="s">
        <v>45</v>
      </c>
      <c r="D15" s="11">
        <v>26</v>
      </c>
      <c r="E15" s="11">
        <v>40</v>
      </c>
      <c r="F15" s="11">
        <v>16</v>
      </c>
      <c r="G15" s="11">
        <v>27</v>
      </c>
      <c r="H15" s="11">
        <v>19</v>
      </c>
      <c r="I15" s="11">
        <v>19</v>
      </c>
      <c r="J15" s="11">
        <v>10</v>
      </c>
      <c r="K15" s="11">
        <v>10</v>
      </c>
      <c r="L15" s="12">
        <v>167</v>
      </c>
    </row>
    <row r="16" spans="1:12" ht="14.25" thickBot="1" x14ac:dyDescent="0.2">
      <c r="A16" s="13" t="s">
        <v>93</v>
      </c>
      <c r="B16" s="14" t="s">
        <v>71</v>
      </c>
      <c r="C16" s="14" t="s">
        <v>47</v>
      </c>
      <c r="D16" s="15">
        <v>16</v>
      </c>
      <c r="E16" s="15">
        <v>36</v>
      </c>
      <c r="F16" s="15">
        <v>4</v>
      </c>
      <c r="G16" s="15">
        <v>33</v>
      </c>
      <c r="H16" s="15">
        <v>20</v>
      </c>
      <c r="I16" s="15">
        <v>16</v>
      </c>
      <c r="J16" s="15">
        <v>10</v>
      </c>
      <c r="K16" s="15">
        <v>9</v>
      </c>
      <c r="L16" s="16">
        <v>144</v>
      </c>
    </row>
    <row r="17" ht="14.25" thickTop="1" x14ac:dyDescent="0.15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opLeftCell="A7" workbookViewId="0">
      <selection sqref="A1:L34"/>
    </sheetView>
  </sheetViews>
  <sheetFormatPr defaultRowHeight="13.5" outlineLevelRow="2" x14ac:dyDescent="0.15"/>
  <sheetData>
    <row r="1" spans="1:12" x14ac:dyDescent="0.15">
      <c r="A1" t="s">
        <v>75</v>
      </c>
      <c r="B1" t="s">
        <v>94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77</v>
      </c>
    </row>
    <row r="2" spans="1:12" outlineLevel="2" x14ac:dyDescent="0.15">
      <c r="A2" t="s">
        <v>96</v>
      </c>
      <c r="B2" t="s">
        <v>70</v>
      </c>
      <c r="C2" t="s">
        <v>18</v>
      </c>
      <c r="D2">
        <v>50</v>
      </c>
      <c r="E2">
        <v>40</v>
      </c>
      <c r="F2">
        <v>40</v>
      </c>
      <c r="G2">
        <v>48.3</v>
      </c>
      <c r="H2">
        <v>40</v>
      </c>
      <c r="I2">
        <v>20</v>
      </c>
      <c r="J2">
        <v>30</v>
      </c>
      <c r="K2">
        <v>30</v>
      </c>
      <c r="L2">
        <v>298.3</v>
      </c>
    </row>
    <row r="3" spans="1:12" outlineLevel="2" x14ac:dyDescent="0.15">
      <c r="A3" t="s">
        <v>97</v>
      </c>
      <c r="B3" t="s">
        <v>70</v>
      </c>
      <c r="C3" t="s">
        <v>19</v>
      </c>
      <c r="D3">
        <v>50</v>
      </c>
      <c r="E3">
        <v>40</v>
      </c>
      <c r="F3">
        <v>40</v>
      </c>
      <c r="G3">
        <v>50</v>
      </c>
      <c r="H3">
        <v>40</v>
      </c>
      <c r="I3">
        <v>20</v>
      </c>
      <c r="J3">
        <v>30</v>
      </c>
      <c r="K3">
        <v>30</v>
      </c>
      <c r="L3">
        <v>300</v>
      </c>
    </row>
    <row r="4" spans="1:12" outlineLevel="2" x14ac:dyDescent="0.15">
      <c r="A4" t="s">
        <v>98</v>
      </c>
      <c r="B4" t="s">
        <v>70</v>
      </c>
      <c r="C4" t="s">
        <v>20</v>
      </c>
      <c r="D4">
        <v>50</v>
      </c>
      <c r="E4">
        <v>35.700000000000003</v>
      </c>
      <c r="F4">
        <v>37.6</v>
      </c>
      <c r="G4">
        <v>27.6</v>
      </c>
      <c r="H4">
        <v>40</v>
      </c>
      <c r="I4">
        <v>20</v>
      </c>
      <c r="J4">
        <v>30</v>
      </c>
      <c r="K4">
        <v>1.4</v>
      </c>
      <c r="L4">
        <v>242.3</v>
      </c>
    </row>
    <row r="5" spans="1:12" outlineLevel="2" x14ac:dyDescent="0.15">
      <c r="A5" t="s">
        <v>100</v>
      </c>
      <c r="B5" t="s">
        <v>70</v>
      </c>
      <c r="C5" t="s">
        <v>22</v>
      </c>
      <c r="D5">
        <v>50</v>
      </c>
      <c r="E5">
        <v>40</v>
      </c>
      <c r="F5">
        <v>39.200000000000003</v>
      </c>
      <c r="G5">
        <v>44.6</v>
      </c>
      <c r="H5">
        <v>40</v>
      </c>
      <c r="I5">
        <v>20</v>
      </c>
      <c r="J5">
        <v>0</v>
      </c>
      <c r="K5">
        <v>4.5</v>
      </c>
      <c r="L5">
        <v>238.29999999999998</v>
      </c>
    </row>
    <row r="6" spans="1:12" outlineLevel="2" x14ac:dyDescent="0.15">
      <c r="A6" t="s">
        <v>101</v>
      </c>
      <c r="B6" t="s">
        <v>70</v>
      </c>
      <c r="C6" t="s">
        <v>23</v>
      </c>
      <c r="D6">
        <v>50</v>
      </c>
      <c r="E6">
        <v>39.1</v>
      </c>
      <c r="F6">
        <v>38.4</v>
      </c>
      <c r="G6">
        <v>19</v>
      </c>
      <c r="H6">
        <v>40</v>
      </c>
      <c r="I6">
        <v>20</v>
      </c>
      <c r="J6">
        <v>20</v>
      </c>
      <c r="K6">
        <v>1.4</v>
      </c>
      <c r="L6">
        <v>227.9</v>
      </c>
    </row>
    <row r="7" spans="1:12" outlineLevel="2" x14ac:dyDescent="0.15">
      <c r="A7" t="s">
        <v>103</v>
      </c>
      <c r="B7" t="s">
        <v>70</v>
      </c>
      <c r="C7" t="s">
        <v>25</v>
      </c>
      <c r="D7">
        <v>50</v>
      </c>
      <c r="E7">
        <v>40</v>
      </c>
      <c r="F7">
        <v>40</v>
      </c>
      <c r="G7">
        <v>48.3</v>
      </c>
      <c r="H7">
        <v>40</v>
      </c>
      <c r="I7">
        <v>20</v>
      </c>
      <c r="J7">
        <v>30</v>
      </c>
      <c r="K7">
        <v>30</v>
      </c>
      <c r="L7">
        <v>298.3</v>
      </c>
    </row>
    <row r="8" spans="1:12" outlineLevel="2" x14ac:dyDescent="0.15">
      <c r="A8" t="s">
        <v>84</v>
      </c>
      <c r="B8" t="s">
        <v>70</v>
      </c>
      <c r="C8" t="s">
        <v>95</v>
      </c>
      <c r="D8">
        <v>26</v>
      </c>
      <c r="E8">
        <v>36</v>
      </c>
      <c r="F8">
        <v>34</v>
      </c>
      <c r="G8">
        <v>16</v>
      </c>
      <c r="H8">
        <v>37.6</v>
      </c>
      <c r="I8">
        <v>17</v>
      </c>
      <c r="J8">
        <v>7</v>
      </c>
      <c r="K8">
        <v>16</v>
      </c>
      <c r="L8">
        <v>189.6</v>
      </c>
    </row>
    <row r="9" spans="1:12" outlineLevel="2" x14ac:dyDescent="0.15">
      <c r="A9" t="s">
        <v>85</v>
      </c>
      <c r="B9" t="s">
        <v>70</v>
      </c>
      <c r="C9" t="s">
        <v>29</v>
      </c>
      <c r="D9">
        <v>24</v>
      </c>
      <c r="E9">
        <v>39.200000000000003</v>
      </c>
      <c r="F9">
        <v>20</v>
      </c>
      <c r="G9">
        <v>15</v>
      </c>
      <c r="H9">
        <v>36</v>
      </c>
      <c r="I9">
        <v>19</v>
      </c>
      <c r="J9">
        <v>10</v>
      </c>
      <c r="K9">
        <v>13</v>
      </c>
      <c r="L9">
        <v>176.2</v>
      </c>
    </row>
    <row r="10" spans="1:12" outlineLevel="2" x14ac:dyDescent="0.15">
      <c r="A10" t="s">
        <v>87</v>
      </c>
      <c r="B10" t="s">
        <v>70</v>
      </c>
      <c r="C10" t="s">
        <v>31</v>
      </c>
      <c r="D10">
        <v>15</v>
      </c>
      <c r="E10">
        <v>40</v>
      </c>
      <c r="F10">
        <v>27</v>
      </c>
      <c r="G10">
        <v>19</v>
      </c>
      <c r="H10">
        <v>38.4</v>
      </c>
      <c r="I10">
        <v>16</v>
      </c>
      <c r="J10">
        <v>10</v>
      </c>
      <c r="K10">
        <v>16</v>
      </c>
      <c r="L10">
        <v>181.4</v>
      </c>
    </row>
    <row r="11" spans="1:12" outlineLevel="2" x14ac:dyDescent="0.15">
      <c r="A11" t="s">
        <v>105</v>
      </c>
      <c r="B11" t="s">
        <v>70</v>
      </c>
      <c r="C11" t="s">
        <v>32</v>
      </c>
      <c r="D11">
        <v>50</v>
      </c>
      <c r="E11">
        <v>40</v>
      </c>
      <c r="F11">
        <v>39.200000000000003</v>
      </c>
      <c r="G11">
        <v>18</v>
      </c>
      <c r="H11">
        <v>40</v>
      </c>
      <c r="I11">
        <v>16</v>
      </c>
      <c r="J11">
        <v>10</v>
      </c>
      <c r="K11">
        <v>18</v>
      </c>
      <c r="L11">
        <v>231.2</v>
      </c>
    </row>
    <row r="12" spans="1:12" outlineLevel="2" x14ac:dyDescent="0.15">
      <c r="A12" t="s">
        <v>106</v>
      </c>
      <c r="B12" t="s">
        <v>70</v>
      </c>
      <c r="C12" t="s">
        <v>33</v>
      </c>
      <c r="D12">
        <v>50</v>
      </c>
      <c r="E12">
        <v>39.1</v>
      </c>
      <c r="F12">
        <v>38.4</v>
      </c>
      <c r="G12">
        <v>34</v>
      </c>
      <c r="H12">
        <v>20</v>
      </c>
      <c r="I12">
        <v>20</v>
      </c>
      <c r="J12">
        <v>10</v>
      </c>
      <c r="K12">
        <v>15</v>
      </c>
      <c r="L12">
        <v>226.5</v>
      </c>
    </row>
    <row r="13" spans="1:12" outlineLevel="2" x14ac:dyDescent="0.15">
      <c r="A13" t="s">
        <v>107</v>
      </c>
      <c r="B13" t="s">
        <v>70</v>
      </c>
      <c r="C13" t="s">
        <v>34</v>
      </c>
      <c r="D13">
        <v>40</v>
      </c>
      <c r="E13">
        <v>40</v>
      </c>
      <c r="F13">
        <v>40</v>
      </c>
      <c r="G13">
        <v>28</v>
      </c>
      <c r="H13">
        <v>19</v>
      </c>
      <c r="I13">
        <v>15</v>
      </c>
      <c r="J13">
        <v>10</v>
      </c>
      <c r="K13">
        <v>20</v>
      </c>
      <c r="L13">
        <v>212</v>
      </c>
    </row>
    <row r="14" spans="1:12" outlineLevel="2" x14ac:dyDescent="0.15">
      <c r="A14" t="s">
        <v>108</v>
      </c>
      <c r="B14" t="s">
        <v>70</v>
      </c>
      <c r="C14" t="s">
        <v>36</v>
      </c>
      <c r="D14">
        <v>26</v>
      </c>
      <c r="E14">
        <v>17</v>
      </c>
      <c r="F14">
        <v>40</v>
      </c>
      <c r="G14">
        <v>50</v>
      </c>
      <c r="H14">
        <v>40</v>
      </c>
      <c r="I14">
        <v>20</v>
      </c>
      <c r="J14">
        <v>18</v>
      </c>
      <c r="K14">
        <v>19</v>
      </c>
      <c r="L14">
        <v>230</v>
      </c>
    </row>
    <row r="15" spans="1:12" outlineLevel="2" x14ac:dyDescent="0.15">
      <c r="A15" t="s">
        <v>109</v>
      </c>
      <c r="B15" t="s">
        <v>70</v>
      </c>
      <c r="C15" t="s">
        <v>37</v>
      </c>
      <c r="D15">
        <v>34</v>
      </c>
      <c r="E15">
        <v>16</v>
      </c>
      <c r="F15">
        <v>37.6</v>
      </c>
      <c r="G15">
        <v>17</v>
      </c>
      <c r="H15">
        <v>7</v>
      </c>
      <c r="I15">
        <v>19</v>
      </c>
      <c r="J15">
        <v>6</v>
      </c>
      <c r="K15">
        <v>16</v>
      </c>
      <c r="L15">
        <v>152.6</v>
      </c>
    </row>
    <row r="16" spans="1:12" outlineLevel="2" x14ac:dyDescent="0.15">
      <c r="A16" t="s">
        <v>89</v>
      </c>
      <c r="B16" t="s">
        <v>70</v>
      </c>
      <c r="C16" t="s">
        <v>38</v>
      </c>
      <c r="D16">
        <v>20</v>
      </c>
      <c r="E16">
        <v>40</v>
      </c>
      <c r="F16">
        <v>36</v>
      </c>
      <c r="G16">
        <v>19</v>
      </c>
      <c r="H16">
        <v>10</v>
      </c>
      <c r="I16">
        <v>16</v>
      </c>
      <c r="J16">
        <v>19</v>
      </c>
      <c r="K16">
        <v>10</v>
      </c>
      <c r="L16">
        <v>170</v>
      </c>
    </row>
    <row r="17" spans="1:12" outlineLevel="2" x14ac:dyDescent="0.15">
      <c r="A17" t="s">
        <v>90</v>
      </c>
      <c r="B17" t="s">
        <v>70</v>
      </c>
      <c r="C17" t="s">
        <v>40</v>
      </c>
      <c r="D17">
        <v>27</v>
      </c>
      <c r="E17">
        <v>37</v>
      </c>
      <c r="F17">
        <v>38.4</v>
      </c>
      <c r="G17">
        <v>16</v>
      </c>
      <c r="H17">
        <v>10</v>
      </c>
      <c r="I17">
        <v>4</v>
      </c>
      <c r="J17">
        <v>18</v>
      </c>
      <c r="K17">
        <v>9</v>
      </c>
      <c r="L17">
        <v>159.4</v>
      </c>
    </row>
    <row r="18" spans="1:12" outlineLevel="2" x14ac:dyDescent="0.15">
      <c r="A18" t="s">
        <v>111</v>
      </c>
      <c r="B18" t="s">
        <v>70</v>
      </c>
      <c r="C18" t="s">
        <v>41</v>
      </c>
      <c r="D18">
        <v>39.200000000000003</v>
      </c>
      <c r="E18">
        <v>40</v>
      </c>
      <c r="F18">
        <v>40</v>
      </c>
      <c r="G18">
        <v>16</v>
      </c>
      <c r="H18">
        <v>10</v>
      </c>
      <c r="I18">
        <v>16</v>
      </c>
      <c r="J18">
        <v>17</v>
      </c>
      <c r="K18">
        <v>9</v>
      </c>
      <c r="L18">
        <v>187.2</v>
      </c>
    </row>
    <row r="19" spans="1:12" outlineLevel="2" x14ac:dyDescent="0.15">
      <c r="A19" t="s">
        <v>113</v>
      </c>
      <c r="B19" t="s">
        <v>70</v>
      </c>
      <c r="C19" t="s">
        <v>44</v>
      </c>
      <c r="D19">
        <v>34</v>
      </c>
      <c r="E19">
        <v>40</v>
      </c>
      <c r="F19">
        <v>19</v>
      </c>
      <c r="G19">
        <v>32</v>
      </c>
      <c r="H19">
        <v>20</v>
      </c>
      <c r="I19">
        <v>20</v>
      </c>
      <c r="J19">
        <v>10</v>
      </c>
      <c r="K19">
        <v>10</v>
      </c>
      <c r="L19">
        <v>185</v>
      </c>
    </row>
    <row r="20" spans="1:12" outlineLevel="2" x14ac:dyDescent="0.15">
      <c r="A20" t="s">
        <v>92</v>
      </c>
      <c r="B20" t="s">
        <v>70</v>
      </c>
      <c r="C20" t="s">
        <v>45</v>
      </c>
      <c r="D20">
        <v>26</v>
      </c>
      <c r="E20">
        <v>40</v>
      </c>
      <c r="F20">
        <v>16</v>
      </c>
      <c r="G20">
        <v>27</v>
      </c>
      <c r="H20">
        <v>19</v>
      </c>
      <c r="I20">
        <v>19</v>
      </c>
      <c r="J20">
        <v>10</v>
      </c>
      <c r="K20">
        <v>10</v>
      </c>
      <c r="L20">
        <v>167</v>
      </c>
    </row>
    <row r="21" spans="1:12" outlineLevel="2" x14ac:dyDescent="0.15">
      <c r="A21" t="s">
        <v>114</v>
      </c>
      <c r="B21" t="s">
        <v>70</v>
      </c>
      <c r="C21" t="s">
        <v>46</v>
      </c>
      <c r="D21">
        <v>35</v>
      </c>
      <c r="E21">
        <v>37.6</v>
      </c>
      <c r="F21">
        <v>13</v>
      </c>
      <c r="G21">
        <v>30</v>
      </c>
      <c r="H21">
        <v>20</v>
      </c>
      <c r="I21">
        <v>19</v>
      </c>
      <c r="J21">
        <v>10</v>
      </c>
      <c r="K21">
        <v>8</v>
      </c>
      <c r="L21">
        <v>172.6</v>
      </c>
    </row>
    <row r="22" spans="1:12" outlineLevel="1" x14ac:dyDescent="0.15">
      <c r="B22" s="6" t="s">
        <v>115</v>
      </c>
      <c r="E22">
        <f>SUBTOTAL(1,E2:E21)</f>
        <v>36.834999999999994</v>
      </c>
      <c r="F22">
        <f>SUBTOTAL(1,F2:F21)</f>
        <v>33.690000000000005</v>
      </c>
      <c r="G22">
        <f>SUBTOTAL(1,G2:G21)</f>
        <v>28.74</v>
      </c>
      <c r="L22">
        <f>SUBTOTAL(1,L2:L21)</f>
        <v>212.28999999999996</v>
      </c>
    </row>
    <row r="23" spans="1:12" outlineLevel="2" x14ac:dyDescent="0.15">
      <c r="A23" t="s">
        <v>99</v>
      </c>
      <c r="B23" t="s">
        <v>71</v>
      </c>
      <c r="C23" t="s">
        <v>21</v>
      </c>
      <c r="D23">
        <v>50</v>
      </c>
      <c r="E23">
        <v>37</v>
      </c>
      <c r="F23">
        <v>36</v>
      </c>
      <c r="G23">
        <v>23.2</v>
      </c>
      <c r="H23">
        <v>36</v>
      </c>
      <c r="I23">
        <v>0</v>
      </c>
      <c r="J23">
        <v>0</v>
      </c>
      <c r="K23">
        <v>0</v>
      </c>
      <c r="L23">
        <v>182.2</v>
      </c>
    </row>
    <row r="24" spans="1:12" outlineLevel="2" x14ac:dyDescent="0.15">
      <c r="A24" t="s">
        <v>102</v>
      </c>
      <c r="B24" t="s">
        <v>71</v>
      </c>
      <c r="C24" t="s">
        <v>24</v>
      </c>
      <c r="D24">
        <v>50</v>
      </c>
      <c r="E24">
        <v>37.4</v>
      </c>
      <c r="F24">
        <v>40</v>
      </c>
      <c r="G24">
        <v>50</v>
      </c>
      <c r="H24">
        <v>40</v>
      </c>
      <c r="I24">
        <v>20</v>
      </c>
      <c r="J24">
        <v>30</v>
      </c>
      <c r="K24">
        <v>30</v>
      </c>
      <c r="L24">
        <v>297.39999999999998</v>
      </c>
    </row>
    <row r="25" spans="1:12" outlineLevel="2" x14ac:dyDescent="0.15">
      <c r="A25" t="s">
        <v>104</v>
      </c>
      <c r="B25" t="s">
        <v>71</v>
      </c>
      <c r="C25" t="s">
        <v>26</v>
      </c>
      <c r="D25">
        <v>33</v>
      </c>
      <c r="E25">
        <v>40</v>
      </c>
      <c r="F25">
        <v>27</v>
      </c>
      <c r="G25">
        <v>16</v>
      </c>
      <c r="H25">
        <v>16</v>
      </c>
      <c r="I25">
        <v>10</v>
      </c>
      <c r="J25">
        <v>6</v>
      </c>
      <c r="K25">
        <v>20</v>
      </c>
      <c r="L25">
        <v>168</v>
      </c>
    </row>
    <row r="26" spans="1:12" outlineLevel="2" x14ac:dyDescent="0.15">
      <c r="A26" t="s">
        <v>83</v>
      </c>
      <c r="B26" t="s">
        <v>71</v>
      </c>
      <c r="C26" t="s">
        <v>27</v>
      </c>
      <c r="D26">
        <v>22</v>
      </c>
      <c r="E26">
        <v>37.6</v>
      </c>
      <c r="F26">
        <v>26</v>
      </c>
      <c r="G26">
        <v>17</v>
      </c>
      <c r="H26">
        <v>40</v>
      </c>
      <c r="I26">
        <v>19</v>
      </c>
      <c r="J26">
        <v>10</v>
      </c>
      <c r="K26">
        <v>19</v>
      </c>
      <c r="L26">
        <v>190.6</v>
      </c>
    </row>
    <row r="27" spans="1:12" outlineLevel="2" x14ac:dyDescent="0.15">
      <c r="A27" t="s">
        <v>86</v>
      </c>
      <c r="B27" t="s">
        <v>71</v>
      </c>
      <c r="C27" t="s">
        <v>30</v>
      </c>
      <c r="D27">
        <v>23</v>
      </c>
      <c r="E27">
        <v>38.4</v>
      </c>
      <c r="F27">
        <v>33</v>
      </c>
      <c r="G27">
        <v>20</v>
      </c>
      <c r="H27">
        <v>39.200000000000003</v>
      </c>
      <c r="I27">
        <v>14</v>
      </c>
      <c r="J27">
        <v>7</v>
      </c>
      <c r="K27">
        <v>4</v>
      </c>
      <c r="L27">
        <v>178.60000000000002</v>
      </c>
    </row>
    <row r="28" spans="1:12" outlineLevel="2" x14ac:dyDescent="0.15">
      <c r="A28" t="s">
        <v>88</v>
      </c>
      <c r="B28" t="s">
        <v>71</v>
      </c>
      <c r="C28" t="s">
        <v>35</v>
      </c>
      <c r="D28">
        <v>27</v>
      </c>
      <c r="E28">
        <v>16</v>
      </c>
      <c r="F28">
        <v>16</v>
      </c>
      <c r="G28">
        <v>35</v>
      </c>
      <c r="H28">
        <v>20</v>
      </c>
      <c r="I28">
        <v>18</v>
      </c>
      <c r="J28">
        <v>10</v>
      </c>
      <c r="K28">
        <v>19</v>
      </c>
      <c r="L28">
        <v>161</v>
      </c>
    </row>
    <row r="29" spans="1:12" outlineLevel="2" x14ac:dyDescent="0.15">
      <c r="A29" t="s">
        <v>110</v>
      </c>
      <c r="B29" t="s">
        <v>71</v>
      </c>
      <c r="C29" t="s">
        <v>39</v>
      </c>
      <c r="D29">
        <v>33</v>
      </c>
      <c r="E29">
        <v>35.700000000000003</v>
      </c>
      <c r="F29">
        <v>39.200000000000003</v>
      </c>
      <c r="G29">
        <v>14</v>
      </c>
      <c r="H29">
        <v>7</v>
      </c>
      <c r="I29">
        <v>13</v>
      </c>
      <c r="J29">
        <v>17</v>
      </c>
      <c r="K29">
        <v>10</v>
      </c>
      <c r="L29">
        <v>168.9</v>
      </c>
    </row>
    <row r="30" spans="1:12" outlineLevel="2" x14ac:dyDescent="0.15">
      <c r="A30" t="s">
        <v>112</v>
      </c>
      <c r="B30" t="s">
        <v>71</v>
      </c>
      <c r="C30" t="s">
        <v>42</v>
      </c>
      <c r="D30">
        <v>35</v>
      </c>
      <c r="E30">
        <v>39.1</v>
      </c>
      <c r="F30">
        <v>19</v>
      </c>
      <c r="G30">
        <v>30</v>
      </c>
      <c r="H30">
        <v>18</v>
      </c>
      <c r="I30">
        <v>18</v>
      </c>
      <c r="J30">
        <v>10</v>
      </c>
      <c r="K30">
        <v>8</v>
      </c>
      <c r="L30">
        <v>177.1</v>
      </c>
    </row>
    <row r="31" spans="1:12" outlineLevel="2" x14ac:dyDescent="0.15">
      <c r="A31" t="s">
        <v>91</v>
      </c>
      <c r="B31" t="s">
        <v>71</v>
      </c>
      <c r="C31" t="s">
        <v>43</v>
      </c>
      <c r="D31">
        <v>25</v>
      </c>
      <c r="E31">
        <v>37.4</v>
      </c>
      <c r="F31">
        <v>19</v>
      </c>
      <c r="G31">
        <v>32</v>
      </c>
      <c r="H31">
        <v>18</v>
      </c>
      <c r="I31">
        <v>15</v>
      </c>
      <c r="J31">
        <v>10</v>
      </c>
      <c r="K31">
        <v>8</v>
      </c>
      <c r="L31">
        <v>164.4</v>
      </c>
    </row>
    <row r="32" spans="1:12" outlineLevel="2" x14ac:dyDescent="0.15">
      <c r="A32" t="s">
        <v>93</v>
      </c>
      <c r="B32" t="s">
        <v>71</v>
      </c>
      <c r="C32" t="s">
        <v>47</v>
      </c>
      <c r="D32">
        <v>16</v>
      </c>
      <c r="E32">
        <v>36</v>
      </c>
      <c r="F32">
        <v>4</v>
      </c>
      <c r="G32">
        <v>33</v>
      </c>
      <c r="H32">
        <v>20</v>
      </c>
      <c r="I32">
        <v>16</v>
      </c>
      <c r="J32">
        <v>10</v>
      </c>
      <c r="K32">
        <v>9</v>
      </c>
      <c r="L32">
        <v>144</v>
      </c>
    </row>
    <row r="33" spans="2:12" outlineLevel="1" x14ac:dyDescent="0.15">
      <c r="B33" s="6" t="s">
        <v>116</v>
      </c>
      <c r="E33">
        <f>SUBTOTAL(1,E23:E32)</f>
        <v>35.46</v>
      </c>
      <c r="F33">
        <f>SUBTOTAL(1,F23:F32)</f>
        <v>25.919999999999998</v>
      </c>
      <c r="G33">
        <f>SUBTOTAL(1,G23:G32)</f>
        <v>27.02</v>
      </c>
      <c r="L33">
        <f>SUBTOTAL(1,L23:L32)</f>
        <v>183.22</v>
      </c>
    </row>
    <row r="34" spans="2:12" x14ac:dyDescent="0.15">
      <c r="B34" s="6" t="s">
        <v>117</v>
      </c>
      <c r="E34">
        <f>SUBTOTAL(1,E2:E32)</f>
        <v>36.376666666666665</v>
      </c>
      <c r="F34">
        <f>SUBTOTAL(1,F2:F32)</f>
        <v>31.100000000000005</v>
      </c>
      <c r="G34">
        <f>SUBTOTAL(1,G2:G32)</f>
        <v>28.166666666666668</v>
      </c>
      <c r="L34">
        <f>SUBTOTAL(1,L2:L32)</f>
        <v>202.59999999999997</v>
      </c>
    </row>
  </sheetData>
  <sortState ref="A2:L31">
    <sortCondition descending="1" ref="B2:B31"/>
  </sortState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8" sqref="B8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一模技能成绩表</vt:lpstr>
      <vt:lpstr>Sheet2</vt:lpstr>
      <vt:lpstr>筛选</vt:lpstr>
      <vt:lpstr>分类汇总</vt:lpstr>
      <vt:lpstr>图表</vt:lpstr>
      <vt:lpstr>筛选!Criteria</vt:lpstr>
      <vt:lpstr>筛选!提取</vt:lpstr>
    </vt:vector>
  </TitlesOfParts>
  <Company>Lenovo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k44</dc:creator>
  <cp:lastModifiedBy>k44</cp:lastModifiedBy>
  <dcterms:created xsi:type="dcterms:W3CDTF">2019-02-23T07:10:12Z</dcterms:created>
  <dcterms:modified xsi:type="dcterms:W3CDTF">2019-02-23T11:58:27Z</dcterms:modified>
</cp:coreProperties>
</file>