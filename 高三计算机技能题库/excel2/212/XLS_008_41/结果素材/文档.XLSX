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 activeTab="1"/>
  </bookViews>
  <sheets>
    <sheet name="学生成绩原始数据备份" sheetId="1" r:id="rId1"/>
    <sheet name="学生成绩分析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0" i="2" l="1"/>
  <c r="E30" i="2"/>
  <c r="G29" i="2"/>
  <c r="F29" i="2"/>
  <c r="E29" i="2"/>
  <c r="D29" i="2"/>
  <c r="G15" i="2"/>
  <c r="G30" i="2" s="1"/>
  <c r="F15" i="2"/>
  <c r="E15" i="2"/>
  <c r="D15" i="2"/>
  <c r="D30" i="2" s="1"/>
  <c r="H3" i="2"/>
  <c r="H4" i="2"/>
  <c r="H5" i="2"/>
  <c r="H6" i="2"/>
  <c r="H7" i="2"/>
  <c r="H8" i="2"/>
  <c r="H9" i="2"/>
  <c r="H10" i="2"/>
  <c r="H11" i="2"/>
  <c r="H12" i="2"/>
  <c r="H13" i="2"/>
  <c r="H14" i="2"/>
  <c r="H16" i="2"/>
  <c r="H29" i="2" s="1"/>
  <c r="H17" i="2"/>
  <c r="H18" i="2"/>
  <c r="H19" i="2"/>
  <c r="H20" i="2"/>
  <c r="H21" i="2"/>
  <c r="H22" i="2"/>
  <c r="H23" i="2"/>
  <c r="H24" i="2"/>
  <c r="H25" i="2"/>
  <c r="H26" i="2"/>
  <c r="H27" i="2"/>
  <c r="H28" i="2"/>
  <c r="J4" i="2"/>
  <c r="J5" i="2"/>
  <c r="J6" i="2"/>
  <c r="J7" i="2"/>
  <c r="J16" i="2"/>
  <c r="J17" i="2"/>
  <c r="J18" i="2"/>
  <c r="J19" i="2"/>
  <c r="J8" i="2"/>
  <c r="J9" i="2"/>
  <c r="J10" i="2"/>
  <c r="J20" i="2"/>
  <c r="J21" i="2"/>
  <c r="J22" i="2"/>
  <c r="J11" i="2"/>
  <c r="J12" i="2"/>
  <c r="J23" i="2"/>
  <c r="J24" i="2"/>
  <c r="J25" i="2"/>
  <c r="J13" i="2"/>
  <c r="J14" i="2"/>
  <c r="J26" i="2"/>
  <c r="J27" i="2"/>
  <c r="J28" i="2"/>
  <c r="J3" i="2"/>
  <c r="I20" i="2" l="1"/>
  <c r="H15" i="2"/>
  <c r="I12" i="2" l="1"/>
  <c r="I13" i="2"/>
  <c r="I28" i="2"/>
  <c r="I16" i="2"/>
  <c r="I8" i="2"/>
  <c r="I21" i="2"/>
  <c r="I23" i="2"/>
  <c r="I14" i="2"/>
  <c r="I3" i="2"/>
  <c r="I17" i="2"/>
  <c r="I9" i="2"/>
  <c r="I22" i="2"/>
  <c r="I24" i="2"/>
  <c r="I26" i="2"/>
  <c r="I10" i="2"/>
  <c r="I11" i="2"/>
  <c r="I25" i="2"/>
  <c r="I4" i="2"/>
  <c r="I5" i="2"/>
  <c r="I18" i="2"/>
  <c r="I27" i="2"/>
  <c r="I6" i="2"/>
  <c r="H30" i="2"/>
  <c r="I7" i="2"/>
  <c r="I19" i="2"/>
</calcChain>
</file>

<file path=xl/sharedStrings.xml><?xml version="1.0" encoding="utf-8"?>
<sst xmlns="http://schemas.openxmlformats.org/spreadsheetml/2006/main" count="148" uniqueCount="42">
  <si>
    <t>性别</t>
  </si>
  <si>
    <t>数学</t>
  </si>
  <si>
    <t>男</t>
  </si>
  <si>
    <t>女</t>
  </si>
  <si>
    <t>初三(1)班</t>
    <phoneticPr fontId="1" type="noConversion"/>
  </si>
  <si>
    <t>语文</t>
    <phoneticPr fontId="1" type="noConversion"/>
  </si>
  <si>
    <t>外语</t>
    <phoneticPr fontId="1" type="noConversion"/>
  </si>
  <si>
    <t>体育</t>
    <phoneticPr fontId="1" type="noConversion"/>
  </si>
  <si>
    <t>总分</t>
    <phoneticPr fontId="1" type="noConversion"/>
  </si>
  <si>
    <t>体育达标否</t>
    <phoneticPr fontId="1" type="noConversion"/>
  </si>
  <si>
    <t>名次</t>
    <phoneticPr fontId="1" type="noConversion"/>
  </si>
  <si>
    <t>班级</t>
    <phoneticPr fontId="1" type="noConversion"/>
  </si>
  <si>
    <t>学生成绩分析</t>
    <phoneticPr fontId="1" type="noConversion"/>
  </si>
  <si>
    <t>学号</t>
    <phoneticPr fontId="1" type="noConversion"/>
  </si>
  <si>
    <t>09901</t>
    <phoneticPr fontId="1" type="noConversion"/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</si>
  <si>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</si>
  <si>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</si>
  <si>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</si>
  <si>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</si>
  <si>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</si>
  <si>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</si>
  <si>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</si>
  <si>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</si>
  <si>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</si>
  <si>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</si>
  <si>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</si>
  <si>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</si>
  <si>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</si>
  <si>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</si>
  <si>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</si>
  <si>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</si>
  <si>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</si>
  <si>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</si>
  <si>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</si>
  <si>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09921</t>
  </si>
  <si>
    <t>09922</t>
  </si>
  <si>
    <t>09923</t>
  </si>
  <si>
    <t>09924</t>
  </si>
  <si>
    <t>09925</t>
  </si>
  <si>
    <t>男 平均值</t>
  </si>
  <si>
    <t>女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</si>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</sst>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 x14ac:knownFonts="1">
    <font>
      <sz val="12"/>
      <name val="宋体"/>
      <charset val="134"/>
    </font>
    <font>
      <sz val="9"/>
      <name val="宋体"/>
      <charset val="134"/>
    </font>
    <font>
      <sz val="16"/>
      <name val="黑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10"/>
      </left>
      <right style="thin">
        <color indexed="8"/>
      </right>
      <top style="medium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10"/>
      </top>
      <bottom style="thin">
        <color indexed="8"/>
      </bottom>
      <diagonal/>
    </border>
    <border>
      <left style="thin">
        <color indexed="8"/>
      </left>
      <right style="medium">
        <color indexed="10"/>
      </right>
      <top style="medium">
        <color indexed="10"/>
      </top>
      <bottom style="thin">
        <color indexed="8"/>
      </bottom>
      <diagonal/>
    </border>
    <border>
      <left style="medium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10"/>
      </right>
      <top style="thin">
        <color indexed="8"/>
      </top>
      <bottom style="thin">
        <color indexed="8"/>
      </bottom>
      <diagonal/>
    </border>
    <border>
      <left style="medium">
        <color indexed="10"/>
      </left>
      <right style="thin">
        <color indexed="8"/>
      </right>
      <top style="thin">
        <color indexed="8"/>
      </top>
      <bottom style="medium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0"/>
      </bottom>
      <diagonal/>
    </border>
    <border>
      <left style="thin">
        <color indexed="8"/>
      </left>
      <right style="medium">
        <color indexed="10"/>
      </right>
      <top style="thin">
        <color indexed="8"/>
      </top>
      <bottom style="medium">
        <color indexed="10"/>
      </bottom>
      <diagonal/>
    </border>
  </borders>
  <cellStyleXfs count="1">
    <xf numFmtId="0" fontId="0" fillId="0" borderId="0"/>
  </cellStyleXfs>
  <cellXfs count="21">
    <xf numFmtId="0" fontId="0" fillId="0" borderId="0" xfId="0"/>
    <xf numFmtId="176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0" borderId="1" xfId="0" quotePrefix="1" applyBorder="1"/>
    <xf numFmtId="176" fontId="0" fillId="0" borderId="1" xfId="0" applyNumberFormat="1" applyBorder="1"/>
    <xf numFmtId="0" fontId="3" fillId="0" borderId="1" xfId="0" applyNumberFormat="1" applyFont="1" applyBorder="1"/>
    <xf numFmtId="0" fontId="0" fillId="0" borderId="0" xfId="0" applyBorder="1"/>
    <xf numFmtId="0" fontId="0" fillId="0" borderId="0" xfId="0" quotePrefix="1" applyBorder="1"/>
    <xf numFmtId="176" fontId="0" fillId="0" borderId="0" xfId="0" applyNumberFormat="1" applyBorder="1"/>
    <xf numFmtId="0" fontId="3" fillId="0" borderId="0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quotePrefix="1" applyBorder="1"/>
    <xf numFmtId="0" fontId="0" fillId="0" borderId="8" xfId="0" applyBorder="1"/>
    <xf numFmtId="176" fontId="0" fillId="0" borderId="8" xfId="0" applyNumberFormat="1" applyBorder="1"/>
    <xf numFmtId="0" fontId="0" fillId="0" borderId="9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6"/>
  <sheetViews>
    <sheetView workbookViewId="0"/>
  </sheetViews>
  <sheetFormatPr defaultRowHeight="14.25" x14ac:dyDescent="0.15"/>
  <cols>
    <col min="1" max="1" width="9.75" customWidth="1"/>
    <col min="9" max="9" width="10.75" customWidth="1"/>
  </cols>
  <sheetData>
    <row r="1" spans="1:9" x14ac:dyDescent="0.15">
      <c r="A1" t="s">
        <v>11</v>
      </c>
      <c r="B1" t="s">
        <v>0</v>
      </c>
      <c r="C1" t="s">
        <v>5</v>
      </c>
      <c r="D1" t="s">
        <v>1</v>
      </c>
      <c r="E1" t="s">
        <v>6</v>
      </c>
      <c r="F1" t="s">
        <v>7</v>
      </c>
      <c r="G1" t="s">
        <v>8</v>
      </c>
      <c r="H1" t="s">
        <v>10</v>
      </c>
      <c r="I1" t="s">
        <v>9</v>
      </c>
    </row>
    <row r="2" spans="1:9" x14ac:dyDescent="0.15">
      <c r="A2" t="s">
        <v>4</v>
      </c>
      <c r="B2" t="s">
        <v>2</v>
      </c>
      <c r="C2" s="1">
        <v>89</v>
      </c>
      <c r="D2" s="1">
        <v>78</v>
      </c>
      <c r="E2" s="1">
        <v>87</v>
      </c>
      <c r="F2" s="1">
        <v>90</v>
      </c>
      <c r="G2" s="1"/>
      <c r="H2" s="1"/>
    </row>
    <row r="3" spans="1:9" x14ac:dyDescent="0.15">
      <c r="A3" t="s">
        <v>4</v>
      </c>
      <c r="B3" t="s">
        <v>2</v>
      </c>
      <c r="C3" s="1">
        <v>89</v>
      </c>
      <c r="D3" s="1">
        <v>78</v>
      </c>
      <c r="E3" s="1">
        <v>73.5</v>
      </c>
      <c r="F3" s="1">
        <v>76</v>
      </c>
      <c r="G3" s="1"/>
      <c r="H3" s="1"/>
    </row>
    <row r="4" spans="1:9" x14ac:dyDescent="0.15">
      <c r="A4" t="s">
        <v>4</v>
      </c>
      <c r="B4" t="s">
        <v>2</v>
      </c>
      <c r="C4" s="1">
        <v>96.5</v>
      </c>
      <c r="D4" s="1">
        <v>87</v>
      </c>
      <c r="E4" s="1">
        <v>89</v>
      </c>
      <c r="F4" s="1">
        <v>89</v>
      </c>
      <c r="G4" s="1"/>
      <c r="H4" s="1"/>
    </row>
    <row r="5" spans="1:9" x14ac:dyDescent="0.15">
      <c r="A5" t="s">
        <v>4</v>
      </c>
      <c r="B5" t="s">
        <v>2</v>
      </c>
      <c r="C5" s="1">
        <v>78</v>
      </c>
      <c r="D5" s="1">
        <v>67.5</v>
      </c>
      <c r="E5" s="1">
        <v>67</v>
      </c>
      <c r="F5" s="1">
        <v>73.5</v>
      </c>
      <c r="G5" s="1"/>
      <c r="H5" s="1"/>
    </row>
    <row r="6" spans="1:9" x14ac:dyDescent="0.15">
      <c r="A6" t="s">
        <v>4</v>
      </c>
      <c r="B6" t="s">
        <v>2</v>
      </c>
      <c r="C6" s="1">
        <v>56</v>
      </c>
      <c r="D6" s="1">
        <v>78</v>
      </c>
      <c r="E6" s="1">
        <v>56</v>
      </c>
      <c r="F6" s="1">
        <v>45</v>
      </c>
      <c r="G6" s="1"/>
      <c r="H6" s="1"/>
    </row>
    <row r="7" spans="1:9" x14ac:dyDescent="0.15">
      <c r="A7" t="s">
        <v>4</v>
      </c>
      <c r="B7" t="s">
        <v>3</v>
      </c>
      <c r="C7" s="1">
        <v>59</v>
      </c>
      <c r="D7" s="1">
        <v>85</v>
      </c>
      <c r="E7" s="1">
        <v>35</v>
      </c>
      <c r="F7" s="1">
        <v>65</v>
      </c>
      <c r="G7" s="1"/>
      <c r="H7" s="1"/>
    </row>
    <row r="8" spans="1:9" x14ac:dyDescent="0.15">
      <c r="A8" t="s">
        <v>4</v>
      </c>
      <c r="B8" t="s">
        <v>3</v>
      </c>
      <c r="C8" s="1">
        <v>89</v>
      </c>
      <c r="D8" s="1">
        <v>78</v>
      </c>
      <c r="E8" s="1">
        <v>87</v>
      </c>
      <c r="F8" s="1">
        <v>90</v>
      </c>
      <c r="G8" s="1"/>
      <c r="H8" s="1"/>
    </row>
    <row r="9" spans="1:9" x14ac:dyDescent="0.15">
      <c r="A9" t="s">
        <v>4</v>
      </c>
      <c r="B9" t="s">
        <v>3</v>
      </c>
      <c r="C9" s="1">
        <v>97</v>
      </c>
      <c r="D9" s="1">
        <v>65</v>
      </c>
      <c r="E9" s="1">
        <v>89</v>
      </c>
      <c r="F9" s="1">
        <v>89</v>
      </c>
      <c r="G9" s="1"/>
      <c r="H9" s="1"/>
    </row>
    <row r="10" spans="1:9" x14ac:dyDescent="0.15">
      <c r="A10" t="s">
        <v>4</v>
      </c>
      <c r="B10" t="s">
        <v>3</v>
      </c>
      <c r="C10" s="1">
        <v>54</v>
      </c>
      <c r="D10" s="1">
        <v>54</v>
      </c>
      <c r="E10" s="1">
        <v>54</v>
      </c>
      <c r="F10" s="1">
        <v>76.5</v>
      </c>
      <c r="G10" s="1"/>
      <c r="H10" s="1"/>
    </row>
    <row r="11" spans="1:9" x14ac:dyDescent="0.15">
      <c r="A11" t="s">
        <v>4</v>
      </c>
      <c r="B11" t="s">
        <v>2</v>
      </c>
      <c r="C11" s="1">
        <v>59</v>
      </c>
      <c r="D11" s="1">
        <v>98</v>
      </c>
      <c r="E11" s="1">
        <v>35</v>
      </c>
      <c r="F11" s="1">
        <v>65</v>
      </c>
      <c r="G11" s="1"/>
      <c r="H11" s="1"/>
    </row>
    <row r="12" spans="1:9" x14ac:dyDescent="0.15">
      <c r="A12" t="s">
        <v>4</v>
      </c>
      <c r="B12" t="s">
        <v>2</v>
      </c>
      <c r="C12" s="1">
        <v>89</v>
      </c>
      <c r="D12" s="1">
        <v>64</v>
      </c>
      <c r="E12" s="1">
        <v>78</v>
      </c>
      <c r="F12" s="1">
        <v>56</v>
      </c>
      <c r="G12" s="1"/>
      <c r="H12" s="1"/>
    </row>
    <row r="13" spans="1:9" x14ac:dyDescent="0.15">
      <c r="A13" t="s">
        <v>4</v>
      </c>
      <c r="B13" t="s">
        <v>2</v>
      </c>
      <c r="C13" s="1">
        <v>65</v>
      </c>
      <c r="D13" s="1">
        <v>78</v>
      </c>
      <c r="E13" s="1">
        <v>67.5</v>
      </c>
      <c r="F13" s="1">
        <v>87</v>
      </c>
      <c r="G13" s="1"/>
      <c r="H13" s="1"/>
    </row>
    <row r="14" spans="1:9" x14ac:dyDescent="0.15">
      <c r="A14" t="s">
        <v>4</v>
      </c>
      <c r="B14" t="s">
        <v>3</v>
      </c>
      <c r="C14" s="1">
        <v>68</v>
      </c>
      <c r="D14" s="1">
        <v>70.5</v>
      </c>
      <c r="E14" s="1">
        <v>58</v>
      </c>
      <c r="F14" s="1">
        <v>67</v>
      </c>
      <c r="G14" s="1"/>
      <c r="H14" s="1"/>
    </row>
    <row r="15" spans="1:9" x14ac:dyDescent="0.15">
      <c r="A15" t="s">
        <v>4</v>
      </c>
      <c r="B15" t="s">
        <v>3</v>
      </c>
      <c r="C15" s="1">
        <v>54</v>
      </c>
      <c r="D15" s="1">
        <v>54</v>
      </c>
      <c r="E15" s="1">
        <v>54</v>
      </c>
      <c r="F15" s="1">
        <v>76.5</v>
      </c>
      <c r="G15" s="1"/>
      <c r="H15" s="1"/>
    </row>
    <row r="16" spans="1:9" x14ac:dyDescent="0.15">
      <c r="A16" t="s">
        <v>4</v>
      </c>
      <c r="B16" t="s">
        <v>3</v>
      </c>
      <c r="C16" s="1">
        <v>65</v>
      </c>
      <c r="D16" s="1">
        <v>56</v>
      </c>
      <c r="E16" s="1">
        <v>67.5</v>
      </c>
      <c r="F16" s="1">
        <v>57</v>
      </c>
      <c r="G16" s="1"/>
      <c r="H16" s="1"/>
    </row>
    <row r="17" spans="1:8" x14ac:dyDescent="0.15">
      <c r="A17" t="s">
        <v>4</v>
      </c>
      <c r="B17" t="s">
        <v>2</v>
      </c>
      <c r="C17" s="1">
        <v>60</v>
      </c>
      <c r="D17" s="1">
        <v>49</v>
      </c>
      <c r="E17" s="1">
        <v>83.5</v>
      </c>
      <c r="F17" s="1">
        <v>67</v>
      </c>
      <c r="G17" s="1"/>
      <c r="H17" s="1"/>
    </row>
    <row r="18" spans="1:8" x14ac:dyDescent="0.15">
      <c r="A18" t="s">
        <v>4</v>
      </c>
      <c r="B18" t="s">
        <v>2</v>
      </c>
      <c r="C18" s="1">
        <v>90.5</v>
      </c>
      <c r="D18" s="1">
        <v>89</v>
      </c>
      <c r="E18" s="1">
        <v>78</v>
      </c>
      <c r="F18" s="1">
        <v>56</v>
      </c>
      <c r="G18" s="1"/>
      <c r="H18" s="1"/>
    </row>
    <row r="19" spans="1:8" x14ac:dyDescent="0.15">
      <c r="A19" t="s">
        <v>4</v>
      </c>
      <c r="B19" t="s">
        <v>3</v>
      </c>
      <c r="C19" s="1">
        <v>68</v>
      </c>
      <c r="D19" s="1">
        <v>89</v>
      </c>
      <c r="E19" s="1">
        <v>58</v>
      </c>
      <c r="F19" s="1">
        <v>67</v>
      </c>
      <c r="G19" s="1"/>
      <c r="H19" s="1"/>
    </row>
    <row r="20" spans="1:8" x14ac:dyDescent="0.15">
      <c r="A20" t="s">
        <v>4</v>
      </c>
      <c r="B20" t="s">
        <v>3</v>
      </c>
      <c r="C20" s="1">
        <v>89</v>
      </c>
      <c r="D20" s="1">
        <v>78</v>
      </c>
      <c r="E20" s="1">
        <v>73.5</v>
      </c>
      <c r="F20" s="1">
        <v>76</v>
      </c>
      <c r="G20" s="1"/>
      <c r="H20" s="1"/>
    </row>
    <row r="21" spans="1:8" x14ac:dyDescent="0.15">
      <c r="A21" t="s">
        <v>4</v>
      </c>
      <c r="B21" t="s">
        <v>3</v>
      </c>
      <c r="C21" s="1">
        <v>78</v>
      </c>
      <c r="D21" s="1">
        <v>67.5</v>
      </c>
      <c r="E21" s="1">
        <v>67</v>
      </c>
      <c r="F21" s="1">
        <v>73.5</v>
      </c>
      <c r="G21" s="1"/>
      <c r="H21" s="1"/>
    </row>
    <row r="22" spans="1:8" x14ac:dyDescent="0.15">
      <c r="A22" t="s">
        <v>4</v>
      </c>
      <c r="B22" t="s">
        <v>2</v>
      </c>
      <c r="C22" s="1">
        <v>65</v>
      </c>
      <c r="D22" s="1">
        <v>56</v>
      </c>
      <c r="E22" s="1">
        <v>67.5</v>
      </c>
      <c r="F22" s="1">
        <v>57</v>
      </c>
      <c r="G22" s="1"/>
      <c r="H22" s="1"/>
    </row>
    <row r="23" spans="1:8" x14ac:dyDescent="0.15">
      <c r="A23" t="s">
        <v>4</v>
      </c>
      <c r="B23" t="s">
        <v>2</v>
      </c>
      <c r="C23" s="1">
        <v>98</v>
      </c>
      <c r="D23" s="1">
        <v>56</v>
      </c>
      <c r="E23" s="1">
        <v>56</v>
      </c>
      <c r="F23" s="1">
        <v>45</v>
      </c>
      <c r="G23" s="1"/>
      <c r="H23" s="1"/>
    </row>
    <row r="24" spans="1:8" x14ac:dyDescent="0.15">
      <c r="A24" t="s">
        <v>4</v>
      </c>
      <c r="B24" t="s">
        <v>3</v>
      </c>
      <c r="C24" s="1">
        <v>60</v>
      </c>
      <c r="D24" s="1">
        <v>49</v>
      </c>
      <c r="E24" s="1">
        <v>65</v>
      </c>
      <c r="F24" s="1">
        <v>67</v>
      </c>
      <c r="G24" s="1"/>
      <c r="H24" s="1"/>
    </row>
    <row r="25" spans="1:8" x14ac:dyDescent="0.15">
      <c r="A25" t="s">
        <v>4</v>
      </c>
      <c r="B25" t="s">
        <v>3</v>
      </c>
      <c r="C25" s="1">
        <v>79</v>
      </c>
      <c r="D25" s="1">
        <v>87</v>
      </c>
      <c r="E25" s="1">
        <v>78</v>
      </c>
      <c r="F25" s="1">
        <v>67</v>
      </c>
      <c r="G25" s="1"/>
      <c r="H25" s="1"/>
    </row>
    <row r="26" spans="1:8" x14ac:dyDescent="0.15">
      <c r="A26" t="s">
        <v>4</v>
      </c>
      <c r="B26" t="s">
        <v>3</v>
      </c>
      <c r="C26" s="1">
        <v>89</v>
      </c>
      <c r="D26" s="1">
        <v>88</v>
      </c>
      <c r="E26" s="1">
        <v>56</v>
      </c>
      <c r="F26" s="1">
        <v>78</v>
      </c>
      <c r="G26" s="1"/>
      <c r="H26" s="1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0"/>
  <sheetViews>
    <sheetView tabSelected="1" workbookViewId="0">
      <selection activeCell="L9" sqref="L9"/>
    </sheetView>
  </sheetViews>
  <sheetFormatPr defaultRowHeight="14.25" outlineLevelRow="2" x14ac:dyDescent="0.15"/>
  <cols>
    <col min="1" max="1" width="10.5" bestFit="1" customWidth="1"/>
    <col min="2" max="2" width="6.5" bestFit="1" customWidth="1"/>
    <col min="3" max="9" width="5.5" bestFit="1" customWidth="1"/>
    <col min="10" max="10" width="11.625" bestFit="1" customWidth="1"/>
  </cols>
  <sheetData>
    <row r="1" spans="1:10" ht="20.25" x14ac:dyDescent="0.1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x14ac:dyDescent="0.15">
      <c r="A2" s="11" t="s">
        <v>11</v>
      </c>
      <c r="B2" s="3" t="s">
        <v>13</v>
      </c>
      <c r="C2" s="3" t="s">
        <v>0</v>
      </c>
      <c r="D2" s="3" t="s">
        <v>5</v>
      </c>
      <c r="E2" s="3" t="s">
        <v>1</v>
      </c>
      <c r="F2" s="3" t="s">
        <v>6</v>
      </c>
      <c r="G2" s="3" t="s">
        <v>7</v>
      </c>
      <c r="H2" s="3" t="s">
        <v>8</v>
      </c>
      <c r="I2" s="3" t="s">
        <v>10</v>
      </c>
      <c r="J2" s="12" t="s">
        <v>9</v>
      </c>
    </row>
    <row r="3" spans="1:10" outlineLevel="2" x14ac:dyDescent="0.15">
      <c r="A3" s="11" t="s">
        <v>4</v>
      </c>
      <c r="B3" s="4" t="s">
        <v>14</v>
      </c>
      <c r="C3" s="3" t="s">
        <v>2</v>
      </c>
      <c r="D3" s="5">
        <v>89</v>
      </c>
      <c r="E3" s="5">
        <v>78</v>
      </c>
      <c r="F3" s="5">
        <v>87</v>
      </c>
      <c r="G3" s="5">
        <v>90</v>
      </c>
      <c r="H3" s="5">
        <f t="shared" ref="H3:H14" si="0">SUM(D3:G3)</f>
        <v>344</v>
      </c>
      <c r="I3" s="5">
        <f t="shared" ref="I3:I14" si="1">RANK(H3,$H$3:$H$28)</f>
        <v>2</v>
      </c>
      <c r="J3" s="12" t="str">
        <f t="shared" ref="J3:J14" si="2">IF(G3&gt;=60,"是","否")</f>
        <v>是</v>
      </c>
    </row>
    <row r="4" spans="1:10" outlineLevel="2" x14ac:dyDescent="0.15">
      <c r="A4" s="11" t="s">
        <v>4</v>
      </c>
      <c r="B4" s="4" t="s">
        <v>15</v>
      </c>
      <c r="C4" s="3" t="s">
        <v>2</v>
      </c>
      <c r="D4" s="5">
        <v>89</v>
      </c>
      <c r="E4" s="5">
        <v>78</v>
      </c>
      <c r="F4" s="5">
        <v>73.5</v>
      </c>
      <c r="G4" s="5">
        <v>76</v>
      </c>
      <c r="H4" s="5">
        <f t="shared" si="0"/>
        <v>316.5</v>
      </c>
      <c r="I4" s="5">
        <f t="shared" si="1"/>
        <v>5</v>
      </c>
      <c r="J4" s="12" t="str">
        <f t="shared" si="2"/>
        <v>是</v>
      </c>
    </row>
    <row r="5" spans="1:10" outlineLevel="2" x14ac:dyDescent="0.15">
      <c r="A5" s="11" t="s">
        <v>4</v>
      </c>
      <c r="B5" s="4" t="s">
        <v>16</v>
      </c>
      <c r="C5" s="3" t="s">
        <v>2</v>
      </c>
      <c r="D5" s="5">
        <v>96.5</v>
      </c>
      <c r="E5" s="5">
        <v>87</v>
      </c>
      <c r="F5" s="5">
        <v>89</v>
      </c>
      <c r="G5" s="5">
        <v>89</v>
      </c>
      <c r="H5" s="5">
        <f t="shared" si="0"/>
        <v>361.5</v>
      </c>
      <c r="I5" s="5">
        <f t="shared" si="1"/>
        <v>1</v>
      </c>
      <c r="J5" s="12" t="str">
        <f t="shared" si="2"/>
        <v>是</v>
      </c>
    </row>
    <row r="6" spans="1:10" outlineLevel="2" x14ac:dyDescent="0.15">
      <c r="A6" s="11" t="s">
        <v>4</v>
      </c>
      <c r="B6" s="4" t="s">
        <v>17</v>
      </c>
      <c r="C6" s="3" t="s">
        <v>2</v>
      </c>
      <c r="D6" s="5">
        <v>78</v>
      </c>
      <c r="E6" s="5">
        <v>67.5</v>
      </c>
      <c r="F6" s="5">
        <v>67</v>
      </c>
      <c r="G6" s="5">
        <v>73.5</v>
      </c>
      <c r="H6" s="5">
        <f t="shared" si="0"/>
        <v>286</v>
      </c>
      <c r="I6" s="5">
        <f t="shared" si="1"/>
        <v>13</v>
      </c>
      <c r="J6" s="12" t="str">
        <f t="shared" si="2"/>
        <v>是</v>
      </c>
    </row>
    <row r="7" spans="1:10" outlineLevel="2" x14ac:dyDescent="0.15">
      <c r="A7" s="11" t="s">
        <v>4</v>
      </c>
      <c r="B7" s="4" t="s">
        <v>18</v>
      </c>
      <c r="C7" s="3" t="s">
        <v>2</v>
      </c>
      <c r="D7" s="5">
        <v>56</v>
      </c>
      <c r="E7" s="5">
        <v>78</v>
      </c>
      <c r="F7" s="5">
        <v>56</v>
      </c>
      <c r="G7" s="5">
        <v>45</v>
      </c>
      <c r="H7" s="5">
        <f t="shared" si="0"/>
        <v>235</v>
      </c>
      <c r="I7" s="5">
        <f t="shared" si="1"/>
        <v>26</v>
      </c>
      <c r="J7" s="12" t="str">
        <f t="shared" si="2"/>
        <v>否</v>
      </c>
    </row>
    <row r="8" spans="1:10" outlineLevel="2" x14ac:dyDescent="0.15">
      <c r="A8" s="11" t="s">
        <v>4</v>
      </c>
      <c r="B8" s="4" t="s">
        <v>23</v>
      </c>
      <c r="C8" s="3" t="s">
        <v>2</v>
      </c>
      <c r="D8" s="5">
        <v>59</v>
      </c>
      <c r="E8" s="5">
        <v>98</v>
      </c>
      <c r="F8" s="5">
        <v>35</v>
      </c>
      <c r="G8" s="5">
        <v>65</v>
      </c>
      <c r="H8" s="5">
        <f t="shared" si="0"/>
        <v>257</v>
      </c>
      <c r="I8" s="5">
        <f t="shared" si="1"/>
        <v>18</v>
      </c>
      <c r="J8" s="12" t="str">
        <f t="shared" si="2"/>
        <v>是</v>
      </c>
    </row>
    <row r="9" spans="1:10" outlineLevel="2" x14ac:dyDescent="0.15">
      <c r="A9" s="11" t="s">
        <v>4</v>
      </c>
      <c r="B9" s="4" t="s">
        <v>24</v>
      </c>
      <c r="C9" s="3" t="s">
        <v>2</v>
      </c>
      <c r="D9" s="5">
        <v>89</v>
      </c>
      <c r="E9" s="5">
        <v>64</v>
      </c>
      <c r="F9" s="5">
        <v>78</v>
      </c>
      <c r="G9" s="5">
        <v>56</v>
      </c>
      <c r="H9" s="5">
        <f t="shared" si="0"/>
        <v>287</v>
      </c>
      <c r="I9" s="5">
        <f t="shared" si="1"/>
        <v>12</v>
      </c>
      <c r="J9" s="12" t="str">
        <f t="shared" si="2"/>
        <v>否</v>
      </c>
    </row>
    <row r="10" spans="1:10" outlineLevel="2" x14ac:dyDescent="0.15">
      <c r="A10" s="11" t="s">
        <v>4</v>
      </c>
      <c r="B10" s="4" t="s">
        <v>25</v>
      </c>
      <c r="C10" s="3" t="s">
        <v>2</v>
      </c>
      <c r="D10" s="5">
        <v>65</v>
      </c>
      <c r="E10" s="5">
        <v>78</v>
      </c>
      <c r="F10" s="5">
        <v>67.5</v>
      </c>
      <c r="G10" s="5">
        <v>87</v>
      </c>
      <c r="H10" s="5">
        <f t="shared" si="0"/>
        <v>297.5</v>
      </c>
      <c r="I10" s="5">
        <f t="shared" si="1"/>
        <v>10</v>
      </c>
      <c r="J10" s="12" t="str">
        <f t="shared" si="2"/>
        <v>是</v>
      </c>
    </row>
    <row r="11" spans="1:10" outlineLevel="2" x14ac:dyDescent="0.15">
      <c r="A11" s="11" t="s">
        <v>4</v>
      </c>
      <c r="B11" s="4" t="s">
        <v>29</v>
      </c>
      <c r="C11" s="3" t="s">
        <v>2</v>
      </c>
      <c r="D11" s="5">
        <v>60</v>
      </c>
      <c r="E11" s="5">
        <v>49</v>
      </c>
      <c r="F11" s="5">
        <v>83.5</v>
      </c>
      <c r="G11" s="5">
        <v>67</v>
      </c>
      <c r="H11" s="5">
        <f t="shared" si="0"/>
        <v>259.5</v>
      </c>
      <c r="I11" s="5">
        <f t="shared" si="1"/>
        <v>17</v>
      </c>
      <c r="J11" s="12" t="str">
        <f t="shared" si="2"/>
        <v>是</v>
      </c>
    </row>
    <row r="12" spans="1:10" outlineLevel="2" x14ac:dyDescent="0.15">
      <c r="A12" s="11" t="s">
        <v>4</v>
      </c>
      <c r="B12" s="4" t="s">
        <v>30</v>
      </c>
      <c r="C12" s="3" t="s">
        <v>2</v>
      </c>
      <c r="D12" s="5">
        <v>90.5</v>
      </c>
      <c r="E12" s="5">
        <v>89</v>
      </c>
      <c r="F12" s="5">
        <v>78</v>
      </c>
      <c r="G12" s="5">
        <v>56</v>
      </c>
      <c r="H12" s="5">
        <f t="shared" si="0"/>
        <v>313.5</v>
      </c>
      <c r="I12" s="5">
        <f t="shared" si="1"/>
        <v>7</v>
      </c>
      <c r="J12" s="12" t="str">
        <f t="shared" si="2"/>
        <v>否</v>
      </c>
    </row>
    <row r="13" spans="1:10" outlineLevel="2" x14ac:dyDescent="0.15">
      <c r="A13" s="11" t="s">
        <v>4</v>
      </c>
      <c r="B13" s="4" t="s">
        <v>34</v>
      </c>
      <c r="C13" s="3" t="s">
        <v>2</v>
      </c>
      <c r="D13" s="5">
        <v>65</v>
      </c>
      <c r="E13" s="5">
        <v>56</v>
      </c>
      <c r="F13" s="5">
        <v>67.5</v>
      </c>
      <c r="G13" s="5">
        <v>57</v>
      </c>
      <c r="H13" s="5">
        <f t="shared" si="0"/>
        <v>245.5</v>
      </c>
      <c r="I13" s="5">
        <f t="shared" si="1"/>
        <v>20</v>
      </c>
      <c r="J13" s="12" t="str">
        <f t="shared" si="2"/>
        <v>否</v>
      </c>
    </row>
    <row r="14" spans="1:10" outlineLevel="2" x14ac:dyDescent="0.15">
      <c r="A14" s="11" t="s">
        <v>4</v>
      </c>
      <c r="B14" s="4" t="s">
        <v>35</v>
      </c>
      <c r="C14" s="3" t="s">
        <v>2</v>
      </c>
      <c r="D14" s="5">
        <v>98</v>
      </c>
      <c r="E14" s="5">
        <v>56</v>
      </c>
      <c r="F14" s="5">
        <v>56</v>
      </c>
      <c r="G14" s="5">
        <v>45</v>
      </c>
      <c r="H14" s="5">
        <f t="shared" si="0"/>
        <v>255</v>
      </c>
      <c r="I14" s="5">
        <f t="shared" si="1"/>
        <v>19</v>
      </c>
      <c r="J14" s="12" t="str">
        <f t="shared" si="2"/>
        <v>否</v>
      </c>
    </row>
    <row r="15" spans="1:10" outlineLevel="1" x14ac:dyDescent="0.15">
      <c r="A15" s="11"/>
      <c r="B15" s="4"/>
      <c r="C15" s="6" t="s">
        <v>39</v>
      </c>
      <c r="D15" s="5">
        <f>SUBTOTAL(1,D3:D14)</f>
        <v>77.916666666666671</v>
      </c>
      <c r="E15" s="5">
        <f>SUBTOTAL(1,E3:E14)</f>
        <v>73.208333333333329</v>
      </c>
      <c r="F15" s="5">
        <f>SUBTOTAL(1,F3:F14)</f>
        <v>69.833333333333329</v>
      </c>
      <c r="G15" s="5">
        <f>SUBTOTAL(1,G3:G14)</f>
        <v>67.208333333333329</v>
      </c>
      <c r="H15" s="5">
        <f>SUBTOTAL(1,H3:H14)</f>
        <v>288.16666666666669</v>
      </c>
      <c r="I15" s="5"/>
      <c r="J15" s="12"/>
    </row>
    <row r="16" spans="1:10" outlineLevel="2" x14ac:dyDescent="0.15">
      <c r="A16" s="11" t="s">
        <v>4</v>
      </c>
      <c r="B16" s="4" t="s">
        <v>19</v>
      </c>
      <c r="C16" s="3" t="s">
        <v>3</v>
      </c>
      <c r="D16" s="5">
        <v>59</v>
      </c>
      <c r="E16" s="5">
        <v>85</v>
      </c>
      <c r="F16" s="5">
        <v>35</v>
      </c>
      <c r="G16" s="5">
        <v>65</v>
      </c>
      <c r="H16" s="5">
        <f t="shared" ref="H16:H28" si="3">SUM(D16:G16)</f>
        <v>244</v>
      </c>
      <c r="I16" s="5">
        <f t="shared" ref="I16:I28" si="4">RANK(H16,$H$3:$H$28)</f>
        <v>22</v>
      </c>
      <c r="J16" s="12" t="str">
        <f t="shared" ref="J16:J28" si="5">IF(G16&gt;=60,"是","否")</f>
        <v>是</v>
      </c>
    </row>
    <row r="17" spans="1:11" outlineLevel="2" x14ac:dyDescent="0.15">
      <c r="A17" s="11" t="s">
        <v>4</v>
      </c>
      <c r="B17" s="4" t="s">
        <v>20</v>
      </c>
      <c r="C17" s="3" t="s">
        <v>3</v>
      </c>
      <c r="D17" s="5">
        <v>89</v>
      </c>
      <c r="E17" s="5">
        <v>78</v>
      </c>
      <c r="F17" s="5">
        <v>87</v>
      </c>
      <c r="G17" s="5">
        <v>90</v>
      </c>
      <c r="H17" s="5">
        <f t="shared" si="3"/>
        <v>344</v>
      </c>
      <c r="I17" s="5">
        <f t="shared" si="4"/>
        <v>2</v>
      </c>
      <c r="J17" s="12" t="str">
        <f t="shared" si="5"/>
        <v>是</v>
      </c>
    </row>
    <row r="18" spans="1:11" outlineLevel="2" x14ac:dyDescent="0.15">
      <c r="A18" s="11" t="s">
        <v>4</v>
      </c>
      <c r="B18" s="4" t="s">
        <v>21</v>
      </c>
      <c r="C18" s="3" t="s">
        <v>3</v>
      </c>
      <c r="D18" s="5">
        <v>97</v>
      </c>
      <c r="E18" s="5">
        <v>65</v>
      </c>
      <c r="F18" s="5">
        <v>89</v>
      </c>
      <c r="G18" s="5">
        <v>89</v>
      </c>
      <c r="H18" s="5">
        <f t="shared" si="3"/>
        <v>340</v>
      </c>
      <c r="I18" s="5">
        <f t="shared" si="4"/>
        <v>4</v>
      </c>
      <c r="J18" s="12" t="str">
        <f t="shared" si="5"/>
        <v>是</v>
      </c>
    </row>
    <row r="19" spans="1:11" outlineLevel="2" x14ac:dyDescent="0.15">
      <c r="A19" s="11" t="s">
        <v>4</v>
      </c>
      <c r="B19" s="4" t="s">
        <v>22</v>
      </c>
      <c r="C19" s="3" t="s">
        <v>3</v>
      </c>
      <c r="D19" s="5">
        <v>54</v>
      </c>
      <c r="E19" s="5">
        <v>54</v>
      </c>
      <c r="F19" s="5">
        <v>54</v>
      </c>
      <c r="G19" s="5">
        <v>76.5</v>
      </c>
      <c r="H19" s="5">
        <f t="shared" si="3"/>
        <v>238.5</v>
      </c>
      <c r="I19" s="5">
        <f t="shared" si="4"/>
        <v>24</v>
      </c>
      <c r="J19" s="12" t="str">
        <f t="shared" si="5"/>
        <v>是</v>
      </c>
    </row>
    <row r="20" spans="1:11" outlineLevel="2" x14ac:dyDescent="0.15">
      <c r="A20" s="11" t="s">
        <v>4</v>
      </c>
      <c r="B20" s="4" t="s">
        <v>26</v>
      </c>
      <c r="C20" s="3" t="s">
        <v>3</v>
      </c>
      <c r="D20" s="5">
        <v>68</v>
      </c>
      <c r="E20" s="5">
        <v>70.5</v>
      </c>
      <c r="F20" s="5">
        <v>58</v>
      </c>
      <c r="G20" s="5">
        <v>67</v>
      </c>
      <c r="H20" s="5">
        <f t="shared" si="3"/>
        <v>263.5</v>
      </c>
      <c r="I20" s="5">
        <f t="shared" si="4"/>
        <v>16</v>
      </c>
      <c r="J20" s="12" t="str">
        <f t="shared" si="5"/>
        <v>是</v>
      </c>
    </row>
    <row r="21" spans="1:11" outlineLevel="2" x14ac:dyDescent="0.15">
      <c r="A21" s="11" t="s">
        <v>4</v>
      </c>
      <c r="B21" s="4" t="s">
        <v>27</v>
      </c>
      <c r="C21" s="3" t="s">
        <v>3</v>
      </c>
      <c r="D21" s="5">
        <v>54</v>
      </c>
      <c r="E21" s="5">
        <v>54</v>
      </c>
      <c r="F21" s="5">
        <v>54</v>
      </c>
      <c r="G21" s="5">
        <v>76.5</v>
      </c>
      <c r="H21" s="5">
        <f t="shared" si="3"/>
        <v>238.5</v>
      </c>
      <c r="I21" s="5">
        <f t="shared" si="4"/>
        <v>24</v>
      </c>
      <c r="J21" s="12" t="str">
        <f t="shared" si="5"/>
        <v>是</v>
      </c>
    </row>
    <row r="22" spans="1:11" outlineLevel="2" x14ac:dyDescent="0.15">
      <c r="A22" s="11" t="s">
        <v>4</v>
      </c>
      <c r="B22" s="4" t="s">
        <v>28</v>
      </c>
      <c r="C22" s="3" t="s">
        <v>3</v>
      </c>
      <c r="D22" s="5">
        <v>65</v>
      </c>
      <c r="E22" s="5">
        <v>56</v>
      </c>
      <c r="F22" s="5">
        <v>67.5</v>
      </c>
      <c r="G22" s="5">
        <v>57</v>
      </c>
      <c r="H22" s="5">
        <f t="shared" si="3"/>
        <v>245.5</v>
      </c>
      <c r="I22" s="5">
        <f t="shared" si="4"/>
        <v>20</v>
      </c>
      <c r="J22" s="12" t="str">
        <f t="shared" si="5"/>
        <v>否</v>
      </c>
      <c r="K22" s="2"/>
    </row>
    <row r="23" spans="1:11" outlineLevel="2" x14ac:dyDescent="0.15">
      <c r="A23" s="11" t="s">
        <v>4</v>
      </c>
      <c r="B23" s="4" t="s">
        <v>31</v>
      </c>
      <c r="C23" s="3" t="s">
        <v>3</v>
      </c>
      <c r="D23" s="5">
        <v>68</v>
      </c>
      <c r="E23" s="5">
        <v>89</v>
      </c>
      <c r="F23" s="5">
        <v>58</v>
      </c>
      <c r="G23" s="5">
        <v>67</v>
      </c>
      <c r="H23" s="5">
        <f t="shared" si="3"/>
        <v>282</v>
      </c>
      <c r="I23" s="5">
        <f t="shared" si="4"/>
        <v>15</v>
      </c>
      <c r="J23" s="12" t="str">
        <f t="shared" si="5"/>
        <v>是</v>
      </c>
      <c r="K23" s="2"/>
    </row>
    <row r="24" spans="1:11" outlineLevel="2" x14ac:dyDescent="0.15">
      <c r="A24" s="11" t="s">
        <v>4</v>
      </c>
      <c r="B24" s="4" t="s">
        <v>32</v>
      </c>
      <c r="C24" s="3" t="s">
        <v>3</v>
      </c>
      <c r="D24" s="5">
        <v>89</v>
      </c>
      <c r="E24" s="5">
        <v>78</v>
      </c>
      <c r="F24" s="5">
        <v>73.5</v>
      </c>
      <c r="G24" s="5">
        <v>76</v>
      </c>
      <c r="H24" s="5">
        <f t="shared" si="3"/>
        <v>316.5</v>
      </c>
      <c r="I24" s="5">
        <f t="shared" si="4"/>
        <v>5</v>
      </c>
      <c r="J24" s="12" t="str">
        <f t="shared" si="5"/>
        <v>是</v>
      </c>
      <c r="K24" s="2"/>
    </row>
    <row r="25" spans="1:11" outlineLevel="2" x14ac:dyDescent="0.15">
      <c r="A25" s="11" t="s">
        <v>4</v>
      </c>
      <c r="B25" s="4" t="s">
        <v>33</v>
      </c>
      <c r="C25" s="3" t="s">
        <v>3</v>
      </c>
      <c r="D25" s="5">
        <v>78</v>
      </c>
      <c r="E25" s="5">
        <v>67.5</v>
      </c>
      <c r="F25" s="5">
        <v>67</v>
      </c>
      <c r="G25" s="5">
        <v>73.5</v>
      </c>
      <c r="H25" s="5">
        <f t="shared" si="3"/>
        <v>286</v>
      </c>
      <c r="I25" s="5">
        <f t="shared" si="4"/>
        <v>13</v>
      </c>
      <c r="J25" s="12" t="str">
        <f t="shared" si="5"/>
        <v>是</v>
      </c>
    </row>
    <row r="26" spans="1:11" outlineLevel="2" x14ac:dyDescent="0.15">
      <c r="A26" s="11" t="s">
        <v>4</v>
      </c>
      <c r="B26" s="4" t="s">
        <v>36</v>
      </c>
      <c r="C26" s="3" t="s">
        <v>3</v>
      </c>
      <c r="D26" s="5">
        <v>60</v>
      </c>
      <c r="E26" s="5">
        <v>49</v>
      </c>
      <c r="F26" s="5">
        <v>65</v>
      </c>
      <c r="G26" s="5">
        <v>67</v>
      </c>
      <c r="H26" s="5">
        <f t="shared" si="3"/>
        <v>241</v>
      </c>
      <c r="I26" s="5">
        <f t="shared" si="4"/>
        <v>23</v>
      </c>
      <c r="J26" s="12" t="str">
        <f t="shared" si="5"/>
        <v>是</v>
      </c>
    </row>
    <row r="27" spans="1:11" outlineLevel="2" x14ac:dyDescent="0.15">
      <c r="A27" s="11" t="s">
        <v>4</v>
      </c>
      <c r="B27" s="4" t="s">
        <v>37</v>
      </c>
      <c r="C27" s="3" t="s">
        <v>3</v>
      </c>
      <c r="D27" s="5">
        <v>79</v>
      </c>
      <c r="E27" s="5">
        <v>87</v>
      </c>
      <c r="F27" s="5">
        <v>78</v>
      </c>
      <c r="G27" s="5">
        <v>67</v>
      </c>
      <c r="H27" s="5">
        <f t="shared" si="3"/>
        <v>311</v>
      </c>
      <c r="I27" s="5">
        <f t="shared" si="4"/>
        <v>8</v>
      </c>
      <c r="J27" s="12" t="str">
        <f t="shared" si="5"/>
        <v>是</v>
      </c>
    </row>
    <row r="28" spans="1:11" ht="15" outlineLevel="2" thickBot="1" x14ac:dyDescent="0.2">
      <c r="A28" s="13" t="s">
        <v>4</v>
      </c>
      <c r="B28" s="14" t="s">
        <v>38</v>
      </c>
      <c r="C28" s="15" t="s">
        <v>3</v>
      </c>
      <c r="D28" s="16">
        <v>89</v>
      </c>
      <c r="E28" s="16">
        <v>88</v>
      </c>
      <c r="F28" s="16">
        <v>56</v>
      </c>
      <c r="G28" s="16">
        <v>78</v>
      </c>
      <c r="H28" s="16">
        <f t="shared" si="3"/>
        <v>311</v>
      </c>
      <c r="I28" s="16">
        <f t="shared" si="4"/>
        <v>8</v>
      </c>
      <c r="J28" s="17" t="str">
        <f t="shared" si="5"/>
        <v>是</v>
      </c>
    </row>
    <row r="29" spans="1:11" outlineLevel="1" x14ac:dyDescent="0.15">
      <c r="A29" s="7"/>
      <c r="B29" s="8"/>
      <c r="C29" s="10" t="s">
        <v>40</v>
      </c>
      <c r="D29" s="9">
        <f>SUBTOTAL(1,D16:D28)</f>
        <v>73</v>
      </c>
      <c r="E29" s="9">
        <f>SUBTOTAL(1,E16:E28)</f>
        <v>70.84615384615384</v>
      </c>
      <c r="F29" s="9">
        <f>SUBTOTAL(1,F16:F28)</f>
        <v>64.769230769230774</v>
      </c>
      <c r="G29" s="9">
        <f>SUBTOTAL(1,G16:G28)</f>
        <v>73.038461538461533</v>
      </c>
      <c r="H29" s="9">
        <f>SUBTOTAL(1,H16:H28)</f>
        <v>281.65384615384613</v>
      </c>
      <c r="I29" s="9"/>
      <c r="J29" s="7"/>
    </row>
    <row r="30" spans="1:11" x14ac:dyDescent="0.15">
      <c r="A30" s="7"/>
      <c r="B30" s="8"/>
      <c r="C30" s="10" t="s">
        <v>41</v>
      </c>
      <c r="D30" s="9">
        <f>SUBTOTAL(1,D3:D28)</f>
        <v>75.36</v>
      </c>
      <c r="E30" s="9">
        <f>SUBTOTAL(1,E3:E28)</f>
        <v>71.98</v>
      </c>
      <c r="F30" s="9">
        <f>SUBTOTAL(1,F3:F28)</f>
        <v>67.2</v>
      </c>
      <c r="G30" s="9">
        <f>SUBTOTAL(1,G3:G28)</f>
        <v>70.239999999999995</v>
      </c>
      <c r="H30" s="9">
        <f>SUBTOTAL(1,H3:H28)</f>
        <v>284.77999999999997</v>
      </c>
      <c r="I30" s="9"/>
      <c r="J30" s="7"/>
    </row>
  </sheetData>
  <mergeCells count="1">
    <mergeCell ref="A1:J1"/>
  </mergeCells>
  <phoneticPr fontId="1" type="noConversion"/>
  <conditionalFormatting sqref="D3:G30">
    <cfRule type="cellIs" dxfId="1" priority="1" stopIfTrue="1" operator="lessThan">
      <formula>60</formula>
    </cfRule>
  </conditionalFormatting>
  <conditionalFormatting sqref="J3:J30">
    <cfRule type="cellIs" dxfId="0" priority="2" stopIfTrue="1" operator="equal">
      <formula>"否"</formula>
    </cfRule>
  </conditionalFormatting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学生成绩原始数据备份</vt:lpstr>
      <vt:lpstr>学生成绩分析表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2010-03-02T01:55:25Z</cp:lastPrinted>
  <dcterms:created xsi:type="dcterms:W3CDTF">1996-12-17T01:32:42Z</dcterms:created>
  <dcterms:modified xsi:type="dcterms:W3CDTF">2019-09-15T05:09:02Z</dcterms:modified>
</cp:coreProperties>
</file>