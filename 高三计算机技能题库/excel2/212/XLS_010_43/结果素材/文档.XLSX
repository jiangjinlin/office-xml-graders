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4" r:id="rId1"/>
    <sheet name="Sheet2" sheetId="5" r:id="rId2"/>
    <sheet name="Sheet3" sheetId="3" r:id="rId3"/>
  </sheets>
  <definedNames>
    <definedName name="_xlnm._FilterDatabase" localSheetId="0" hidden="1">Sheet1!$A$2:$F$9</definedName>
    <definedName name="_xlnm.Criteria" localSheetId="0">Sheet1!$A$11:$F$13</definedName>
    <definedName name="_xlnm.Extract" localSheetId="0">Sheet1!$A$15:$F$15</definedName>
  </definedNames>
  <calcPr calcId="144525"/>
</workbook>
</file>

<file path=xl/calcChain.xml><?xml version="1.0" encoding="utf-8"?>
<calcChain xmlns="http://schemas.openxmlformats.org/spreadsheetml/2006/main">
  <c r="F3" i="4" l="1"/>
  <c r="F4" i="4"/>
  <c r="F8" i="4"/>
  <c r="J4" i="4"/>
  <c r="F9" i="4"/>
  <c r="F5" i="4"/>
  <c r="F6" i="4"/>
  <c r="F7" i="4"/>
</calcChain>
</file>

<file path=xl/sharedStrings.xml><?xml version="1.0" encoding="utf-8"?>
<sst xmlns="http://schemas.openxmlformats.org/spreadsheetml/2006/main" count="67" uniqueCount="22">
  <si>
    <t>供货单位</t>
  </si>
  <si>
    <t>购货日期</t>
  </si>
  <si>
    <t>数量</t>
  </si>
  <si>
    <t>远望公司</t>
  </si>
  <si>
    <t>中创公司</t>
  </si>
  <si>
    <t>商品编号</t>
    <phoneticPr fontId="1" type="noConversion"/>
  </si>
  <si>
    <t>SP001</t>
    <phoneticPr fontId="1" type="noConversion"/>
  </si>
  <si>
    <t>SP002</t>
  </si>
  <si>
    <t>SP003</t>
  </si>
  <si>
    <t>SP004</t>
  </si>
  <si>
    <t>SP005</t>
  </si>
  <si>
    <t>SP006</t>
  </si>
  <si>
    <t>SP007</t>
  </si>
  <si>
    <t>海通公司</t>
    <phoneticPr fontId="1" type="noConversion"/>
  </si>
  <si>
    <t>海通公司供货总金额：</t>
    <phoneticPr fontId="1" type="noConversion"/>
  </si>
  <si>
    <t>单价(元）</t>
    <phoneticPr fontId="1" type="noConversion"/>
  </si>
  <si>
    <t>金额（元）</t>
    <phoneticPr fontId="1" type="noConversion"/>
  </si>
  <si>
    <t>某超市商品销售情况</t>
    <phoneticPr fontId="1" type="noConversion"/>
  </si>
  <si>
    <t>&gt;=30</t>
    <phoneticPr fontId="1" type="noConversion"/>
  </si>
  <si>
    <t>&gt;=1000</t>
    <phoneticPr fontId="1" type="noConversion"/>
  </si>
  <si>
    <t>SP001</t>
  </si>
  <si>
    <t>海通公司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</si>
</sst>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7" formatCode="yyyy&quot;年&quot;m&quot;月&quot;d&quot;日&quot;;@"/>
    <numFmt numFmtId="178" formatCode="_ &quot;¥&quot;* #,##0.0_ ;_ &quot;¥&quot;* \-#,##0.0_ ;_ &quot;¥&quot;* &quot;-&quot;?_ ;_ @_ "/>
  </numFmts>
  <fonts count="3" x14ac:knownFonts="1">
    <font>
      <sz val="12"/>
      <name val="宋体"/>
      <charset val="134"/>
    </font>
    <font>
      <sz val="9"/>
      <name val="宋体"/>
      <charset val="134"/>
    </font>
    <font>
      <b/>
      <sz val="14"/>
      <name val="隶书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77" fontId="0" fillId="0" borderId="0" xfId="0" applyNumberFormat="1"/>
    <xf numFmtId="178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I8" sqref="I8"/>
    </sheetView>
  </sheetViews>
  <sheetFormatPr defaultRowHeight="14.25" x14ac:dyDescent="0.15"/>
  <cols>
    <col min="1" max="2" width="9.5" bestFit="1" customWidth="1"/>
    <col min="3" max="3" width="15" bestFit="1" customWidth="1"/>
    <col min="4" max="4" width="5.5" bestFit="1" customWidth="1"/>
    <col min="5" max="5" width="10.5" bestFit="1" customWidth="1"/>
    <col min="6" max="6" width="13.875" bestFit="1" customWidth="1"/>
    <col min="8" max="8" width="12.5" customWidth="1"/>
    <col min="9" max="9" width="11" customWidth="1"/>
    <col min="10" max="10" width="13.875" bestFit="1" customWidth="1"/>
  </cols>
  <sheetData>
    <row r="1" spans="1:10" x14ac:dyDescent="0.15">
      <c r="A1" s="12" t="s">
        <v>17</v>
      </c>
      <c r="B1" s="12"/>
      <c r="C1" s="12"/>
      <c r="D1" s="12"/>
      <c r="E1" s="12"/>
      <c r="F1" s="12"/>
    </row>
    <row r="2" spans="1:10" x14ac:dyDescent="0.15">
      <c r="A2" t="s">
        <v>5</v>
      </c>
      <c r="B2" t="s">
        <v>0</v>
      </c>
      <c r="C2" t="s">
        <v>1</v>
      </c>
      <c r="D2" t="s">
        <v>2</v>
      </c>
      <c r="E2" t="s">
        <v>15</v>
      </c>
      <c r="F2" t="s">
        <v>16</v>
      </c>
    </row>
    <row r="3" spans="1:10" x14ac:dyDescent="0.15">
      <c r="A3" t="s">
        <v>6</v>
      </c>
      <c r="B3" t="s">
        <v>13</v>
      </c>
      <c r="C3" s="1">
        <v>39479</v>
      </c>
      <c r="D3">
        <v>30</v>
      </c>
      <c r="E3">
        <v>1100</v>
      </c>
      <c r="F3" s="2">
        <f t="shared" ref="F3:F9" si="0">D3*E3</f>
        <v>33000</v>
      </c>
    </row>
    <row r="4" spans="1:10" x14ac:dyDescent="0.15">
      <c r="A4" t="s">
        <v>7</v>
      </c>
      <c r="B4" t="s">
        <v>13</v>
      </c>
      <c r="C4" s="1">
        <v>39327</v>
      </c>
      <c r="D4">
        <v>10</v>
      </c>
      <c r="E4">
        <v>3800</v>
      </c>
      <c r="F4" s="2">
        <f t="shared" si="0"/>
        <v>38000</v>
      </c>
      <c r="H4" s="12" t="s">
        <v>14</v>
      </c>
      <c r="I4" s="12"/>
      <c r="J4" s="2">
        <f>SUMIF(B3:B9,"海通公司",F3:F9)</f>
        <v>78800</v>
      </c>
    </row>
    <row r="5" spans="1:10" x14ac:dyDescent="0.15">
      <c r="A5" t="s">
        <v>8</v>
      </c>
      <c r="B5" t="s">
        <v>3</v>
      </c>
      <c r="C5" s="1">
        <v>39672</v>
      </c>
      <c r="D5">
        <v>45</v>
      </c>
      <c r="E5">
        <v>125.5</v>
      </c>
      <c r="F5" s="2">
        <f t="shared" si="0"/>
        <v>5647.5</v>
      </c>
    </row>
    <row r="6" spans="1:10" x14ac:dyDescent="0.15">
      <c r="A6" t="s">
        <v>9</v>
      </c>
      <c r="B6" t="s">
        <v>3</v>
      </c>
      <c r="C6" s="1">
        <v>39976</v>
      </c>
      <c r="D6">
        <v>50</v>
      </c>
      <c r="E6">
        <v>450</v>
      </c>
      <c r="F6" s="2">
        <f t="shared" si="0"/>
        <v>22500</v>
      </c>
    </row>
    <row r="7" spans="1:10" x14ac:dyDescent="0.15">
      <c r="A7" t="s">
        <v>10</v>
      </c>
      <c r="B7" t="s">
        <v>4</v>
      </c>
      <c r="C7" s="1">
        <v>39659</v>
      </c>
      <c r="D7">
        <v>12</v>
      </c>
      <c r="E7">
        <v>132</v>
      </c>
      <c r="F7" s="2">
        <f t="shared" si="0"/>
        <v>1584</v>
      </c>
    </row>
    <row r="8" spans="1:10" x14ac:dyDescent="0.15">
      <c r="A8" t="s">
        <v>11</v>
      </c>
      <c r="B8" t="s">
        <v>13</v>
      </c>
      <c r="C8" s="1">
        <v>39588</v>
      </c>
      <c r="D8">
        <v>50</v>
      </c>
      <c r="E8">
        <v>156</v>
      </c>
      <c r="F8" s="2">
        <f t="shared" si="0"/>
        <v>7800</v>
      </c>
    </row>
    <row r="9" spans="1:10" x14ac:dyDescent="0.15">
      <c r="A9" t="s">
        <v>12</v>
      </c>
      <c r="B9" t="s">
        <v>4</v>
      </c>
      <c r="C9" s="1">
        <v>39493</v>
      </c>
      <c r="D9">
        <v>50</v>
      </c>
      <c r="E9">
        <v>58.5</v>
      </c>
      <c r="F9" s="2">
        <f t="shared" si="0"/>
        <v>2925</v>
      </c>
    </row>
    <row r="10" spans="1:10" x14ac:dyDescent="0.15">
      <c r="F10" s="2"/>
    </row>
    <row r="11" spans="1:10" x14ac:dyDescent="0.15">
      <c r="A11" t="s">
        <v>5</v>
      </c>
      <c r="B11" t="s">
        <v>0</v>
      </c>
      <c r="C11" t="s">
        <v>1</v>
      </c>
      <c r="D11" t="s">
        <v>2</v>
      </c>
      <c r="E11" t="s">
        <v>15</v>
      </c>
      <c r="F11" t="s">
        <v>16</v>
      </c>
    </row>
    <row r="12" spans="1:10" x14ac:dyDescent="0.15">
      <c r="D12" t="s">
        <v>18</v>
      </c>
    </row>
    <row r="13" spans="1:10" x14ac:dyDescent="0.15">
      <c r="E13" t="s">
        <v>19</v>
      </c>
    </row>
    <row r="15" spans="1:10" x14ac:dyDescent="0.15">
      <c r="A15" t="s">
        <v>5</v>
      </c>
      <c r="B15" t="s">
        <v>0</v>
      </c>
      <c r="C15" t="s">
        <v>1</v>
      </c>
      <c r="D15" t="s">
        <v>2</v>
      </c>
      <c r="E15" t="s">
        <v>15</v>
      </c>
      <c r="F15" t="s">
        <v>16</v>
      </c>
    </row>
    <row r="16" spans="1:10" x14ac:dyDescent="0.15">
      <c r="A16" t="s">
        <v>6</v>
      </c>
      <c r="B16" t="s">
        <v>13</v>
      </c>
      <c r="C16" s="1">
        <v>39479</v>
      </c>
      <c r="D16">
        <v>30</v>
      </c>
      <c r="E16">
        <v>1100</v>
      </c>
      <c r="F16" s="2">
        <v>33000</v>
      </c>
    </row>
    <row r="17" spans="1:6" x14ac:dyDescent="0.15">
      <c r="A17" t="s">
        <v>7</v>
      </c>
      <c r="B17" t="s">
        <v>13</v>
      </c>
      <c r="C17" s="1">
        <v>39327</v>
      </c>
      <c r="D17">
        <v>10</v>
      </c>
      <c r="E17">
        <v>3800</v>
      </c>
      <c r="F17" s="2">
        <v>38000</v>
      </c>
    </row>
    <row r="18" spans="1:6" x14ac:dyDescent="0.15">
      <c r="A18" t="s">
        <v>8</v>
      </c>
      <c r="B18" t="s">
        <v>3</v>
      </c>
      <c r="C18" s="1">
        <v>39672</v>
      </c>
      <c r="D18">
        <v>45</v>
      </c>
      <c r="E18">
        <v>125.5</v>
      </c>
      <c r="F18" s="2">
        <v>5647.5</v>
      </c>
    </row>
    <row r="19" spans="1:6" x14ac:dyDescent="0.15">
      <c r="A19" t="s">
        <v>9</v>
      </c>
      <c r="B19" t="s">
        <v>3</v>
      </c>
      <c r="C19" s="1">
        <v>39976</v>
      </c>
      <c r="D19">
        <v>50</v>
      </c>
      <c r="E19">
        <v>450</v>
      </c>
      <c r="F19" s="2">
        <v>22500</v>
      </c>
    </row>
    <row r="20" spans="1:6" x14ac:dyDescent="0.15">
      <c r="A20" t="s">
        <v>11</v>
      </c>
      <c r="B20" t="s">
        <v>13</v>
      </c>
      <c r="C20" s="1">
        <v>39588</v>
      </c>
      <c r="D20">
        <v>50</v>
      </c>
      <c r="E20">
        <v>156</v>
      </c>
      <c r="F20" s="2">
        <v>7800</v>
      </c>
    </row>
    <row r="21" spans="1:6" x14ac:dyDescent="0.15">
      <c r="A21" t="s">
        <v>12</v>
      </c>
      <c r="B21" t="s">
        <v>4</v>
      </c>
      <c r="C21" s="1">
        <v>39493</v>
      </c>
      <c r="D21">
        <v>50</v>
      </c>
      <c r="E21">
        <v>58.5</v>
      </c>
      <c r="F21" s="2">
        <v>2925</v>
      </c>
    </row>
  </sheetData>
  <mergeCells count="2">
    <mergeCell ref="H4:I4"/>
    <mergeCell ref="A1:F1"/>
  </mergeCells>
  <phoneticPr fontId="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H5" sqref="H5"/>
    </sheetView>
  </sheetViews>
  <sheetFormatPr defaultRowHeight="14.25" x14ac:dyDescent="0.15"/>
  <cols>
    <col min="1" max="2" width="12.5" bestFit="1" customWidth="1"/>
    <col min="3" max="3" width="7" bestFit="1" customWidth="1"/>
    <col min="4" max="4" width="14" bestFit="1" customWidth="1"/>
    <col min="5" max="5" width="15.375" bestFit="1" customWidth="1"/>
  </cols>
  <sheetData>
    <row r="1" spans="1:5" ht="18.75" x14ac:dyDescent="0.25">
      <c r="A1" s="3" t="s">
        <v>5</v>
      </c>
      <c r="B1" s="4" t="s">
        <v>0</v>
      </c>
      <c r="C1" s="4" t="s">
        <v>2</v>
      </c>
      <c r="D1" s="4" t="s">
        <v>15</v>
      </c>
      <c r="E1" s="5" t="s">
        <v>16</v>
      </c>
    </row>
    <row r="2" spans="1:5" ht="18.75" x14ac:dyDescent="0.25">
      <c r="A2" s="6" t="s">
        <v>7</v>
      </c>
      <c r="B2" s="7" t="s">
        <v>21</v>
      </c>
      <c r="C2" s="7">
        <v>10</v>
      </c>
      <c r="D2" s="7">
        <v>3800</v>
      </c>
      <c r="E2" s="8">
        <v>38000</v>
      </c>
    </row>
    <row r="3" spans="1:5" ht="18.75" x14ac:dyDescent="0.25">
      <c r="A3" s="6" t="s">
        <v>20</v>
      </c>
      <c r="B3" s="7" t="s">
        <v>21</v>
      </c>
      <c r="C3" s="7">
        <v>30</v>
      </c>
      <c r="D3" s="7">
        <v>1100</v>
      </c>
      <c r="E3" s="8">
        <v>33000</v>
      </c>
    </row>
    <row r="4" spans="1:5" ht="18.75" x14ac:dyDescent="0.25">
      <c r="A4" s="6" t="s">
        <v>9</v>
      </c>
      <c r="B4" s="7" t="s">
        <v>3</v>
      </c>
      <c r="C4" s="7">
        <v>50</v>
      </c>
      <c r="D4" s="7">
        <v>450</v>
      </c>
      <c r="E4" s="8">
        <v>22500</v>
      </c>
    </row>
    <row r="5" spans="1:5" ht="18.75" x14ac:dyDescent="0.25">
      <c r="A5" s="6" t="s">
        <v>11</v>
      </c>
      <c r="B5" s="7" t="s">
        <v>21</v>
      </c>
      <c r="C5" s="7">
        <v>50</v>
      </c>
      <c r="D5" s="7">
        <v>156</v>
      </c>
      <c r="E5" s="8">
        <v>7800</v>
      </c>
    </row>
    <row r="6" spans="1:5" ht="18.75" x14ac:dyDescent="0.25">
      <c r="A6" s="6" t="s">
        <v>8</v>
      </c>
      <c r="B6" s="7" t="s">
        <v>3</v>
      </c>
      <c r="C6" s="7">
        <v>45</v>
      </c>
      <c r="D6" s="7">
        <v>125.5</v>
      </c>
      <c r="E6" s="8">
        <v>5647.5</v>
      </c>
    </row>
    <row r="7" spans="1:5" ht="18.75" x14ac:dyDescent="0.25">
      <c r="A7" s="6" t="s">
        <v>12</v>
      </c>
      <c r="B7" s="7" t="s">
        <v>4</v>
      </c>
      <c r="C7" s="7">
        <v>50</v>
      </c>
      <c r="D7" s="7">
        <v>58.5</v>
      </c>
      <c r="E7" s="8">
        <v>2925</v>
      </c>
    </row>
    <row r="8" spans="1:5" ht="19.5" thickBot="1" x14ac:dyDescent="0.3">
      <c r="A8" s="9" t="s">
        <v>10</v>
      </c>
      <c r="B8" s="10" t="s">
        <v>4</v>
      </c>
      <c r="C8" s="10">
        <v>12</v>
      </c>
      <c r="D8" s="10">
        <v>132</v>
      </c>
      <c r="E8" s="11">
        <v>1584</v>
      </c>
    </row>
  </sheetData>
  <phoneticPr fontId="1" type="noConversion"/>
  <printOptions verticalCentered="1"/>
  <pageMargins left="1.1811023622047245" right="1.1811023622047245" top="1.1811023622047245" bottom="1.1811023622047245" header="0.51181102362204722" footer="0.51181102362204722"/>
  <pageSetup paperSize="9" scale="120" orientation="portrait" horizontalDpi="200" verticalDpi="200" r:id="rId1"/>
  <headerFooter alignWithMargins="0">
    <oddHeader>&amp;C某超市商品销售情况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Sheet1!Criteria</vt:lpstr>
      <vt:lpstr>Sheet1!提取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2010-03-02T03:02:01Z</cp:lastPrinted>
  <dcterms:created xsi:type="dcterms:W3CDTF">1996-12-17T01:32:42Z</dcterms:created>
  <dcterms:modified xsi:type="dcterms:W3CDTF">2019-09-16T01:53:38Z</dcterms:modified>
</cp:coreProperties>
</file>