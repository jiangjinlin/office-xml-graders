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75" yWindow="3000" windowWidth="14805" windowHeight="7950"/>
  </bookViews>
  <sheets>
    <sheet name="Sheet1" sheetId="1" r:id="rId1"/>
    <sheet name="手机各季度销售量表" sheetId="2" r:id="rId2"/>
    <sheet name="华为手机各季度销售量分析表" sheetId="3" r:id="rId3"/>
    <sheet name="筛选" sheetId="4" r:id="rId4"/>
    <sheet name="分类汇总" sheetId="5" r:id="rId5"/>
    <sheet name="图表" sheetId="6" r:id="rId6"/>
  </sheets>
  <definedNames>
    <definedName name="_xlnm.Criteria" localSheetId="3">筛选!$A$1:$B$2</definedName>
    <definedName name="_xlnm.Extract" localSheetId="3">筛选!$C$6:$J$6</definedName>
  </definedNames>
  <calcPr calcId="144525"/>
</workbook>
</file>

<file path=xl/calcChain.xml><?xml version="1.0" encoding="utf-8"?>
<calcChain xmlns="http://schemas.openxmlformats.org/spreadsheetml/2006/main">
  <c r="C5" i="3" l="1"/>
  <c r="C4" i="3"/>
  <c r="B5" i="3"/>
  <c r="B4" i="3"/>
  <c r="H16" i="5" l="1"/>
  <c r="C16" i="5"/>
  <c r="H11" i="5"/>
  <c r="C11" i="5"/>
  <c r="C17" i="5" s="1"/>
  <c r="H6" i="5"/>
  <c r="H17" i="5" s="1"/>
  <c r="C6" i="5"/>
  <c r="C3" i="3" l="1"/>
  <c r="B3" i="3"/>
</calcChain>
</file>

<file path=xl/sharedStrings.xml><?xml version="1.0" encoding="utf-8"?>
<sst xmlns="http://schemas.openxmlformats.org/spreadsheetml/2006/main" count="126" uniqueCount="37">
  <si>
    <t>分店名称</t>
  </si>
  <si>
    <t>季度</t>
  </si>
  <si>
    <t>第一季度</t>
  </si>
  <si>
    <t>第二季度</t>
  </si>
  <si>
    <t>第三季度</t>
  </si>
  <si>
    <t>第四季度</t>
  </si>
  <si>
    <t>北京路分店</t>
  </si>
  <si>
    <t>南京路分店</t>
  </si>
  <si>
    <t>上海路分店</t>
  </si>
  <si>
    <t>VIVO</t>
    <phoneticPr fontId="1" type="noConversion"/>
  </si>
  <si>
    <t>金正</t>
    <phoneticPr fontId="1" type="noConversion"/>
  </si>
  <si>
    <t>OPPO</t>
    <phoneticPr fontId="1" type="noConversion"/>
  </si>
  <si>
    <t>中兴</t>
    <phoneticPr fontId="1" type="noConversion"/>
  </si>
  <si>
    <t>三星</t>
    <phoneticPr fontId="1" type="noConversion"/>
  </si>
  <si>
    <t>华为</t>
    <phoneticPr fontId="1" type="noConversion"/>
  </si>
  <si>
    <t>上海路分店</t>
    <phoneticPr fontId="1" type="noConversion"/>
  </si>
  <si>
    <t>华为手机各季度销售量分析表</t>
    <phoneticPr fontId="3" type="noConversion"/>
  </si>
  <si>
    <t>最高销售量</t>
    <phoneticPr fontId="3" type="noConversion"/>
  </si>
  <si>
    <t>平均销售量</t>
    <phoneticPr fontId="3" type="noConversion"/>
  </si>
  <si>
    <t>北京路分店</t>
    <phoneticPr fontId="3" type="noConversion"/>
  </si>
  <si>
    <t>上海路分店</t>
    <phoneticPr fontId="3" type="noConversion"/>
  </si>
  <si>
    <t>南京路分店</t>
    <phoneticPr fontId="3" type="noConversion"/>
  </si>
  <si>
    <t>华联商场各分店2018年品牌手机销售量统计表</t>
    <phoneticPr fontId="1" type="noConversion"/>
  </si>
  <si>
    <t>分店名称</t>
    <phoneticPr fontId="1" type="noConversion"/>
  </si>
  <si>
    <t>南京路分店</t>
    <phoneticPr fontId="1" type="noConversion"/>
  </si>
  <si>
    <t>华为</t>
    <phoneticPr fontId="1" type="noConversion"/>
  </si>
  <si>
    <t>&gt;4000</t>
    <phoneticPr fontId="1" type="noConversion"/>
  </si>
  <si>
    <t>VIVO</t>
  </si>
  <si>
    <t>三星</t>
  </si>
  <si>
    <t>OPPO</t>
  </si>
  <si>
    <t>中兴</t>
  </si>
  <si>
    <t>金正</t>
  </si>
  <si>
    <t>华为</t>
  </si>
  <si>
    <t>北京路分店 最大值</t>
  </si>
  <si>
    <t>上海路分店 最大值</t>
  </si>
  <si>
    <t>南京路分店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</si>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</sst>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_ "/>
  </numFmts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2"/>
      <color theme="3"/>
      <name val="微软雅黑"/>
      <family val="2"/>
      <charset val="134"/>
    </font>
    <font>
      <sz val="10"/>
      <color theme="1"/>
      <name val="仿宋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2060"/>
      </left>
      <right style="thin">
        <color theme="1"/>
      </right>
      <top style="double">
        <color rgb="FF00206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rgb="FF002060"/>
      </top>
      <bottom style="thin">
        <color theme="1"/>
      </bottom>
      <diagonal/>
    </border>
    <border>
      <left style="thin">
        <color theme="1"/>
      </left>
      <right style="double">
        <color rgb="FF002060"/>
      </right>
      <top style="double">
        <color rgb="FF002060"/>
      </top>
      <bottom style="thin">
        <color theme="1"/>
      </bottom>
      <diagonal/>
    </border>
    <border>
      <left style="double">
        <color rgb="FF00206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rgb="FF002060"/>
      </right>
      <top style="thin">
        <color theme="1"/>
      </top>
      <bottom style="thin">
        <color theme="1"/>
      </bottom>
      <diagonal/>
    </border>
    <border>
      <left style="double">
        <color rgb="FF002060"/>
      </left>
      <right style="thin">
        <color theme="1"/>
      </right>
      <top style="thin">
        <color theme="1"/>
      </top>
      <bottom style="double">
        <color rgb="FF00206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002060"/>
      </bottom>
      <diagonal/>
    </border>
    <border>
      <left style="thin">
        <color theme="1"/>
      </left>
      <right style="double">
        <color rgb="FF002060"/>
      </right>
      <top style="thin">
        <color theme="1"/>
      </top>
      <bottom style="double">
        <color rgb="FF002060"/>
      </bottom>
      <diagonal/>
    </border>
    <border>
      <left style="double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double">
        <color rgb="FF002060"/>
      </right>
      <top style="double">
        <color rgb="FF002060"/>
      </top>
      <bottom style="thin">
        <color rgb="FF002060"/>
      </bottom>
      <diagonal/>
    </border>
    <border>
      <left style="double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double">
        <color rgb="FF002060"/>
      </right>
      <top style="thin">
        <color rgb="FF002060"/>
      </top>
      <bottom style="thin">
        <color rgb="FF002060"/>
      </bottom>
      <diagonal/>
    </border>
    <border>
      <left style="double">
        <color rgb="FF002060"/>
      </left>
      <right style="thin">
        <color rgb="FF002060"/>
      </right>
      <top style="thin">
        <color rgb="FF002060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double">
        <color rgb="FF002060"/>
      </bottom>
      <diagonal/>
    </border>
    <border>
      <left style="thin">
        <color rgb="FF002060"/>
      </left>
      <right style="double">
        <color rgb="FF002060"/>
      </right>
      <top style="thin">
        <color rgb="FF002060"/>
      </top>
      <bottom style="double">
        <color rgb="FF00206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0" borderId="0" xfId="0" applyFont="1"/>
    <xf numFmtId="177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各分店华为手机销售量比较图</a:t>
            </a:r>
            <a:endParaRPr lang="zh-CN" alt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华为手机各季度销售量分析表!$B$2</c:f>
              <c:strCache>
                <c:ptCount val="1"/>
                <c:pt idx="0">
                  <c:v>最高销售量</c:v>
                </c:pt>
              </c:strCache>
            </c:strRef>
          </c:tx>
          <c:invertIfNegative val="0"/>
          <c:cat>
            <c:strRef>
              <c:f>华为手机各季度销售量分析表!$A$3:$A$5</c:f>
              <c:strCache>
                <c:ptCount val="3"/>
                <c:pt idx="0">
                  <c:v>北京路分店</c:v>
                </c:pt>
                <c:pt idx="1">
                  <c:v>上海路分店</c:v>
                </c:pt>
                <c:pt idx="2">
                  <c:v>南京路分店</c:v>
                </c:pt>
              </c:strCache>
            </c:strRef>
          </c:cat>
          <c:val>
            <c:numRef>
              <c:f>华为手机各季度销售量分析表!$B$3:$B$5</c:f>
              <c:numCache>
                <c:formatCode>General</c:formatCode>
                <c:ptCount val="3"/>
                <c:pt idx="0">
                  <c:v>5100</c:v>
                </c:pt>
                <c:pt idx="1">
                  <c:v>5000</c:v>
                </c:pt>
                <c:pt idx="2">
                  <c:v>5500</c:v>
                </c:pt>
              </c:numCache>
            </c:numRef>
          </c:val>
        </c:ser>
        <c:ser>
          <c:idx val="1"/>
          <c:order val="1"/>
          <c:tx>
            <c:strRef>
              <c:f>华为手机各季度销售量分析表!$C$2</c:f>
              <c:strCache>
                <c:ptCount val="1"/>
                <c:pt idx="0">
                  <c:v>平均销售量</c:v>
                </c:pt>
              </c:strCache>
            </c:strRef>
          </c:tx>
          <c:invertIfNegative val="0"/>
          <c:cat>
            <c:strRef>
              <c:f>华为手机各季度销售量分析表!$A$3:$A$5</c:f>
              <c:strCache>
                <c:ptCount val="3"/>
                <c:pt idx="0">
                  <c:v>北京路分店</c:v>
                </c:pt>
                <c:pt idx="1">
                  <c:v>上海路分店</c:v>
                </c:pt>
                <c:pt idx="2">
                  <c:v>南京路分店</c:v>
                </c:pt>
              </c:strCache>
            </c:strRef>
          </c:cat>
          <c:val>
            <c:numRef>
              <c:f>华为手机各季度销售量分析表!$C$3:$C$5</c:f>
              <c:numCache>
                <c:formatCode>0.0_ </c:formatCode>
                <c:ptCount val="3"/>
                <c:pt idx="0">
                  <c:v>4875</c:v>
                </c:pt>
                <c:pt idx="1">
                  <c:v>4562.5</c:v>
                </c:pt>
                <c:pt idx="2">
                  <c:v>4867.5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138113792"/>
        <c:axId val="138115328"/>
        <c:axId val="0"/>
      </c:bar3DChart>
      <c:catAx>
        <c:axId val="13811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8115328"/>
        <c:crosses val="autoZero"/>
        <c:auto val="1"/>
        <c:lblAlgn val="ctr"/>
        <c:lblOffset val="100"/>
        <c:noMultiLvlLbl val="0"/>
      </c:catAx>
      <c:valAx>
        <c:axId val="13811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11379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7</xdr:col>
      <xdr:colOff>457200</xdr:colOff>
      <xdr:row>19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16" sqref="E16"/>
    </sheetView>
  </sheetViews>
  <sheetFormatPr defaultRowHeight="13.5"/>
  <cols>
    <col min="1" max="1" width="16.625" customWidth="1"/>
    <col min="2" max="2" width="11" customWidth="1"/>
    <col min="3" max="3" width="8.375" customWidth="1"/>
  </cols>
  <sheetData>
    <row r="1" spans="1:8" ht="26.1" customHeight="1" thickBot="1">
      <c r="A1" s="14" t="s">
        <v>22</v>
      </c>
      <c r="B1" s="15"/>
      <c r="C1" s="15"/>
      <c r="D1" s="15"/>
      <c r="E1" s="15"/>
      <c r="F1" s="15"/>
      <c r="G1" s="15"/>
      <c r="H1" s="15"/>
    </row>
    <row r="2" spans="1:8" ht="14.25" thickTop="1">
      <c r="A2" s="17" t="s">
        <v>0</v>
      </c>
      <c r="B2" s="18" t="s">
        <v>1</v>
      </c>
      <c r="C2" s="18" t="s">
        <v>9</v>
      </c>
      <c r="D2" s="18" t="s">
        <v>13</v>
      </c>
      <c r="E2" s="18" t="s">
        <v>11</v>
      </c>
      <c r="F2" s="18" t="s">
        <v>12</v>
      </c>
      <c r="G2" s="18" t="s">
        <v>10</v>
      </c>
      <c r="H2" s="19" t="s">
        <v>14</v>
      </c>
    </row>
    <row r="3" spans="1:8">
      <c r="A3" s="20" t="s">
        <v>15</v>
      </c>
      <c r="B3" s="21" t="s">
        <v>4</v>
      </c>
      <c r="C3" s="21">
        <v>4950</v>
      </c>
      <c r="D3" s="21">
        <v>1470</v>
      </c>
      <c r="E3" s="21">
        <v>3100</v>
      </c>
      <c r="F3" s="21">
        <v>1050</v>
      </c>
      <c r="G3" s="21">
        <v>620</v>
      </c>
      <c r="H3" s="22">
        <v>4800</v>
      </c>
    </row>
    <row r="4" spans="1:8">
      <c r="A4" s="20" t="s">
        <v>7</v>
      </c>
      <c r="B4" s="21" t="s">
        <v>4</v>
      </c>
      <c r="C4" s="21">
        <v>4900</v>
      </c>
      <c r="D4" s="21">
        <v>1420</v>
      </c>
      <c r="E4" s="21">
        <v>2850</v>
      </c>
      <c r="F4" s="21">
        <v>1100</v>
      </c>
      <c r="G4" s="21">
        <v>610</v>
      </c>
      <c r="H4" s="22">
        <v>5120</v>
      </c>
    </row>
    <row r="5" spans="1:8">
      <c r="A5" s="20" t="s">
        <v>6</v>
      </c>
      <c r="B5" s="21" t="s">
        <v>2</v>
      </c>
      <c r="C5" s="21">
        <v>4600</v>
      </c>
      <c r="D5" s="21">
        <v>1400</v>
      </c>
      <c r="E5" s="21">
        <v>2800</v>
      </c>
      <c r="F5" s="21">
        <v>900</v>
      </c>
      <c r="G5" s="21">
        <v>500</v>
      </c>
      <c r="H5" s="22">
        <v>4900</v>
      </c>
    </row>
    <row r="6" spans="1:8">
      <c r="A6" s="20" t="s">
        <v>7</v>
      </c>
      <c r="B6" s="21" t="s">
        <v>5</v>
      </c>
      <c r="C6" s="21">
        <v>5200</v>
      </c>
      <c r="D6" s="21">
        <v>1325</v>
      </c>
      <c r="E6" s="21">
        <v>3150</v>
      </c>
      <c r="F6" s="21">
        <v>1110</v>
      </c>
      <c r="G6" s="21">
        <v>530</v>
      </c>
      <c r="H6" s="22">
        <v>4950</v>
      </c>
    </row>
    <row r="7" spans="1:8">
      <c r="A7" s="20" t="s">
        <v>6</v>
      </c>
      <c r="B7" s="21" t="s">
        <v>3</v>
      </c>
      <c r="C7" s="21">
        <v>4680</v>
      </c>
      <c r="D7" s="21">
        <v>1320</v>
      </c>
      <c r="E7" s="21">
        <v>2980</v>
      </c>
      <c r="F7" s="21">
        <v>950</v>
      </c>
      <c r="G7" s="21">
        <v>650</v>
      </c>
      <c r="H7" s="22">
        <v>4800</v>
      </c>
    </row>
    <row r="8" spans="1:8">
      <c r="A8" s="20" t="s">
        <v>7</v>
      </c>
      <c r="B8" s="21" t="s">
        <v>2</v>
      </c>
      <c r="C8" s="21">
        <v>4800</v>
      </c>
      <c r="D8" s="21">
        <v>1300</v>
      </c>
      <c r="E8" s="21">
        <v>2900</v>
      </c>
      <c r="F8" s="21">
        <v>800</v>
      </c>
      <c r="G8" s="21">
        <v>600</v>
      </c>
      <c r="H8" s="22">
        <v>3900</v>
      </c>
    </row>
    <row r="9" spans="1:8">
      <c r="A9" s="20" t="s">
        <v>7</v>
      </c>
      <c r="B9" s="21" t="s">
        <v>3</v>
      </c>
      <c r="C9" s="21">
        <v>4750</v>
      </c>
      <c r="D9" s="21">
        <v>1290</v>
      </c>
      <c r="E9" s="21">
        <v>2890</v>
      </c>
      <c r="F9" s="21">
        <v>970</v>
      </c>
      <c r="G9" s="21">
        <v>540</v>
      </c>
      <c r="H9" s="22">
        <v>5500</v>
      </c>
    </row>
    <row r="10" spans="1:8">
      <c r="A10" s="20" t="s">
        <v>6</v>
      </c>
      <c r="B10" s="21" t="s">
        <v>4</v>
      </c>
      <c r="C10" s="21">
        <v>4620</v>
      </c>
      <c r="D10" s="21">
        <v>1250</v>
      </c>
      <c r="E10" s="21">
        <v>2950</v>
      </c>
      <c r="F10" s="21">
        <v>910</v>
      </c>
      <c r="G10" s="21">
        <v>580</v>
      </c>
      <c r="H10" s="22">
        <v>4700</v>
      </c>
    </row>
    <row r="11" spans="1:8">
      <c r="A11" s="20" t="s">
        <v>8</v>
      </c>
      <c r="B11" s="21" t="s">
        <v>3</v>
      </c>
      <c r="C11" s="21">
        <v>4500</v>
      </c>
      <c r="D11" s="21">
        <v>1200</v>
      </c>
      <c r="E11" s="21">
        <v>2700</v>
      </c>
      <c r="F11" s="21">
        <v>850</v>
      </c>
      <c r="G11" s="21">
        <v>550</v>
      </c>
      <c r="H11" s="22">
        <v>4500</v>
      </c>
    </row>
    <row r="12" spans="1:8">
      <c r="A12" s="20" t="s">
        <v>6</v>
      </c>
      <c r="B12" s="21" t="s">
        <v>5</v>
      </c>
      <c r="C12" s="21">
        <v>4657</v>
      </c>
      <c r="D12" s="21">
        <v>1200</v>
      </c>
      <c r="E12" s="21">
        <v>2810</v>
      </c>
      <c r="F12" s="21">
        <v>880</v>
      </c>
      <c r="G12" s="21">
        <v>660</v>
      </c>
      <c r="H12" s="22">
        <v>5100</v>
      </c>
    </row>
    <row r="13" spans="1:8">
      <c r="A13" s="20" t="s">
        <v>8</v>
      </c>
      <c r="B13" s="21" t="s">
        <v>5</v>
      </c>
      <c r="C13" s="21">
        <v>4985</v>
      </c>
      <c r="D13" s="21">
        <v>1110</v>
      </c>
      <c r="E13" s="21">
        <v>2990</v>
      </c>
      <c r="F13" s="21">
        <v>908</v>
      </c>
      <c r="G13" s="21">
        <v>595</v>
      </c>
      <c r="H13" s="22">
        <v>3950</v>
      </c>
    </row>
    <row r="14" spans="1:8" ht="14.25" thickBot="1">
      <c r="A14" s="23" t="s">
        <v>8</v>
      </c>
      <c r="B14" s="24" t="s">
        <v>2</v>
      </c>
      <c r="C14" s="24">
        <v>5000</v>
      </c>
      <c r="D14" s="24">
        <v>1000</v>
      </c>
      <c r="E14" s="24">
        <v>3000</v>
      </c>
      <c r="F14" s="24">
        <v>1000</v>
      </c>
      <c r="G14" s="24">
        <v>400</v>
      </c>
      <c r="H14" s="25">
        <v>5000</v>
      </c>
    </row>
    <row r="15" spans="1:8" ht="14.25" thickTop="1"/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2" sqref="A2:H14"/>
    </sheetView>
  </sheetViews>
  <sheetFormatPr defaultRowHeight="13.5"/>
  <sheetData>
    <row r="1" spans="1:8" ht="18.75" thickBot="1">
      <c r="A1" s="14" t="s">
        <v>22</v>
      </c>
      <c r="B1" s="15"/>
      <c r="C1" s="15"/>
      <c r="D1" s="15"/>
      <c r="E1" s="15"/>
      <c r="F1" s="15"/>
      <c r="G1" s="15"/>
      <c r="H1" s="15"/>
    </row>
    <row r="2" spans="1:8" ht="14.25" thickTop="1">
      <c r="A2" s="2" t="s">
        <v>0</v>
      </c>
      <c r="B2" s="3" t="s">
        <v>1</v>
      </c>
      <c r="C2" s="3" t="s">
        <v>9</v>
      </c>
      <c r="D2" s="3" t="s">
        <v>13</v>
      </c>
      <c r="E2" s="3" t="s">
        <v>11</v>
      </c>
      <c r="F2" s="3" t="s">
        <v>12</v>
      </c>
      <c r="G2" s="3" t="s">
        <v>10</v>
      </c>
      <c r="H2" s="4" t="s">
        <v>14</v>
      </c>
    </row>
    <row r="3" spans="1:8">
      <c r="A3" s="5" t="s">
        <v>6</v>
      </c>
      <c r="B3" s="6" t="s">
        <v>2</v>
      </c>
      <c r="C3" s="6">
        <v>4600</v>
      </c>
      <c r="D3" s="6">
        <v>1400</v>
      </c>
      <c r="E3" s="6">
        <v>2800</v>
      </c>
      <c r="F3" s="6">
        <v>900</v>
      </c>
      <c r="G3" s="6">
        <v>500</v>
      </c>
      <c r="H3" s="7">
        <v>4900</v>
      </c>
    </row>
    <row r="4" spans="1:8">
      <c r="A4" s="5" t="s">
        <v>6</v>
      </c>
      <c r="B4" s="6" t="s">
        <v>3</v>
      </c>
      <c r="C4" s="6">
        <v>4680</v>
      </c>
      <c r="D4" s="6">
        <v>1320</v>
      </c>
      <c r="E4" s="6">
        <v>2980</v>
      </c>
      <c r="F4" s="6">
        <v>950</v>
      </c>
      <c r="G4" s="6">
        <v>650</v>
      </c>
      <c r="H4" s="7">
        <v>4800</v>
      </c>
    </row>
    <row r="5" spans="1:8">
      <c r="A5" s="5" t="s">
        <v>6</v>
      </c>
      <c r="B5" s="6" t="s">
        <v>4</v>
      </c>
      <c r="C5" s="6">
        <v>4620</v>
      </c>
      <c r="D5" s="6">
        <v>1250</v>
      </c>
      <c r="E5" s="6">
        <v>2950</v>
      </c>
      <c r="F5" s="6">
        <v>910</v>
      </c>
      <c r="G5" s="6">
        <v>580</v>
      </c>
      <c r="H5" s="7">
        <v>4700</v>
      </c>
    </row>
    <row r="6" spans="1:8">
      <c r="A6" s="5" t="s">
        <v>6</v>
      </c>
      <c r="B6" s="6" t="s">
        <v>5</v>
      </c>
      <c r="C6" s="6">
        <v>4657</v>
      </c>
      <c r="D6" s="6">
        <v>1200</v>
      </c>
      <c r="E6" s="6">
        <v>2810</v>
      </c>
      <c r="F6" s="6">
        <v>880</v>
      </c>
      <c r="G6" s="6">
        <v>660</v>
      </c>
      <c r="H6" s="7">
        <v>5100</v>
      </c>
    </row>
    <row r="7" spans="1:8">
      <c r="A7" s="5" t="s">
        <v>8</v>
      </c>
      <c r="B7" s="6" t="s">
        <v>2</v>
      </c>
      <c r="C7" s="6">
        <v>5000</v>
      </c>
      <c r="D7" s="6">
        <v>1000</v>
      </c>
      <c r="E7" s="6">
        <v>3000</v>
      </c>
      <c r="F7" s="6">
        <v>1000</v>
      </c>
      <c r="G7" s="6">
        <v>400</v>
      </c>
      <c r="H7" s="7">
        <v>5000</v>
      </c>
    </row>
    <row r="8" spans="1:8">
      <c r="A8" s="5" t="s">
        <v>8</v>
      </c>
      <c r="B8" s="6" t="s">
        <v>3</v>
      </c>
      <c r="C8" s="6">
        <v>4500</v>
      </c>
      <c r="D8" s="6">
        <v>1200</v>
      </c>
      <c r="E8" s="6">
        <v>2700</v>
      </c>
      <c r="F8" s="6">
        <v>850</v>
      </c>
      <c r="G8" s="6">
        <v>550</v>
      </c>
      <c r="H8" s="7">
        <v>4500</v>
      </c>
    </row>
    <row r="9" spans="1:8">
      <c r="A9" s="5" t="s">
        <v>15</v>
      </c>
      <c r="B9" s="6" t="s">
        <v>4</v>
      </c>
      <c r="C9" s="6">
        <v>4950</v>
      </c>
      <c r="D9" s="6">
        <v>1470</v>
      </c>
      <c r="E9" s="6">
        <v>3100</v>
      </c>
      <c r="F9" s="6">
        <v>1050</v>
      </c>
      <c r="G9" s="6">
        <v>620</v>
      </c>
      <c r="H9" s="7">
        <v>4800</v>
      </c>
    </row>
    <row r="10" spans="1:8">
      <c r="A10" s="5" t="s">
        <v>8</v>
      </c>
      <c r="B10" s="6" t="s">
        <v>5</v>
      </c>
      <c r="C10" s="6">
        <v>4985</v>
      </c>
      <c r="D10" s="6">
        <v>1110</v>
      </c>
      <c r="E10" s="6">
        <v>2990</v>
      </c>
      <c r="F10" s="6">
        <v>908</v>
      </c>
      <c r="G10" s="6">
        <v>595</v>
      </c>
      <c r="H10" s="7">
        <v>3950</v>
      </c>
    </row>
    <row r="11" spans="1:8">
      <c r="A11" s="5" t="s">
        <v>7</v>
      </c>
      <c r="B11" s="6" t="s">
        <v>2</v>
      </c>
      <c r="C11" s="6">
        <v>4800</v>
      </c>
      <c r="D11" s="6">
        <v>1300</v>
      </c>
      <c r="E11" s="6">
        <v>2900</v>
      </c>
      <c r="F11" s="6">
        <v>800</v>
      </c>
      <c r="G11" s="6">
        <v>600</v>
      </c>
      <c r="H11" s="7">
        <v>3900</v>
      </c>
    </row>
    <row r="12" spans="1:8">
      <c r="A12" s="5" t="s">
        <v>7</v>
      </c>
      <c r="B12" s="6" t="s">
        <v>3</v>
      </c>
      <c r="C12" s="6">
        <v>4750</v>
      </c>
      <c r="D12" s="6">
        <v>1290</v>
      </c>
      <c r="E12" s="6">
        <v>2890</v>
      </c>
      <c r="F12" s="6">
        <v>970</v>
      </c>
      <c r="G12" s="6">
        <v>540</v>
      </c>
      <c r="H12" s="7">
        <v>5500</v>
      </c>
    </row>
    <row r="13" spans="1:8">
      <c r="A13" s="5" t="s">
        <v>7</v>
      </c>
      <c r="B13" s="6" t="s">
        <v>4</v>
      </c>
      <c r="C13" s="6">
        <v>4900</v>
      </c>
      <c r="D13" s="6">
        <v>1420</v>
      </c>
      <c r="E13" s="6">
        <v>2850</v>
      </c>
      <c r="F13" s="6">
        <v>1100</v>
      </c>
      <c r="G13" s="6">
        <v>610</v>
      </c>
      <c r="H13" s="7">
        <v>5120</v>
      </c>
    </row>
    <row r="14" spans="1:8" ht="14.25" thickBot="1">
      <c r="A14" s="8" t="s">
        <v>7</v>
      </c>
      <c r="B14" s="9" t="s">
        <v>5</v>
      </c>
      <c r="C14" s="9">
        <v>5200</v>
      </c>
      <c r="D14" s="9">
        <v>1325</v>
      </c>
      <c r="E14" s="9">
        <v>3150</v>
      </c>
      <c r="F14" s="9">
        <v>1110</v>
      </c>
      <c r="G14" s="9">
        <v>530</v>
      </c>
      <c r="H14" s="10">
        <v>4950</v>
      </c>
    </row>
    <row r="15" spans="1:8" ht="14.25" thickTop="1"/>
  </sheetData>
  <sortState sortMethod="stroke" ref="A3:H14">
    <sortCondition ref="A3:A14" customList="北京路分店,上海路分店,南京路分店"/>
    <sortCondition ref="B3:B14"/>
  </sortState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3" sqref="B3"/>
    </sheetView>
  </sheetViews>
  <sheetFormatPr defaultRowHeight="13.5"/>
  <cols>
    <col min="1" max="1" width="12.75" customWidth="1"/>
    <col min="2" max="2" width="15.875" customWidth="1"/>
    <col min="3" max="3" width="24.125" customWidth="1"/>
  </cols>
  <sheetData>
    <row r="1" spans="1:3" ht="42.75" customHeight="1">
      <c r="A1" s="16" t="s">
        <v>16</v>
      </c>
      <c r="B1" s="16"/>
      <c r="C1" s="16"/>
    </row>
    <row r="2" spans="1:3">
      <c r="A2" s="1"/>
      <c r="B2" s="1" t="s">
        <v>17</v>
      </c>
      <c r="C2" s="11" t="s">
        <v>18</v>
      </c>
    </row>
    <row r="3" spans="1:3">
      <c r="A3" s="1" t="s">
        <v>19</v>
      </c>
      <c r="B3" s="1">
        <f>MAX(手机各季度销售量表!$H$3:$H$6)</f>
        <v>5100</v>
      </c>
      <c r="C3" s="13">
        <f>AVERAGE(手机各季度销售量表!$H$3:$H$6)</f>
        <v>4875</v>
      </c>
    </row>
    <row r="4" spans="1:3">
      <c r="A4" s="1" t="s">
        <v>20</v>
      </c>
      <c r="B4" s="1">
        <f>MAX(手机各季度销售量表!$H$7:$H$10)</f>
        <v>5000</v>
      </c>
      <c r="C4" s="13">
        <f>AVERAGE(手机各季度销售量表!$H$7:$H$10)</f>
        <v>4562.5</v>
      </c>
    </row>
    <row r="5" spans="1:3">
      <c r="A5" s="1" t="s">
        <v>21</v>
      </c>
      <c r="B5" s="1">
        <f>MAX(手机各季度销售量表!$H$11:$H$14)</f>
        <v>5500</v>
      </c>
      <c r="C5" s="13">
        <f>AVERAGE(手机各季度销售量表!$H$11:$H$14)</f>
        <v>4867.5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D24" sqref="D24"/>
    </sheetView>
  </sheetViews>
  <sheetFormatPr defaultRowHeight="13.5"/>
  <sheetData>
    <row r="1" spans="1:10">
      <c r="A1" t="s">
        <v>23</v>
      </c>
      <c r="B1" t="s">
        <v>25</v>
      </c>
    </row>
    <row r="2" spans="1:10">
      <c r="A2" t="s">
        <v>24</v>
      </c>
      <c r="B2" t="s">
        <v>26</v>
      </c>
    </row>
    <row r="5" spans="1:10" ht="14.25" thickBot="1"/>
    <row r="6" spans="1:10" ht="14.25" thickTop="1">
      <c r="C6" s="2" t="s">
        <v>0</v>
      </c>
      <c r="D6" s="3" t="s">
        <v>1</v>
      </c>
      <c r="E6" s="3" t="s">
        <v>9</v>
      </c>
      <c r="F6" s="3" t="s">
        <v>13</v>
      </c>
      <c r="G6" s="3" t="s">
        <v>11</v>
      </c>
      <c r="H6" s="3" t="s">
        <v>12</v>
      </c>
      <c r="I6" s="3" t="s">
        <v>10</v>
      </c>
      <c r="J6" s="4" t="s">
        <v>14</v>
      </c>
    </row>
    <row r="7" spans="1:10">
      <c r="C7" s="5" t="s">
        <v>7</v>
      </c>
      <c r="D7" s="6" t="s">
        <v>4</v>
      </c>
      <c r="E7" s="6">
        <v>4900</v>
      </c>
      <c r="F7" s="6">
        <v>1420</v>
      </c>
      <c r="G7" s="6">
        <v>2850</v>
      </c>
      <c r="H7" s="6">
        <v>1100</v>
      </c>
      <c r="I7" s="6">
        <v>610</v>
      </c>
      <c r="J7" s="7">
        <v>5120</v>
      </c>
    </row>
    <row r="8" spans="1:10">
      <c r="C8" s="5" t="s">
        <v>7</v>
      </c>
      <c r="D8" s="6" t="s">
        <v>5</v>
      </c>
      <c r="E8" s="6">
        <v>5200</v>
      </c>
      <c r="F8" s="6">
        <v>1325</v>
      </c>
      <c r="G8" s="6">
        <v>3150</v>
      </c>
      <c r="H8" s="6">
        <v>1110</v>
      </c>
      <c r="I8" s="6">
        <v>530</v>
      </c>
      <c r="J8" s="7">
        <v>4950</v>
      </c>
    </row>
    <row r="9" spans="1:10">
      <c r="C9" s="5" t="s">
        <v>7</v>
      </c>
      <c r="D9" s="6" t="s">
        <v>3</v>
      </c>
      <c r="E9" s="6">
        <v>4750</v>
      </c>
      <c r="F9" s="6">
        <v>1290</v>
      </c>
      <c r="G9" s="6">
        <v>2890</v>
      </c>
      <c r="H9" s="6">
        <v>970</v>
      </c>
      <c r="I9" s="6">
        <v>540</v>
      </c>
      <c r="J9" s="7">
        <v>5500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A16"/>
    </sheetView>
  </sheetViews>
  <sheetFormatPr defaultRowHeight="13.5" outlineLevelRow="2"/>
  <sheetData>
    <row r="1" spans="1:8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hidden="1" outlineLevel="2">
      <c r="A2" t="s">
        <v>6</v>
      </c>
      <c r="B2" t="s">
        <v>2</v>
      </c>
      <c r="C2">
        <v>4600</v>
      </c>
      <c r="D2">
        <v>1400</v>
      </c>
      <c r="E2">
        <v>2800</v>
      </c>
      <c r="F2">
        <v>900</v>
      </c>
      <c r="G2">
        <v>500</v>
      </c>
      <c r="H2">
        <v>4900</v>
      </c>
    </row>
    <row r="3" spans="1:8" hidden="1" outlineLevel="2">
      <c r="A3" t="s">
        <v>6</v>
      </c>
      <c r="B3" t="s">
        <v>3</v>
      </c>
      <c r="C3">
        <v>4680</v>
      </c>
      <c r="D3">
        <v>1320</v>
      </c>
      <c r="E3">
        <v>2980</v>
      </c>
      <c r="F3">
        <v>950</v>
      </c>
      <c r="G3">
        <v>650</v>
      </c>
      <c r="H3">
        <v>4800</v>
      </c>
    </row>
    <row r="4" spans="1:8" hidden="1" outlineLevel="2">
      <c r="A4" t="s">
        <v>6</v>
      </c>
      <c r="B4" t="s">
        <v>4</v>
      </c>
      <c r="C4">
        <v>4620</v>
      </c>
      <c r="D4">
        <v>1250</v>
      </c>
      <c r="E4">
        <v>2950</v>
      </c>
      <c r="F4">
        <v>910</v>
      </c>
      <c r="G4">
        <v>580</v>
      </c>
      <c r="H4">
        <v>4700</v>
      </c>
    </row>
    <row r="5" spans="1:8" hidden="1" outlineLevel="2">
      <c r="A5" t="s">
        <v>6</v>
      </c>
      <c r="B5" t="s">
        <v>5</v>
      </c>
      <c r="C5">
        <v>4657</v>
      </c>
      <c r="D5">
        <v>1200</v>
      </c>
      <c r="E5">
        <v>2810</v>
      </c>
      <c r="F5">
        <v>880</v>
      </c>
      <c r="G5">
        <v>660</v>
      </c>
      <c r="H5">
        <v>5100</v>
      </c>
    </row>
    <row r="6" spans="1:8" outlineLevel="1" collapsed="1">
      <c r="A6" s="12" t="s">
        <v>33</v>
      </c>
      <c r="C6">
        <f>SUBTOTAL(4,C2:C5)</f>
        <v>4680</v>
      </c>
      <c r="H6">
        <f>SUBTOTAL(4,H2:H5)</f>
        <v>5100</v>
      </c>
    </row>
    <row r="7" spans="1:8" hidden="1" outlineLevel="2">
      <c r="A7" t="s">
        <v>8</v>
      </c>
      <c r="B7" t="s">
        <v>2</v>
      </c>
      <c r="C7">
        <v>5000</v>
      </c>
      <c r="D7">
        <v>1000</v>
      </c>
      <c r="E7">
        <v>3000</v>
      </c>
      <c r="F7">
        <v>1000</v>
      </c>
      <c r="G7">
        <v>400</v>
      </c>
      <c r="H7">
        <v>5000</v>
      </c>
    </row>
    <row r="8" spans="1:8" hidden="1" outlineLevel="2">
      <c r="A8" t="s">
        <v>8</v>
      </c>
      <c r="B8" t="s">
        <v>3</v>
      </c>
      <c r="C8">
        <v>4500</v>
      </c>
      <c r="D8">
        <v>1200</v>
      </c>
      <c r="E8">
        <v>2700</v>
      </c>
      <c r="F8">
        <v>850</v>
      </c>
      <c r="G8">
        <v>550</v>
      </c>
      <c r="H8">
        <v>4500</v>
      </c>
    </row>
    <row r="9" spans="1:8" hidden="1" outlineLevel="2">
      <c r="A9" t="s">
        <v>8</v>
      </c>
      <c r="B9" t="s">
        <v>4</v>
      </c>
      <c r="C9">
        <v>4950</v>
      </c>
      <c r="D9">
        <v>1470</v>
      </c>
      <c r="E9">
        <v>3100</v>
      </c>
      <c r="F9">
        <v>1050</v>
      </c>
      <c r="G9">
        <v>620</v>
      </c>
      <c r="H9">
        <v>4800</v>
      </c>
    </row>
    <row r="10" spans="1:8" hidden="1" outlineLevel="2">
      <c r="A10" t="s">
        <v>8</v>
      </c>
      <c r="B10" t="s">
        <v>5</v>
      </c>
      <c r="C10">
        <v>4985</v>
      </c>
      <c r="D10">
        <v>1110</v>
      </c>
      <c r="E10">
        <v>2990</v>
      </c>
      <c r="F10">
        <v>908</v>
      </c>
      <c r="G10">
        <v>595</v>
      </c>
      <c r="H10">
        <v>3950</v>
      </c>
    </row>
    <row r="11" spans="1:8" outlineLevel="1" collapsed="1">
      <c r="A11" s="12" t="s">
        <v>34</v>
      </c>
      <c r="C11">
        <f>SUBTOTAL(4,C7:C10)</f>
        <v>5000</v>
      </c>
      <c r="H11">
        <f>SUBTOTAL(4,H7:H10)</f>
        <v>5000</v>
      </c>
    </row>
    <row r="12" spans="1:8" hidden="1" outlineLevel="2">
      <c r="A12" t="s">
        <v>7</v>
      </c>
      <c r="B12" t="s">
        <v>2</v>
      </c>
      <c r="C12">
        <v>4800</v>
      </c>
      <c r="D12">
        <v>1300</v>
      </c>
      <c r="E12">
        <v>2900</v>
      </c>
      <c r="F12">
        <v>800</v>
      </c>
      <c r="G12">
        <v>600</v>
      </c>
      <c r="H12">
        <v>3900</v>
      </c>
    </row>
    <row r="13" spans="1:8" hidden="1" outlineLevel="2">
      <c r="A13" t="s">
        <v>7</v>
      </c>
      <c r="B13" t="s">
        <v>3</v>
      </c>
      <c r="C13">
        <v>4750</v>
      </c>
      <c r="D13">
        <v>1290</v>
      </c>
      <c r="E13">
        <v>2890</v>
      </c>
      <c r="F13">
        <v>970</v>
      </c>
      <c r="G13">
        <v>540</v>
      </c>
      <c r="H13">
        <v>5500</v>
      </c>
    </row>
    <row r="14" spans="1:8" hidden="1" outlineLevel="2">
      <c r="A14" t="s">
        <v>7</v>
      </c>
      <c r="B14" t="s">
        <v>4</v>
      </c>
      <c r="C14">
        <v>4900</v>
      </c>
      <c r="D14">
        <v>1420</v>
      </c>
      <c r="E14">
        <v>2850</v>
      </c>
      <c r="F14">
        <v>1100</v>
      </c>
      <c r="G14">
        <v>610</v>
      </c>
      <c r="H14">
        <v>5120</v>
      </c>
    </row>
    <row r="15" spans="1:8" hidden="1" outlineLevel="2">
      <c r="A15" t="s">
        <v>7</v>
      </c>
      <c r="B15" t="s">
        <v>5</v>
      </c>
      <c r="C15">
        <v>5200</v>
      </c>
      <c r="D15">
        <v>1325</v>
      </c>
      <c r="E15">
        <v>3150</v>
      </c>
      <c r="F15">
        <v>1110</v>
      </c>
      <c r="G15">
        <v>530</v>
      </c>
      <c r="H15">
        <v>4950</v>
      </c>
    </row>
    <row r="16" spans="1:8" outlineLevel="1" collapsed="1">
      <c r="A16" s="12" t="s">
        <v>35</v>
      </c>
      <c r="C16">
        <f>SUBTOTAL(4,C12:C15)</f>
        <v>5200</v>
      </c>
      <c r="H16">
        <f>SUBTOTAL(4,H12:H15)</f>
        <v>5500</v>
      </c>
    </row>
    <row r="17" spans="1:8">
      <c r="A17" s="12" t="s">
        <v>36</v>
      </c>
      <c r="C17">
        <f>SUBTOTAL(4,C2:C15)</f>
        <v>5200</v>
      </c>
      <c r="H17">
        <f>SUBTOTAL(4,H2:H15)</f>
        <v>5500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0" sqref="J10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Sheet1</vt:lpstr>
      <vt:lpstr>手机各季度销售量表</vt:lpstr>
      <vt:lpstr>华为手机各季度销售量分析表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2019-02-27T04:56:23Z</dcterms:modified>
</cp:coreProperties>
</file>