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工资表" sheetId="1" r:id="rId1"/>
    <sheet name="Sheet2" sheetId="2" r:id="rId2"/>
    <sheet name="排序表" sheetId="3" r:id="rId3"/>
  </sheets>
  <calcPr calcId="144525"/>
</workbook>
</file>

<file path=xl/calcChain.xml><?xml version="1.0" encoding="utf-8"?>
<calcChain xmlns="http://schemas.openxmlformats.org/spreadsheetml/2006/main">
  <c r="E3" i="3" l="1"/>
  <c r="H3" i="3" s="1"/>
  <c r="E4" i="3"/>
  <c r="H4" i="3"/>
  <c r="E12" i="3"/>
  <c r="H12" i="3" s="1"/>
  <c r="E6" i="3"/>
  <c r="H6" i="3"/>
  <c r="E9" i="3"/>
  <c r="H9" i="3" s="1"/>
  <c r="E7" i="3"/>
  <c r="H7" i="3"/>
  <c r="E8" i="3"/>
  <c r="H8" i="3" s="1"/>
  <c r="E10" i="3"/>
  <c r="H10" i="3"/>
  <c r="E11" i="3"/>
  <c r="H11" i="3" s="1"/>
  <c r="E5" i="3"/>
  <c r="H5" i="3"/>
  <c r="E13" i="3"/>
  <c r="H13" i="3" s="1"/>
  <c r="E3" i="2"/>
  <c r="H3" i="2"/>
  <c r="E4" i="2"/>
  <c r="H4" i="2" s="1"/>
  <c r="E5" i="2"/>
  <c r="H5" i="2"/>
  <c r="E7" i="2"/>
  <c r="H7" i="2"/>
  <c r="E8" i="2"/>
  <c r="H8" i="2" s="1"/>
  <c r="H10" i="2" s="1"/>
  <c r="E9" i="2"/>
  <c r="H9" i="2"/>
  <c r="E11" i="2"/>
  <c r="H11" i="2" s="1"/>
  <c r="H16" i="2" s="1"/>
  <c r="E12" i="2"/>
  <c r="H12" i="2"/>
  <c r="E13" i="2"/>
  <c r="H13" i="2" s="1"/>
  <c r="E14" i="2"/>
  <c r="H14" i="2"/>
  <c r="E15" i="2"/>
  <c r="H15" i="2" s="1"/>
  <c r="E6" i="2"/>
  <c r="E16" i="2"/>
  <c r="E4" i="1"/>
  <c r="H4" i="1" s="1"/>
  <c r="E5" i="1"/>
  <c r="H5" i="1"/>
  <c r="E6" i="1"/>
  <c r="H6" i="1" s="1"/>
  <c r="E7" i="1"/>
  <c r="H7" i="1"/>
  <c r="E8" i="1"/>
  <c r="H8" i="1" s="1"/>
  <c r="E9" i="1"/>
  <c r="H9" i="1"/>
  <c r="E10" i="1"/>
  <c r="H10" i="1" s="1"/>
  <c r="E11" i="1"/>
  <c r="H11" i="1"/>
  <c r="E12" i="1"/>
  <c r="H12" i="1" s="1"/>
  <c r="E13" i="1"/>
  <c r="H13" i="1"/>
  <c r="E3" i="1"/>
  <c r="H3" i="1" s="1"/>
  <c r="H6" i="2" l="1"/>
  <c r="E17" i="2"/>
  <c r="H17" i="2"/>
  <c r="E10" i="2"/>
</calcChain>
</file>

<file path=xl/sharedStrings.xml><?xml version="1.0" encoding="utf-8"?>
<sst xmlns="http://schemas.openxmlformats.org/spreadsheetml/2006/main" count="97" uniqueCount="27">
  <si>
    <t>部门</t>
  </si>
  <si>
    <t>基本工资</t>
  </si>
  <si>
    <t>奖金</t>
  </si>
  <si>
    <t>应发工资</t>
  </si>
  <si>
    <t>房租</t>
  </si>
  <si>
    <t>公积金</t>
  </si>
  <si>
    <t>实发工资</t>
  </si>
  <si>
    <t>张敏</t>
  </si>
  <si>
    <t>开发部</t>
  </si>
  <si>
    <t>姚虎</t>
  </si>
  <si>
    <t>田天</t>
  </si>
  <si>
    <t>王强</t>
  </si>
  <si>
    <t>财务部</t>
  </si>
  <si>
    <t>高非</t>
  </si>
  <si>
    <t>刘军</t>
  </si>
  <si>
    <t>江武</t>
  </si>
  <si>
    <t>销售部</t>
  </si>
  <si>
    <t>张政</t>
  </si>
  <si>
    <t>杨扬</t>
  </si>
  <si>
    <t>黄云</t>
  </si>
  <si>
    <t>王青</t>
  </si>
  <si>
    <t>姓名</t>
    <phoneticPr fontId="1" type="noConversion"/>
  </si>
  <si>
    <t>职工工资表</t>
  </si>
  <si>
    <t>开发部 平均值</t>
  </si>
  <si>
    <t>财务部 平均值</t>
  </si>
  <si>
    <t>销售部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</si>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</sst>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7" x14ac:knownFonts="1">
    <font>
      <sz val="12"/>
      <name val="宋体"/>
      <charset val="134"/>
    </font>
    <font>
      <sz val="9"/>
      <name val="宋体"/>
      <charset val="134"/>
    </font>
    <font>
      <sz val="10.5"/>
      <name val="宋体"/>
      <charset val="134"/>
    </font>
    <font>
      <sz val="10.5"/>
      <name val="Times New Roman"/>
      <family val="1"/>
    </font>
    <font>
      <sz val="16"/>
      <name val="隶书"/>
      <family val="3"/>
      <charset val="134"/>
    </font>
    <font>
      <b/>
      <sz val="10.5"/>
      <name val="宋体"/>
      <charset val="134"/>
    </font>
    <font>
      <sz val="16"/>
      <color indexed="12"/>
      <name val="隶书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justify"/>
    </xf>
    <xf numFmtId="2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76" fontId="3" fillId="0" borderId="0" xfId="0" applyNumberFormat="1" applyFont="1" applyBorder="1" applyAlignment="1">
      <alignment horizontal="justify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5" fillId="0" borderId="0" xfId="0" applyFont="1" applyBorder="1" applyAlignment="1">
      <alignment horizontal="justify"/>
    </xf>
    <xf numFmtId="0" fontId="6" fillId="0" borderId="0" xfId="0" applyFont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各人实发工资</a:t>
            </a:r>
          </a:p>
        </c:rich>
      </c:tx>
      <c:layout>
        <c:manualLayout>
          <c:xMode val="edge"/>
          <c:yMode val="edge"/>
          <c:x val="0.3971201395321734"/>
          <c:y val="3.754266211604095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687246188685918"/>
          <c:y val="0.17064846416382254"/>
          <c:w val="0.8024707482774488"/>
          <c:h val="0.597269624573378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工资表!$H$2</c:f>
              <c:strCache>
                <c:ptCount val="1"/>
                <c:pt idx="0">
                  <c:v>实发工资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工资表!$A$3:$A$13</c:f>
              <c:strCache>
                <c:ptCount val="11"/>
                <c:pt idx="0">
                  <c:v>张敏</c:v>
                </c:pt>
                <c:pt idx="1">
                  <c:v>杨扬</c:v>
                </c:pt>
                <c:pt idx="2">
                  <c:v>田天</c:v>
                </c:pt>
                <c:pt idx="3">
                  <c:v>王强</c:v>
                </c:pt>
                <c:pt idx="4">
                  <c:v>刘军</c:v>
                </c:pt>
                <c:pt idx="5">
                  <c:v>江武</c:v>
                </c:pt>
                <c:pt idx="6">
                  <c:v>高非</c:v>
                </c:pt>
                <c:pt idx="7">
                  <c:v>张政</c:v>
                </c:pt>
                <c:pt idx="8">
                  <c:v>姚虎</c:v>
                </c:pt>
                <c:pt idx="9">
                  <c:v>黄云</c:v>
                </c:pt>
                <c:pt idx="10">
                  <c:v>王青</c:v>
                </c:pt>
              </c:strCache>
            </c:strRef>
          </c:cat>
          <c:val>
            <c:numRef>
              <c:f>工资表!$H$3:$H$13</c:f>
              <c:numCache>
                <c:formatCode>0.00_);[Red]\(0.00\)</c:formatCode>
                <c:ptCount val="11"/>
                <c:pt idx="0">
                  <c:v>760</c:v>
                </c:pt>
                <c:pt idx="1">
                  <c:v>1480</c:v>
                </c:pt>
                <c:pt idx="2">
                  <c:v>940</c:v>
                </c:pt>
                <c:pt idx="3">
                  <c:v>1030</c:v>
                </c:pt>
                <c:pt idx="4">
                  <c:v>1210</c:v>
                </c:pt>
                <c:pt idx="5">
                  <c:v>1300</c:v>
                </c:pt>
                <c:pt idx="6">
                  <c:v>1120</c:v>
                </c:pt>
                <c:pt idx="7">
                  <c:v>1390</c:v>
                </c:pt>
                <c:pt idx="8">
                  <c:v>850</c:v>
                </c:pt>
                <c:pt idx="9">
                  <c:v>1570</c:v>
                </c:pt>
                <c:pt idx="10">
                  <c:v>1660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634112"/>
        <c:axId val="110635648"/>
        <c:axId val="0"/>
      </c:bar3DChart>
      <c:catAx>
        <c:axId val="110634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1063564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0635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_);[Red]\(0.00\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1063411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0740822604855093"/>
          <c:y val="0.89419795221843001"/>
          <c:w val="0.18518555729479588"/>
          <c:h val="8.191126279863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15</xdr:row>
      <xdr:rowOff>47625</xdr:rowOff>
    </xdr:from>
    <xdr:to>
      <xdr:col>8</xdr:col>
      <xdr:colOff>342900</xdr:colOff>
      <xdr:row>30</xdr:row>
      <xdr:rowOff>123825</xdr:rowOff>
    </xdr:to>
    <xdr:graphicFrame macro="">
      <xdr:nvGraphicFramePr>
        <xdr:cNvPr id="102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3"/>
  <sheetViews>
    <sheetView tabSelected="1" workbookViewId="0">
      <selection sqref="A1:H1"/>
    </sheetView>
  </sheetViews>
  <sheetFormatPr defaultRowHeight="14.25" x14ac:dyDescent="0.15"/>
  <sheetData>
    <row r="1" spans="1:8" ht="30" customHeight="1" x14ac:dyDescent="0.15">
      <c r="A1" s="8" t="s">
        <v>22</v>
      </c>
      <c r="B1" s="8"/>
      <c r="C1" s="8"/>
      <c r="D1" s="8"/>
      <c r="E1" s="8"/>
      <c r="F1" s="8"/>
      <c r="G1" s="8"/>
      <c r="H1" s="8"/>
    </row>
    <row r="2" spans="1:8" x14ac:dyDescent="0.1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" x14ac:dyDescent="0.2">
      <c r="A3" s="1" t="s">
        <v>7</v>
      </c>
      <c r="B3" s="1" t="s">
        <v>8</v>
      </c>
      <c r="C3" s="2">
        <v>810</v>
      </c>
      <c r="D3" s="3">
        <v>100</v>
      </c>
      <c r="E3" s="4">
        <f>C3+D3</f>
        <v>910</v>
      </c>
      <c r="F3" s="3">
        <v>50</v>
      </c>
      <c r="G3" s="3">
        <v>100</v>
      </c>
      <c r="H3" s="4">
        <f>E3-F3-G3</f>
        <v>760</v>
      </c>
    </row>
    <row r="4" spans="1:8" ht="15" x14ac:dyDescent="0.2">
      <c r="A4" s="1" t="s">
        <v>18</v>
      </c>
      <c r="B4" s="1" t="s">
        <v>16</v>
      </c>
      <c r="C4" s="2">
        <v>730</v>
      </c>
      <c r="D4" s="3">
        <v>900</v>
      </c>
      <c r="E4" s="4">
        <f t="shared" ref="E4:E13" si="0">C4+D4</f>
        <v>1630</v>
      </c>
      <c r="F4" s="3">
        <v>50</v>
      </c>
      <c r="G4" s="3">
        <v>100</v>
      </c>
      <c r="H4" s="4">
        <f t="shared" ref="H4:H13" si="1">E4-F4-G4</f>
        <v>1480</v>
      </c>
    </row>
    <row r="5" spans="1:8" ht="15" x14ac:dyDescent="0.2">
      <c r="A5" s="1" t="s">
        <v>10</v>
      </c>
      <c r="B5" s="1" t="s">
        <v>8</v>
      </c>
      <c r="C5" s="2">
        <v>790</v>
      </c>
      <c r="D5" s="3">
        <v>300</v>
      </c>
      <c r="E5" s="4">
        <f t="shared" si="0"/>
        <v>1090</v>
      </c>
      <c r="F5" s="3">
        <v>50</v>
      </c>
      <c r="G5" s="3">
        <v>100</v>
      </c>
      <c r="H5" s="4">
        <f t="shared" si="1"/>
        <v>940</v>
      </c>
    </row>
    <row r="6" spans="1:8" ht="15" x14ac:dyDescent="0.2">
      <c r="A6" s="1" t="s">
        <v>11</v>
      </c>
      <c r="B6" s="1" t="s">
        <v>12</v>
      </c>
      <c r="C6" s="2">
        <v>780</v>
      </c>
      <c r="D6" s="3">
        <v>400</v>
      </c>
      <c r="E6" s="4">
        <f t="shared" si="0"/>
        <v>1180</v>
      </c>
      <c r="F6" s="3">
        <v>50</v>
      </c>
      <c r="G6" s="3">
        <v>100</v>
      </c>
      <c r="H6" s="4">
        <f t="shared" si="1"/>
        <v>1030</v>
      </c>
    </row>
    <row r="7" spans="1:8" ht="15" x14ac:dyDescent="0.2">
      <c r="A7" s="1" t="s">
        <v>14</v>
      </c>
      <c r="B7" s="1" t="s">
        <v>12</v>
      </c>
      <c r="C7" s="2">
        <v>760</v>
      </c>
      <c r="D7" s="3">
        <v>600</v>
      </c>
      <c r="E7" s="4">
        <f t="shared" si="0"/>
        <v>1360</v>
      </c>
      <c r="F7" s="3">
        <v>50</v>
      </c>
      <c r="G7" s="3">
        <v>100</v>
      </c>
      <c r="H7" s="4">
        <f t="shared" si="1"/>
        <v>1210</v>
      </c>
    </row>
    <row r="8" spans="1:8" ht="15" x14ac:dyDescent="0.2">
      <c r="A8" s="1" t="s">
        <v>15</v>
      </c>
      <c r="B8" s="1" t="s">
        <v>16</v>
      </c>
      <c r="C8" s="2">
        <v>750</v>
      </c>
      <c r="D8" s="3">
        <v>700</v>
      </c>
      <c r="E8" s="4">
        <f t="shared" si="0"/>
        <v>1450</v>
      </c>
      <c r="F8" s="3">
        <v>50</v>
      </c>
      <c r="G8" s="3">
        <v>100</v>
      </c>
      <c r="H8" s="4">
        <f t="shared" si="1"/>
        <v>1300</v>
      </c>
    </row>
    <row r="9" spans="1:8" ht="15" x14ac:dyDescent="0.2">
      <c r="A9" s="1" t="s">
        <v>13</v>
      </c>
      <c r="B9" s="1" t="s">
        <v>12</v>
      </c>
      <c r="C9" s="2">
        <v>770</v>
      </c>
      <c r="D9" s="3">
        <v>500</v>
      </c>
      <c r="E9" s="4">
        <f t="shared" si="0"/>
        <v>1270</v>
      </c>
      <c r="F9" s="3">
        <v>50</v>
      </c>
      <c r="G9" s="3">
        <v>100</v>
      </c>
      <c r="H9" s="4">
        <f t="shared" si="1"/>
        <v>1120</v>
      </c>
    </row>
    <row r="10" spans="1:8" ht="15" x14ac:dyDescent="0.2">
      <c r="A10" s="1" t="s">
        <v>17</v>
      </c>
      <c r="B10" s="1" t="s">
        <v>16</v>
      </c>
      <c r="C10" s="2">
        <v>740</v>
      </c>
      <c r="D10" s="3">
        <v>800</v>
      </c>
      <c r="E10" s="4">
        <f t="shared" si="0"/>
        <v>1540</v>
      </c>
      <c r="F10" s="3">
        <v>50</v>
      </c>
      <c r="G10" s="3">
        <v>100</v>
      </c>
      <c r="H10" s="4">
        <f t="shared" si="1"/>
        <v>1390</v>
      </c>
    </row>
    <row r="11" spans="1:8" ht="15" x14ac:dyDescent="0.2">
      <c r="A11" s="1" t="s">
        <v>9</v>
      </c>
      <c r="B11" s="1" t="s">
        <v>8</v>
      </c>
      <c r="C11" s="2">
        <v>800</v>
      </c>
      <c r="D11" s="3">
        <v>200</v>
      </c>
      <c r="E11" s="4">
        <f t="shared" si="0"/>
        <v>1000</v>
      </c>
      <c r="F11" s="3">
        <v>50</v>
      </c>
      <c r="G11" s="3">
        <v>100</v>
      </c>
      <c r="H11" s="4">
        <f t="shared" si="1"/>
        <v>850</v>
      </c>
    </row>
    <row r="12" spans="1:8" ht="15" x14ac:dyDescent="0.2">
      <c r="A12" s="1" t="s">
        <v>19</v>
      </c>
      <c r="B12" s="1" t="s">
        <v>16</v>
      </c>
      <c r="C12" s="2">
        <v>720</v>
      </c>
      <c r="D12" s="3">
        <v>1000</v>
      </c>
      <c r="E12" s="4">
        <f t="shared" si="0"/>
        <v>1720</v>
      </c>
      <c r="F12" s="3">
        <v>50</v>
      </c>
      <c r="G12" s="3">
        <v>100</v>
      </c>
      <c r="H12" s="4">
        <f t="shared" si="1"/>
        <v>1570</v>
      </c>
    </row>
    <row r="13" spans="1:8" ht="15" x14ac:dyDescent="0.2">
      <c r="A13" s="1" t="s">
        <v>20</v>
      </c>
      <c r="B13" s="1" t="s">
        <v>16</v>
      </c>
      <c r="C13" s="2">
        <v>710</v>
      </c>
      <c r="D13" s="3">
        <v>1100</v>
      </c>
      <c r="E13" s="4">
        <f t="shared" si="0"/>
        <v>1810</v>
      </c>
      <c r="F13" s="3">
        <v>50</v>
      </c>
      <c r="G13" s="3">
        <v>100</v>
      </c>
      <c r="H13" s="4">
        <f t="shared" si="1"/>
        <v>1660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7"/>
  <sheetViews>
    <sheetView workbookViewId="0">
      <selection activeCell="A27" sqref="A27"/>
    </sheetView>
  </sheetViews>
  <sheetFormatPr defaultRowHeight="14.25" outlineLevelRow="2" x14ac:dyDescent="0.15"/>
  <sheetData>
    <row r="1" spans="1:8" ht="20.25" x14ac:dyDescent="0.15">
      <c r="A1" s="5" t="s">
        <v>22</v>
      </c>
      <c r="B1" s="6"/>
      <c r="C1" s="6"/>
      <c r="D1" s="6"/>
      <c r="E1" s="6"/>
      <c r="F1" s="6"/>
      <c r="G1" s="6"/>
      <c r="H1" s="6"/>
    </row>
    <row r="2" spans="1:8" x14ac:dyDescent="0.1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" outlineLevel="2" x14ac:dyDescent="0.2">
      <c r="A3" s="1" t="s">
        <v>7</v>
      </c>
      <c r="B3" s="1" t="s">
        <v>8</v>
      </c>
      <c r="C3" s="2">
        <v>810</v>
      </c>
      <c r="D3" s="3">
        <v>100</v>
      </c>
      <c r="E3" s="4">
        <f>C3+D3</f>
        <v>910</v>
      </c>
      <c r="F3" s="3">
        <v>50</v>
      </c>
      <c r="G3" s="3">
        <v>100</v>
      </c>
      <c r="H3" s="4">
        <f>E3-F3-G3</f>
        <v>760</v>
      </c>
    </row>
    <row r="4" spans="1:8" ht="15" outlineLevel="2" x14ac:dyDescent="0.2">
      <c r="A4" s="1" t="s">
        <v>10</v>
      </c>
      <c r="B4" s="1" t="s">
        <v>8</v>
      </c>
      <c r="C4" s="2">
        <v>790</v>
      </c>
      <c r="D4" s="3">
        <v>300</v>
      </c>
      <c r="E4" s="4">
        <f>C4+D4</f>
        <v>1090</v>
      </c>
      <c r="F4" s="3">
        <v>50</v>
      </c>
      <c r="G4" s="3">
        <v>100</v>
      </c>
      <c r="H4" s="4">
        <f>E4-F4-G4</f>
        <v>940</v>
      </c>
    </row>
    <row r="5" spans="1:8" ht="15" outlineLevel="2" x14ac:dyDescent="0.2">
      <c r="A5" s="1" t="s">
        <v>9</v>
      </c>
      <c r="B5" s="1" t="s">
        <v>8</v>
      </c>
      <c r="C5" s="2">
        <v>800</v>
      </c>
      <c r="D5" s="3">
        <v>200</v>
      </c>
      <c r="E5" s="4">
        <f>C5+D5</f>
        <v>1000</v>
      </c>
      <c r="F5" s="3">
        <v>50</v>
      </c>
      <c r="G5" s="3">
        <v>100</v>
      </c>
      <c r="H5" s="4">
        <f>E5-F5-G5</f>
        <v>850</v>
      </c>
    </row>
    <row r="6" spans="1:8" ht="26.25" outlineLevel="1" x14ac:dyDescent="0.2">
      <c r="A6" s="1"/>
      <c r="B6" s="7" t="s">
        <v>23</v>
      </c>
      <c r="C6" s="2"/>
      <c r="D6" s="3"/>
      <c r="E6" s="4">
        <f>SUBTOTAL(1,E3:E5)</f>
        <v>1000</v>
      </c>
      <c r="F6" s="3"/>
      <c r="G6" s="3"/>
      <c r="H6" s="4">
        <f>SUBTOTAL(1,H3:H5)</f>
        <v>850</v>
      </c>
    </row>
    <row r="7" spans="1:8" ht="15" outlineLevel="2" x14ac:dyDescent="0.2">
      <c r="A7" s="1" t="s">
        <v>11</v>
      </c>
      <c r="B7" s="1" t="s">
        <v>12</v>
      </c>
      <c r="C7" s="2">
        <v>780</v>
      </c>
      <c r="D7" s="3">
        <v>400</v>
      </c>
      <c r="E7" s="4">
        <f>C7+D7</f>
        <v>1180</v>
      </c>
      <c r="F7" s="3">
        <v>50</v>
      </c>
      <c r="G7" s="3">
        <v>100</v>
      </c>
      <c r="H7" s="4">
        <f>E7-F7-G7</f>
        <v>1030</v>
      </c>
    </row>
    <row r="8" spans="1:8" ht="15" outlineLevel="2" x14ac:dyDescent="0.2">
      <c r="A8" s="1" t="s">
        <v>14</v>
      </c>
      <c r="B8" s="1" t="s">
        <v>12</v>
      </c>
      <c r="C8" s="2">
        <v>760</v>
      </c>
      <c r="D8" s="3">
        <v>600</v>
      </c>
      <c r="E8" s="4">
        <f>C8+D8</f>
        <v>1360</v>
      </c>
      <c r="F8" s="3">
        <v>50</v>
      </c>
      <c r="G8" s="3">
        <v>100</v>
      </c>
      <c r="H8" s="4">
        <f>E8-F8-G8</f>
        <v>1210</v>
      </c>
    </row>
    <row r="9" spans="1:8" ht="15" outlineLevel="2" x14ac:dyDescent="0.2">
      <c r="A9" s="1" t="s">
        <v>13</v>
      </c>
      <c r="B9" s="1" t="s">
        <v>12</v>
      </c>
      <c r="C9" s="2">
        <v>770</v>
      </c>
      <c r="D9" s="3">
        <v>500</v>
      </c>
      <c r="E9" s="4">
        <f>C9+D9</f>
        <v>1270</v>
      </c>
      <c r="F9" s="3">
        <v>50</v>
      </c>
      <c r="G9" s="3">
        <v>100</v>
      </c>
      <c r="H9" s="4">
        <f>E9-F9-G9</f>
        <v>1120</v>
      </c>
    </row>
    <row r="10" spans="1:8" ht="26.25" outlineLevel="1" x14ac:dyDescent="0.2">
      <c r="A10" s="1"/>
      <c r="B10" s="7" t="s">
        <v>24</v>
      </c>
      <c r="C10" s="2"/>
      <c r="D10" s="3"/>
      <c r="E10" s="4">
        <f>SUBTOTAL(1,E7:E9)</f>
        <v>1270</v>
      </c>
      <c r="F10" s="3"/>
      <c r="G10" s="3"/>
      <c r="H10" s="4">
        <f>SUBTOTAL(1,H7:H9)</f>
        <v>1120</v>
      </c>
    </row>
    <row r="11" spans="1:8" ht="15" outlineLevel="2" x14ac:dyDescent="0.2">
      <c r="A11" s="1" t="s">
        <v>18</v>
      </c>
      <c r="B11" s="1" t="s">
        <v>16</v>
      </c>
      <c r="C11" s="2">
        <v>730</v>
      </c>
      <c r="D11" s="3">
        <v>900</v>
      </c>
      <c r="E11" s="4">
        <f>C11+D11</f>
        <v>1630</v>
      </c>
      <c r="F11" s="3">
        <v>50</v>
      </c>
      <c r="G11" s="3">
        <v>100</v>
      </c>
      <c r="H11" s="4">
        <f>E11-F11-G11</f>
        <v>1480</v>
      </c>
    </row>
    <row r="12" spans="1:8" ht="15" outlineLevel="2" x14ac:dyDescent="0.2">
      <c r="A12" s="1" t="s">
        <v>15</v>
      </c>
      <c r="B12" s="1" t="s">
        <v>16</v>
      </c>
      <c r="C12" s="2">
        <v>750</v>
      </c>
      <c r="D12" s="3">
        <v>700</v>
      </c>
      <c r="E12" s="4">
        <f>C12+D12</f>
        <v>1450</v>
      </c>
      <c r="F12" s="3">
        <v>50</v>
      </c>
      <c r="G12" s="3">
        <v>100</v>
      </c>
      <c r="H12" s="4">
        <f>E12-F12-G12</f>
        <v>1300</v>
      </c>
    </row>
    <row r="13" spans="1:8" ht="15" outlineLevel="2" x14ac:dyDescent="0.2">
      <c r="A13" s="1" t="s">
        <v>17</v>
      </c>
      <c r="B13" s="1" t="s">
        <v>16</v>
      </c>
      <c r="C13" s="2">
        <v>740</v>
      </c>
      <c r="D13" s="3">
        <v>800</v>
      </c>
      <c r="E13" s="4">
        <f>C13+D13</f>
        <v>1540</v>
      </c>
      <c r="F13" s="3">
        <v>50</v>
      </c>
      <c r="G13" s="3">
        <v>100</v>
      </c>
      <c r="H13" s="4">
        <f>E13-F13-G13</f>
        <v>1390</v>
      </c>
    </row>
    <row r="14" spans="1:8" ht="15" outlineLevel="2" x14ac:dyDescent="0.2">
      <c r="A14" s="1" t="s">
        <v>19</v>
      </c>
      <c r="B14" s="1" t="s">
        <v>16</v>
      </c>
      <c r="C14" s="2">
        <v>720</v>
      </c>
      <c r="D14" s="3">
        <v>1000</v>
      </c>
      <c r="E14" s="4">
        <f>C14+D14</f>
        <v>1720</v>
      </c>
      <c r="F14" s="3">
        <v>50</v>
      </c>
      <c r="G14" s="3">
        <v>100</v>
      </c>
      <c r="H14" s="4">
        <f>E14-F14-G14</f>
        <v>1570</v>
      </c>
    </row>
    <row r="15" spans="1:8" ht="15" outlineLevel="2" x14ac:dyDescent="0.2">
      <c r="A15" s="1" t="s">
        <v>20</v>
      </c>
      <c r="B15" s="1" t="s">
        <v>16</v>
      </c>
      <c r="C15" s="2">
        <v>710</v>
      </c>
      <c r="D15" s="3">
        <v>1100</v>
      </c>
      <c r="E15" s="4">
        <f>C15+D15</f>
        <v>1810</v>
      </c>
      <c r="F15" s="3">
        <v>50</v>
      </c>
      <c r="G15" s="3">
        <v>100</v>
      </c>
      <c r="H15" s="4">
        <f>E15-F15-G15</f>
        <v>1660</v>
      </c>
    </row>
    <row r="16" spans="1:8" ht="26.25" outlineLevel="1" x14ac:dyDescent="0.2">
      <c r="A16" s="1"/>
      <c r="B16" s="7" t="s">
        <v>25</v>
      </c>
      <c r="C16" s="2"/>
      <c r="D16" s="3"/>
      <c r="E16" s="4">
        <f>SUBTOTAL(1,E11:E15)</f>
        <v>1630</v>
      </c>
      <c r="F16" s="3"/>
      <c r="G16" s="3"/>
      <c r="H16" s="4">
        <f>SUBTOTAL(1,H11:H15)</f>
        <v>1480</v>
      </c>
    </row>
    <row r="17" spans="1:8" ht="26.25" x14ac:dyDescent="0.2">
      <c r="A17" s="1"/>
      <c r="B17" s="7" t="s">
        <v>26</v>
      </c>
      <c r="C17" s="2"/>
      <c r="D17" s="3"/>
      <c r="E17" s="4">
        <f>SUBTOTAL(1,E3:E15)</f>
        <v>1360</v>
      </c>
      <c r="F17" s="3"/>
      <c r="G17" s="3"/>
      <c r="H17" s="4">
        <f>SUBTOTAL(1,H3:H15)</f>
        <v>1210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3"/>
  <sheetViews>
    <sheetView workbookViewId="0">
      <selection activeCell="G20" sqref="G20"/>
    </sheetView>
  </sheetViews>
  <sheetFormatPr defaultRowHeight="14.25" x14ac:dyDescent="0.15"/>
  <sheetData>
    <row r="1" spans="1:8" ht="20.25" x14ac:dyDescent="0.15">
      <c r="A1" s="5" t="s">
        <v>22</v>
      </c>
      <c r="B1" s="6"/>
      <c r="C1" s="6"/>
      <c r="D1" s="6"/>
      <c r="E1" s="6"/>
      <c r="F1" s="6"/>
      <c r="G1" s="6"/>
      <c r="H1" s="6"/>
    </row>
    <row r="2" spans="1:8" x14ac:dyDescent="0.1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" x14ac:dyDescent="0.2">
      <c r="A3" s="1" t="s">
        <v>20</v>
      </c>
      <c r="B3" s="1" t="s">
        <v>16</v>
      </c>
      <c r="C3" s="2">
        <v>710</v>
      </c>
      <c r="D3" s="3">
        <v>1100</v>
      </c>
      <c r="E3" s="4">
        <f t="shared" ref="E3:E13" si="0">C3+D3</f>
        <v>1810</v>
      </c>
      <c r="F3" s="3">
        <v>50</v>
      </c>
      <c r="G3" s="3">
        <v>100</v>
      </c>
      <c r="H3" s="4">
        <f t="shared" ref="H3:H13" si="1">E3-F3-G3</f>
        <v>1660</v>
      </c>
    </row>
    <row r="4" spans="1:8" ht="15" x14ac:dyDescent="0.2">
      <c r="A4" s="1" t="s">
        <v>19</v>
      </c>
      <c r="B4" s="1" t="s">
        <v>16</v>
      </c>
      <c r="C4" s="2">
        <v>720</v>
      </c>
      <c r="D4" s="3">
        <v>1000</v>
      </c>
      <c r="E4" s="4">
        <f t="shared" si="0"/>
        <v>1720</v>
      </c>
      <c r="F4" s="3">
        <v>50</v>
      </c>
      <c r="G4" s="3">
        <v>100</v>
      </c>
      <c r="H4" s="4">
        <f t="shared" si="1"/>
        <v>1570</v>
      </c>
    </row>
    <row r="5" spans="1:8" ht="15" x14ac:dyDescent="0.2">
      <c r="A5" s="1" t="s">
        <v>18</v>
      </c>
      <c r="B5" s="1" t="s">
        <v>16</v>
      </c>
      <c r="C5" s="2">
        <v>730</v>
      </c>
      <c r="D5" s="3">
        <v>900</v>
      </c>
      <c r="E5" s="4">
        <f t="shared" si="0"/>
        <v>1630</v>
      </c>
      <c r="F5" s="3">
        <v>50</v>
      </c>
      <c r="G5" s="3">
        <v>100</v>
      </c>
      <c r="H5" s="4">
        <f t="shared" si="1"/>
        <v>1480</v>
      </c>
    </row>
    <row r="6" spans="1:8" ht="15" x14ac:dyDescent="0.2">
      <c r="A6" s="1" t="s">
        <v>17</v>
      </c>
      <c r="B6" s="1" t="s">
        <v>16</v>
      </c>
      <c r="C6" s="2">
        <v>740</v>
      </c>
      <c r="D6" s="3">
        <v>800</v>
      </c>
      <c r="E6" s="4">
        <f t="shared" si="0"/>
        <v>1540</v>
      </c>
      <c r="F6" s="3">
        <v>50</v>
      </c>
      <c r="G6" s="3">
        <v>100</v>
      </c>
      <c r="H6" s="4">
        <f t="shared" si="1"/>
        <v>1390</v>
      </c>
    </row>
    <row r="7" spans="1:8" ht="15" x14ac:dyDescent="0.2">
      <c r="A7" s="1" t="s">
        <v>15</v>
      </c>
      <c r="B7" s="1" t="s">
        <v>16</v>
      </c>
      <c r="C7" s="2">
        <v>750</v>
      </c>
      <c r="D7" s="3">
        <v>700</v>
      </c>
      <c r="E7" s="4">
        <f t="shared" si="0"/>
        <v>1450</v>
      </c>
      <c r="F7" s="3">
        <v>50</v>
      </c>
      <c r="G7" s="3">
        <v>100</v>
      </c>
      <c r="H7" s="4">
        <f t="shared" si="1"/>
        <v>1300</v>
      </c>
    </row>
    <row r="8" spans="1:8" ht="15" x14ac:dyDescent="0.2">
      <c r="A8" s="1" t="s">
        <v>14</v>
      </c>
      <c r="B8" s="1" t="s">
        <v>12</v>
      </c>
      <c r="C8" s="2">
        <v>760</v>
      </c>
      <c r="D8" s="3">
        <v>600</v>
      </c>
      <c r="E8" s="4">
        <f t="shared" si="0"/>
        <v>1360</v>
      </c>
      <c r="F8" s="3">
        <v>50</v>
      </c>
      <c r="G8" s="3">
        <v>100</v>
      </c>
      <c r="H8" s="4">
        <f t="shared" si="1"/>
        <v>1210</v>
      </c>
    </row>
    <row r="9" spans="1:8" ht="15" x14ac:dyDescent="0.2">
      <c r="A9" s="1" t="s">
        <v>13</v>
      </c>
      <c r="B9" s="1" t="s">
        <v>12</v>
      </c>
      <c r="C9" s="2">
        <v>770</v>
      </c>
      <c r="D9" s="3">
        <v>500</v>
      </c>
      <c r="E9" s="4">
        <f t="shared" si="0"/>
        <v>1270</v>
      </c>
      <c r="F9" s="3">
        <v>50</v>
      </c>
      <c r="G9" s="3">
        <v>100</v>
      </c>
      <c r="H9" s="4">
        <f t="shared" si="1"/>
        <v>1120</v>
      </c>
    </row>
    <row r="10" spans="1:8" ht="15" x14ac:dyDescent="0.2">
      <c r="A10" s="1" t="s">
        <v>11</v>
      </c>
      <c r="B10" s="1" t="s">
        <v>12</v>
      </c>
      <c r="C10" s="2">
        <v>780</v>
      </c>
      <c r="D10" s="3">
        <v>400</v>
      </c>
      <c r="E10" s="4">
        <f t="shared" si="0"/>
        <v>1180</v>
      </c>
      <c r="F10" s="3">
        <v>50</v>
      </c>
      <c r="G10" s="3">
        <v>100</v>
      </c>
      <c r="H10" s="4">
        <f t="shared" si="1"/>
        <v>1030</v>
      </c>
    </row>
    <row r="11" spans="1:8" ht="15" x14ac:dyDescent="0.2">
      <c r="A11" s="1" t="s">
        <v>10</v>
      </c>
      <c r="B11" s="1" t="s">
        <v>8</v>
      </c>
      <c r="C11" s="2">
        <v>790</v>
      </c>
      <c r="D11" s="3">
        <v>300</v>
      </c>
      <c r="E11" s="4">
        <f t="shared" si="0"/>
        <v>1090</v>
      </c>
      <c r="F11" s="3">
        <v>50</v>
      </c>
      <c r="G11" s="3">
        <v>100</v>
      </c>
      <c r="H11" s="4">
        <f t="shared" si="1"/>
        <v>940</v>
      </c>
    </row>
    <row r="12" spans="1:8" ht="15" x14ac:dyDescent="0.2">
      <c r="A12" s="1" t="s">
        <v>9</v>
      </c>
      <c r="B12" s="1" t="s">
        <v>8</v>
      </c>
      <c r="C12" s="2">
        <v>800</v>
      </c>
      <c r="D12" s="3">
        <v>200</v>
      </c>
      <c r="E12" s="4">
        <f t="shared" si="0"/>
        <v>1000</v>
      </c>
      <c r="F12" s="3">
        <v>50</v>
      </c>
      <c r="G12" s="3">
        <v>100</v>
      </c>
      <c r="H12" s="4">
        <f t="shared" si="1"/>
        <v>850</v>
      </c>
    </row>
    <row r="13" spans="1:8" ht="15" x14ac:dyDescent="0.2">
      <c r="A13" s="1" t="s">
        <v>7</v>
      </c>
      <c r="B13" s="1" t="s">
        <v>8</v>
      </c>
      <c r="C13" s="2">
        <v>810</v>
      </c>
      <c r="D13" s="3">
        <v>100</v>
      </c>
      <c r="E13" s="4">
        <f t="shared" si="0"/>
        <v>910</v>
      </c>
      <c r="F13" s="3">
        <v>50</v>
      </c>
      <c r="G13" s="3">
        <v>100</v>
      </c>
      <c r="H13" s="4">
        <f t="shared" si="1"/>
        <v>760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工资表</vt:lpstr>
      <vt:lpstr>Sheet2</vt:lpstr>
      <vt:lpstr>排序表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2019-09-16T02:20:53Z</dcterms:modified>
</cp:coreProperties>
</file>