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0" windowWidth="15360" windowHeight="8715" activeTab="1"/>
  </bookViews>
  <sheets>
    <sheet name="Sheet1" sheetId="1" r:id="rId1"/>
    <sheet name="Sheet2" sheetId="2" r:id="rId2"/>
    <sheet name="Sheet3" sheetId="3" r:id="rId3"/>
  </sheets>
  <definedNames>
    <definedName name="_xlnm.Criteria" localSheetId="2">Sheet3!$A$1:$B$3</definedName>
    <definedName name="_xlnm.Extract" localSheetId="2">Sheet3!$B$5:$F$5</definedName>
  </definedNames>
  <calcPr calcId="144525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11" i="2" s="1"/>
  <c r="F19" i="2" s="1"/>
  <c r="F9" i="2"/>
  <c r="F10" i="2"/>
  <c r="F12" i="2"/>
  <c r="F15" i="2" s="1"/>
  <c r="F13" i="2"/>
  <c r="F14" i="2"/>
  <c r="F16" i="2"/>
  <c r="F18" i="2" s="1"/>
  <c r="F17" i="2"/>
  <c r="D6" i="2"/>
  <c r="D11" i="2"/>
  <c r="D15" i="2"/>
  <c r="D19" i="2"/>
  <c r="D18" i="2"/>
  <c r="F4" i="1"/>
  <c r="F5" i="1"/>
  <c r="F6" i="1"/>
  <c r="F7" i="1"/>
  <c r="F8" i="1"/>
  <c r="F9" i="1"/>
  <c r="F10" i="1"/>
  <c r="F11" i="1"/>
  <c r="F12" i="1"/>
  <c r="F13" i="1"/>
  <c r="F14" i="1"/>
  <c r="F3" i="1"/>
</calcChain>
</file>

<file path=xl/sharedStrings.xml><?xml version="1.0" encoding="utf-8"?>
<sst xmlns="http://schemas.openxmlformats.org/spreadsheetml/2006/main" count="84" uniqueCount="25">
  <si>
    <t>2004年5月保险业务统计表</t>
  </si>
  <si>
    <t>人民保险公司</t>
    <phoneticPr fontId="2" type="noConversion"/>
  </si>
  <si>
    <t>责任险</t>
    <phoneticPr fontId="2" type="noConversion"/>
  </si>
  <si>
    <t>保证险</t>
    <phoneticPr fontId="2" type="noConversion"/>
  </si>
  <si>
    <t>意外险</t>
    <phoneticPr fontId="2" type="noConversion"/>
  </si>
  <si>
    <t>健康险</t>
    <phoneticPr fontId="2" type="noConversion"/>
  </si>
  <si>
    <t>平安保险公司</t>
    <phoneticPr fontId="2" type="noConversion"/>
  </si>
  <si>
    <t>太平洋保险公司</t>
    <phoneticPr fontId="2" type="noConversion"/>
  </si>
  <si>
    <t>华安保险公司</t>
    <phoneticPr fontId="2" type="noConversion"/>
  </si>
  <si>
    <t>单位</t>
    <phoneticPr fontId="2" type="noConversion"/>
  </si>
  <si>
    <t>险种</t>
    <phoneticPr fontId="2" type="noConversion"/>
  </si>
  <si>
    <t>去年同期保费</t>
    <phoneticPr fontId="2" type="noConversion"/>
  </si>
  <si>
    <t>本月保费</t>
    <phoneticPr fontId="2" type="noConversion"/>
  </si>
  <si>
    <t>同比增长</t>
    <phoneticPr fontId="2" type="noConversion"/>
  </si>
  <si>
    <t>平安保险公司</t>
    <phoneticPr fontId="2" type="noConversion"/>
  </si>
  <si>
    <t>2004年5月保险业务统计表</t>
    <phoneticPr fontId="2" type="noConversion"/>
  </si>
  <si>
    <t>人民保险公司 平均值</t>
  </si>
  <si>
    <t>平安保险公司 平均值</t>
  </si>
  <si>
    <t>太平洋保险公司 平均值</t>
  </si>
  <si>
    <t>华安保险公司 平均值</t>
  </si>
  <si>
    <t>总计平均值</t>
  </si>
  <si>
    <t>本月保费</t>
  </si>
  <si>
    <t>同比增长</t>
  </si>
  <si>
    <r>
      <t>&gt;</t>
    </r>
    <r>
      <rPr>
        <sz val="12"/>
        <rFont val="宋体"/>
        <charset val="134"/>
      </rPr>
      <t>3000</t>
    </r>
    <phoneticPr fontId="2" type="noConversion"/>
  </si>
  <si>
    <r>
      <t>&gt;</t>
    </r>
    <r>
      <rPr>
        <sz val="12"/>
        <rFont val="宋体"/>
        <charset val="134"/>
      </rPr>
      <t>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</si>
</sst>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¥&quot;#,##0.00;&quot;¥&quot;\-#,##0.00"/>
    <numFmt numFmtId="185" formatCode="0.00_ "/>
    <numFmt numFmtId="190" formatCode="&quot;¥&quot;#,##0.00_);[Red]\(&quot;¥&quot;#,##0.00\)"/>
    <numFmt numFmtId="191" formatCode="&quot;¥&quot;#,##0.00;[Red]&quot;¥&quot;#,##0.00"/>
  </numFmts>
  <fonts count="10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8"/>
      <name val="黑体"/>
      <charset val="134"/>
    </font>
    <font>
      <sz val="8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8"/>
      <color indexed="10"/>
      <name val="黑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185" fontId="3" fillId="0" borderId="0" xfId="0" applyNumberFormat="1" applyFont="1" applyBorder="1" applyAlignment="1">
      <alignment horizontal="center" vertical="center" wrapText="1"/>
    </xf>
    <xf numFmtId="185" fontId="4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185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7" fontId="7" fillId="0" borderId="0" xfId="0" applyNumberFormat="1" applyFont="1" applyBorder="1" applyAlignment="1">
      <alignment horizontal="right"/>
    </xf>
    <xf numFmtId="7" fontId="7" fillId="0" borderId="0" xfId="0" applyNumberFormat="1" applyFont="1" applyBorder="1" applyAlignment="1">
      <alignment horizontal="right" vertical="center" wrapText="1"/>
    </xf>
    <xf numFmtId="10" fontId="0" fillId="0" borderId="0" xfId="0" applyNumberFormat="1"/>
    <xf numFmtId="0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0" fillId="0" borderId="0" xfId="0" applyAlignment="1">
      <alignment horizontal="left" vertical="center"/>
    </xf>
    <xf numFmtId="190" fontId="1" fillId="0" borderId="0" xfId="0" applyNumberFormat="1" applyFont="1" applyBorder="1" applyAlignment="1">
      <alignment horizontal="right"/>
    </xf>
    <xf numFmtId="190" fontId="6" fillId="0" borderId="0" xfId="0" applyNumberFormat="1" applyFont="1" applyBorder="1" applyAlignment="1">
      <alignment horizontal="right"/>
    </xf>
    <xf numFmtId="190" fontId="6" fillId="0" borderId="0" xfId="0" applyNumberFormat="1" applyFont="1" applyBorder="1" applyAlignment="1">
      <alignment horizontal="right" vertical="center" wrapText="1"/>
    </xf>
    <xf numFmtId="190" fontId="7" fillId="0" borderId="0" xfId="0" applyNumberFormat="1" applyFont="1" applyBorder="1" applyAlignment="1">
      <alignment horizontal="right"/>
    </xf>
    <xf numFmtId="190" fontId="7" fillId="0" borderId="0" xfId="0" applyNumberFormat="1" applyFont="1" applyBorder="1" applyAlignment="1">
      <alignment horizontal="right" vertical="center" wrapText="1"/>
    </xf>
    <xf numFmtId="190" fontId="7" fillId="0" borderId="0" xfId="0" applyNumberFormat="1" applyFont="1" applyBorder="1" applyAlignment="1"/>
    <xf numFmtId="190" fontId="7" fillId="0" borderId="0" xfId="0" applyNumberFormat="1" applyFont="1" applyBorder="1" applyAlignment="1">
      <alignment horizontal="right" wrapText="1"/>
    </xf>
    <xf numFmtId="190" fontId="0" fillId="0" borderId="0" xfId="0" applyNumberFormat="1"/>
    <xf numFmtId="0" fontId="6" fillId="0" borderId="0" xfId="0" applyNumberFormat="1" applyFont="1" applyBorder="1" applyAlignment="1">
      <alignment horizontal="right" vertical="center" wrapText="1"/>
    </xf>
    <xf numFmtId="191" fontId="1" fillId="0" borderId="0" xfId="0" applyNumberFormat="1" applyFont="1" applyBorder="1" applyAlignment="1">
      <alignment horizontal="right"/>
    </xf>
    <xf numFmtId="10" fontId="5" fillId="0" borderId="0" xfId="0" applyNumberFormat="1" applyFont="1" applyFill="1" applyBorder="1" applyAlignment="1">
      <alignment horizontal="center" vertical="center" wrapText="1"/>
    </xf>
    <xf numFmtId="190" fontId="1" fillId="0" borderId="0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7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7" fontId="1" fillId="0" borderId="1" xfId="0" applyNumberFormat="1" applyFont="1" applyBorder="1" applyAlignment="1">
      <alignment horizontal="right"/>
    </xf>
    <xf numFmtId="10" fontId="5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7" fontId="6" fillId="0" borderId="1" xfId="0" applyNumberFormat="1" applyFont="1" applyBorder="1" applyAlignment="1">
      <alignment horizontal="right"/>
    </xf>
    <xf numFmtId="7" fontId="6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7" fontId="7" fillId="0" borderId="1" xfId="0" applyNumberFormat="1" applyFont="1" applyBorder="1" applyAlignment="1">
      <alignment horizontal="right"/>
    </xf>
    <xf numFmtId="7" fontId="7" fillId="0" borderId="1" xfId="0" applyNumberFormat="1" applyFont="1" applyBorder="1" applyAlignment="1">
      <alignment horizontal="right" vertical="center" wrapText="1"/>
    </xf>
    <xf numFmtId="7" fontId="7" fillId="0" borderId="1" xfId="0" applyNumberFormat="1" applyFont="1" applyBorder="1" applyAlignment="1">
      <alignment horizontal="right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业绩比较图</a:t>
            </a:r>
          </a:p>
        </c:rich>
      </c:tx>
      <c:layout>
        <c:manualLayout>
          <c:xMode val="edge"/>
          <c:yMode val="edge"/>
          <c:x val="0.45"/>
          <c:y val="3.67647058823529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352941176475E-2"/>
          <c:y val="0.20588235294117646"/>
          <c:w val="0.78529411764705881"/>
          <c:h val="0.63970588235294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本月保费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(Sheet2!$B$6,Sheet2!$B$11,Sheet2!$B$15)</c:f>
              <c:strCache>
                <c:ptCount val="3"/>
                <c:pt idx="0">
                  <c:v>人民保险公司 平均值</c:v>
                </c:pt>
                <c:pt idx="1">
                  <c:v>平安保险公司 平均值</c:v>
                </c:pt>
                <c:pt idx="2">
                  <c:v>太平洋保险公司 平均值</c:v>
                </c:pt>
              </c:strCache>
            </c:strRef>
          </c:cat>
          <c:val>
            <c:numRef>
              <c:f>(Sheet2!$D$6,Sheet2!$D$11,Sheet2!$D$15)</c:f>
              <c:numCache>
                <c:formatCode>"¥"#,##0.00_);[Red]\("¥"#,##0.00\)</c:formatCode>
                <c:ptCount val="3"/>
                <c:pt idx="0" formatCode="General">
                  <c:v>2414.2999999999997</c:v>
                </c:pt>
                <c:pt idx="1">
                  <c:v>225.17499999999998</c:v>
                </c:pt>
                <c:pt idx="2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38496"/>
        <c:axId val="142940032"/>
      </c:barChart>
      <c:catAx>
        <c:axId val="142938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294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940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2938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35294117647056"/>
          <c:y val="0.49264705882352944"/>
          <c:w val="0.10588235294117647"/>
          <c:h val="6.9852941176470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23</xdr:row>
      <xdr:rowOff>47625</xdr:rowOff>
    </xdr:from>
    <xdr:to>
      <xdr:col>6</xdr:col>
      <xdr:colOff>676275</xdr:colOff>
      <xdr:row>37</xdr:row>
      <xdr:rowOff>104775</xdr:rowOff>
    </xdr:to>
    <xdr:graphicFrame macro="">
      <xdr:nvGraphicFramePr>
        <xdr:cNvPr id="1026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workbookViewId="0">
      <selection activeCell="E24" sqref="E24"/>
    </sheetView>
  </sheetViews>
  <sheetFormatPr defaultRowHeight="14.25" x14ac:dyDescent="0.15"/>
  <cols>
    <col min="1" max="1" width="5.375" customWidth="1"/>
    <col min="2" max="2" width="15.25" customWidth="1"/>
    <col min="3" max="3" width="14.375" customWidth="1"/>
    <col min="4" max="4" width="12.5" customWidth="1"/>
    <col min="5" max="5" width="15.5" customWidth="1"/>
    <col min="6" max="6" width="14" style="14" customWidth="1"/>
  </cols>
  <sheetData>
    <row r="1" spans="2:7" ht="32.1" customHeight="1" x14ac:dyDescent="0.15">
      <c r="B1" s="46" t="s">
        <v>15</v>
      </c>
      <c r="C1" s="46"/>
      <c r="D1" s="46"/>
      <c r="E1" s="46"/>
      <c r="F1" s="46"/>
    </row>
    <row r="2" spans="2:7" s="1" customFormat="1" ht="18" customHeight="1" x14ac:dyDescent="0.15">
      <c r="B2" s="30" t="s">
        <v>9</v>
      </c>
      <c r="C2" s="30" t="s">
        <v>10</v>
      </c>
      <c r="D2" s="31" t="s">
        <v>12</v>
      </c>
      <c r="E2" s="31" t="s">
        <v>11</v>
      </c>
      <c r="F2" s="32" t="s">
        <v>13</v>
      </c>
    </row>
    <row r="3" spans="2:7" s="1" customFormat="1" ht="18" customHeight="1" x14ac:dyDescent="0.15">
      <c r="B3" s="33" t="s">
        <v>1</v>
      </c>
      <c r="C3" s="34" t="s">
        <v>2</v>
      </c>
      <c r="D3" s="35">
        <v>3598.2</v>
      </c>
      <c r="E3" s="35">
        <v>4126.7</v>
      </c>
      <c r="F3" s="36">
        <f>(D3-E3)/E3</f>
        <v>-0.12806843240361548</v>
      </c>
    </row>
    <row r="4" spans="2:7" s="1" customFormat="1" ht="18" customHeight="1" x14ac:dyDescent="0.15">
      <c r="B4" s="37" t="s">
        <v>1</v>
      </c>
      <c r="C4" s="38" t="s">
        <v>3</v>
      </c>
      <c r="D4" s="39">
        <v>206.4</v>
      </c>
      <c r="E4" s="39">
        <v>1782.4</v>
      </c>
      <c r="F4" s="36">
        <f t="shared" ref="F4:F14" si="0">(D4-E4)/E4</f>
        <v>-0.88420107719928187</v>
      </c>
      <c r="G4" s="3"/>
    </row>
    <row r="5" spans="2:7" s="1" customFormat="1" ht="18" customHeight="1" x14ac:dyDescent="0.15">
      <c r="B5" s="37" t="s">
        <v>1</v>
      </c>
      <c r="C5" s="38" t="s">
        <v>4</v>
      </c>
      <c r="D5" s="40">
        <v>3438.3</v>
      </c>
      <c r="E5" s="40">
        <v>1859.8</v>
      </c>
      <c r="F5" s="36">
        <f t="shared" si="0"/>
        <v>0.84874717711581904</v>
      </c>
      <c r="G5" s="2"/>
    </row>
    <row r="6" spans="2:7" s="1" customFormat="1" ht="18" customHeight="1" x14ac:dyDescent="0.15">
      <c r="B6" s="41" t="s">
        <v>14</v>
      </c>
      <c r="C6" s="42" t="s">
        <v>2</v>
      </c>
      <c r="D6" s="43">
        <v>179.7</v>
      </c>
      <c r="E6" s="43">
        <v>153.4</v>
      </c>
      <c r="F6" s="36">
        <f t="shared" si="0"/>
        <v>0.17144719687092558</v>
      </c>
      <c r="G6" s="3"/>
    </row>
    <row r="7" spans="2:7" s="1" customFormat="1" ht="18" customHeight="1" x14ac:dyDescent="0.15">
      <c r="B7" s="41" t="s">
        <v>6</v>
      </c>
      <c r="C7" s="42" t="s">
        <v>3</v>
      </c>
      <c r="D7" s="43">
        <v>47.6</v>
      </c>
      <c r="E7" s="43">
        <v>20</v>
      </c>
      <c r="F7" s="36">
        <f t="shared" si="0"/>
        <v>1.3800000000000001</v>
      </c>
    </row>
    <row r="8" spans="2:7" s="1" customFormat="1" ht="18" customHeight="1" x14ac:dyDescent="0.15">
      <c r="B8" s="41" t="s">
        <v>6</v>
      </c>
      <c r="C8" s="42" t="s">
        <v>4</v>
      </c>
      <c r="D8" s="44">
        <v>469</v>
      </c>
      <c r="E8" s="44">
        <v>81.400000000000006</v>
      </c>
      <c r="F8" s="36">
        <f t="shared" si="0"/>
        <v>4.7616707616707616</v>
      </c>
    </row>
    <row r="9" spans="2:7" s="1" customFormat="1" ht="18" customHeight="1" x14ac:dyDescent="0.15">
      <c r="B9" s="41" t="s">
        <v>6</v>
      </c>
      <c r="C9" s="42" t="s">
        <v>5</v>
      </c>
      <c r="D9" s="44">
        <v>204.4</v>
      </c>
      <c r="E9" s="44">
        <v>46.2</v>
      </c>
      <c r="F9" s="36">
        <f t="shared" si="0"/>
        <v>3.4242424242424239</v>
      </c>
    </row>
    <row r="10" spans="2:7" s="1" customFormat="1" ht="18" customHeight="1" x14ac:dyDescent="0.15">
      <c r="B10" s="41" t="s">
        <v>7</v>
      </c>
      <c r="C10" s="42" t="s">
        <v>2</v>
      </c>
      <c r="D10" s="43">
        <v>25.8</v>
      </c>
      <c r="E10" s="43">
        <v>181.1</v>
      </c>
      <c r="F10" s="36">
        <f t="shared" si="0"/>
        <v>-0.85753727222528986</v>
      </c>
    </row>
    <row r="11" spans="2:7" s="1" customFormat="1" ht="18" customHeight="1" x14ac:dyDescent="0.15">
      <c r="B11" s="41" t="s">
        <v>7</v>
      </c>
      <c r="C11" s="42" t="s">
        <v>3</v>
      </c>
      <c r="D11" s="44">
        <v>50.5</v>
      </c>
      <c r="E11" s="44">
        <v>41.4</v>
      </c>
      <c r="F11" s="36">
        <f t="shared" si="0"/>
        <v>0.21980676328502419</v>
      </c>
    </row>
    <row r="12" spans="2:7" s="1" customFormat="1" ht="18" customHeight="1" x14ac:dyDescent="0.15">
      <c r="B12" s="41" t="s">
        <v>7</v>
      </c>
      <c r="C12" s="42" t="s">
        <v>4</v>
      </c>
      <c r="D12" s="43">
        <v>223.7</v>
      </c>
      <c r="E12" s="44">
        <v>56.8</v>
      </c>
      <c r="F12" s="36">
        <f t="shared" si="0"/>
        <v>2.9383802816901405</v>
      </c>
    </row>
    <row r="13" spans="2:7" s="1" customFormat="1" ht="18" customHeight="1" x14ac:dyDescent="0.15">
      <c r="B13" s="41" t="s">
        <v>8</v>
      </c>
      <c r="C13" s="42" t="s">
        <v>2</v>
      </c>
      <c r="D13" s="45">
        <v>50</v>
      </c>
      <c r="E13" s="45">
        <v>59.4</v>
      </c>
      <c r="F13" s="36">
        <f t="shared" si="0"/>
        <v>-0.15824915824915822</v>
      </c>
    </row>
    <row r="14" spans="2:7" s="1" customFormat="1" ht="18" customHeight="1" x14ac:dyDescent="0.15">
      <c r="B14" s="41" t="s">
        <v>8</v>
      </c>
      <c r="C14" s="42" t="s">
        <v>3</v>
      </c>
      <c r="D14" s="45">
        <v>593.29999999999995</v>
      </c>
      <c r="E14" s="45">
        <v>902.2</v>
      </c>
      <c r="F14" s="36">
        <f t="shared" si="0"/>
        <v>-0.34238528042562633</v>
      </c>
    </row>
  </sheetData>
  <dataConsolidate/>
  <mergeCells count="1">
    <mergeCell ref="B1:F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tabSelected="1" topLeftCell="A13" workbookViewId="0">
      <selection activeCell="L28" sqref="L28"/>
    </sheetView>
  </sheetViews>
  <sheetFormatPr defaultRowHeight="14.25" outlineLevelRow="2" x14ac:dyDescent="0.15"/>
  <cols>
    <col min="2" max="2" width="25.625" bestFit="1" customWidth="1"/>
    <col min="4" max="5" width="14.125" customWidth="1"/>
    <col min="6" max="6" width="13.5" customWidth="1"/>
  </cols>
  <sheetData>
    <row r="1" spans="2:6" x14ac:dyDescent="0.15">
      <c r="B1" s="47" t="s">
        <v>0</v>
      </c>
      <c r="C1" s="47"/>
      <c r="D1" s="47"/>
      <c r="E1" s="47"/>
      <c r="F1" s="47"/>
    </row>
    <row r="2" spans="2:6" ht="30" customHeight="1" x14ac:dyDescent="0.15">
      <c r="B2" s="17" t="s">
        <v>9</v>
      </c>
      <c r="C2" s="17" t="s">
        <v>10</v>
      </c>
      <c r="D2" s="17" t="s">
        <v>12</v>
      </c>
      <c r="E2" s="17" t="s">
        <v>11</v>
      </c>
      <c r="F2" s="11" t="s">
        <v>13</v>
      </c>
    </row>
    <row r="3" spans="2:6" outlineLevel="2" x14ac:dyDescent="0.15">
      <c r="B3" s="4" t="s">
        <v>1</v>
      </c>
      <c r="C3" s="5" t="s">
        <v>2</v>
      </c>
      <c r="D3" s="27">
        <v>3598.2</v>
      </c>
      <c r="E3" s="18">
        <v>4126.7</v>
      </c>
      <c r="F3" s="28">
        <f>(D3-E3)/E3</f>
        <v>-0.12806843240361548</v>
      </c>
    </row>
    <row r="4" spans="2:6" outlineLevel="2" x14ac:dyDescent="0.15">
      <c r="B4" s="6" t="s">
        <v>1</v>
      </c>
      <c r="C4" s="7" t="s">
        <v>3</v>
      </c>
      <c r="D4" s="19">
        <v>206.4</v>
      </c>
      <c r="E4" s="19">
        <v>1782.4</v>
      </c>
      <c r="F4" s="28">
        <f t="shared" ref="F4:F17" si="0">(D4-E4)/E4</f>
        <v>-0.88420107719928187</v>
      </c>
    </row>
    <row r="5" spans="2:6" outlineLevel="2" x14ac:dyDescent="0.15">
      <c r="B5" s="6" t="s">
        <v>1</v>
      </c>
      <c r="C5" s="7" t="s">
        <v>4</v>
      </c>
      <c r="D5" s="26">
        <v>3438.3</v>
      </c>
      <c r="E5" s="20">
        <v>1859.8</v>
      </c>
      <c r="F5" s="28">
        <f t="shared" si="0"/>
        <v>0.84874717711581904</v>
      </c>
    </row>
    <row r="6" spans="2:6" outlineLevel="1" x14ac:dyDescent="0.15">
      <c r="B6" s="15" t="s">
        <v>16</v>
      </c>
      <c r="C6" s="7"/>
      <c r="D6" s="26">
        <f>SUBTOTAL(1,D3:D5)</f>
        <v>2414.2999999999997</v>
      </c>
      <c r="E6" s="20"/>
      <c r="F6" s="28">
        <f>SUBTOTAL(1,F3:F5)</f>
        <v>-5.450744416235942E-2</v>
      </c>
    </row>
    <row r="7" spans="2:6" outlineLevel="2" x14ac:dyDescent="0.15">
      <c r="B7" s="8" t="s">
        <v>6</v>
      </c>
      <c r="C7" s="9" t="s">
        <v>2</v>
      </c>
      <c r="D7" s="21">
        <v>179.7</v>
      </c>
      <c r="E7" s="21">
        <v>153.4</v>
      </c>
      <c r="F7" s="28">
        <f t="shared" si="0"/>
        <v>0.17144719687092558</v>
      </c>
    </row>
    <row r="8" spans="2:6" outlineLevel="2" x14ac:dyDescent="0.15">
      <c r="B8" s="8" t="s">
        <v>6</v>
      </c>
      <c r="C8" s="9" t="s">
        <v>3</v>
      </c>
      <c r="D8" s="21">
        <v>47.6</v>
      </c>
      <c r="E8" s="29">
        <v>20</v>
      </c>
      <c r="F8" s="28">
        <f t="shared" si="0"/>
        <v>1.3800000000000001</v>
      </c>
    </row>
    <row r="9" spans="2:6" outlineLevel="2" x14ac:dyDescent="0.15">
      <c r="B9" s="8" t="s">
        <v>6</v>
      </c>
      <c r="C9" s="9" t="s">
        <v>4</v>
      </c>
      <c r="D9" s="22">
        <v>469</v>
      </c>
      <c r="E9" s="22">
        <v>81.400000000000006</v>
      </c>
      <c r="F9" s="28">
        <f t="shared" si="0"/>
        <v>4.7616707616707616</v>
      </c>
    </row>
    <row r="10" spans="2:6" outlineLevel="2" x14ac:dyDescent="0.15">
      <c r="B10" s="8" t="s">
        <v>6</v>
      </c>
      <c r="C10" s="9" t="s">
        <v>5</v>
      </c>
      <c r="D10" s="22">
        <v>204.4</v>
      </c>
      <c r="E10" s="22">
        <v>46.2</v>
      </c>
      <c r="F10" s="28">
        <f t="shared" si="0"/>
        <v>3.4242424242424239</v>
      </c>
    </row>
    <row r="11" spans="2:6" outlineLevel="1" x14ac:dyDescent="0.15">
      <c r="B11" s="16" t="s">
        <v>17</v>
      </c>
      <c r="C11" s="9"/>
      <c r="D11" s="22">
        <f>SUBTOTAL(1,D7:D10)</f>
        <v>225.17499999999998</v>
      </c>
      <c r="E11" s="22"/>
      <c r="F11" s="28">
        <f>SUBTOTAL(1,F7:F10)</f>
        <v>2.4343400956960277</v>
      </c>
    </row>
    <row r="12" spans="2:6" outlineLevel="2" x14ac:dyDescent="0.15">
      <c r="B12" s="8" t="s">
        <v>7</v>
      </c>
      <c r="C12" s="9" t="s">
        <v>2</v>
      </c>
      <c r="D12" s="21">
        <v>25.8</v>
      </c>
      <c r="E12" s="21">
        <v>181.1</v>
      </c>
      <c r="F12" s="28">
        <f t="shared" si="0"/>
        <v>-0.85753727222528986</v>
      </c>
    </row>
    <row r="13" spans="2:6" outlineLevel="2" x14ac:dyDescent="0.15">
      <c r="B13" s="8" t="s">
        <v>7</v>
      </c>
      <c r="C13" s="9" t="s">
        <v>3</v>
      </c>
      <c r="D13" s="22">
        <v>50.5</v>
      </c>
      <c r="E13" s="22">
        <v>41.4</v>
      </c>
      <c r="F13" s="28">
        <f t="shared" si="0"/>
        <v>0.21980676328502419</v>
      </c>
    </row>
    <row r="14" spans="2:6" outlineLevel="2" x14ac:dyDescent="0.15">
      <c r="B14" s="8" t="s">
        <v>7</v>
      </c>
      <c r="C14" s="9" t="s">
        <v>4</v>
      </c>
      <c r="D14" s="23">
        <v>223.7</v>
      </c>
      <c r="E14" s="22">
        <v>56.8</v>
      </c>
      <c r="F14" s="28">
        <f t="shared" si="0"/>
        <v>2.9383802816901405</v>
      </c>
    </row>
    <row r="15" spans="2:6" outlineLevel="1" x14ac:dyDescent="0.15">
      <c r="B15" s="16" t="s">
        <v>18</v>
      </c>
      <c r="C15" s="9"/>
      <c r="D15" s="23">
        <f>SUBTOTAL(1,D12:D14)</f>
        <v>100</v>
      </c>
      <c r="E15" s="22"/>
      <c r="F15" s="28">
        <f>SUBTOTAL(1,F12:F14)</f>
        <v>0.76688325758329157</v>
      </c>
    </row>
    <row r="16" spans="2:6" outlineLevel="2" x14ac:dyDescent="0.15">
      <c r="B16" s="8" t="s">
        <v>8</v>
      </c>
      <c r="C16" s="9" t="s">
        <v>2</v>
      </c>
      <c r="D16" s="24">
        <v>50</v>
      </c>
      <c r="E16" s="24">
        <v>59.4</v>
      </c>
      <c r="F16" s="28">
        <f t="shared" si="0"/>
        <v>-0.15824915824915822</v>
      </c>
    </row>
    <row r="17" spans="2:6" outlineLevel="2" x14ac:dyDescent="0.15">
      <c r="B17" s="8" t="s">
        <v>8</v>
      </c>
      <c r="C17" s="9" t="s">
        <v>3</v>
      </c>
      <c r="D17" s="24">
        <v>593.29999999999995</v>
      </c>
      <c r="E17" s="24">
        <v>902.2</v>
      </c>
      <c r="F17" s="28">
        <f t="shared" si="0"/>
        <v>-0.34238528042562633</v>
      </c>
    </row>
    <row r="18" spans="2:6" outlineLevel="1" x14ac:dyDescent="0.15">
      <c r="B18" s="16" t="s">
        <v>19</v>
      </c>
      <c r="C18" s="9"/>
      <c r="D18" s="24">
        <f>SUBTOTAL(1,D16:D17)</f>
        <v>321.64999999999998</v>
      </c>
      <c r="E18" s="24"/>
      <c r="F18" s="28">
        <f>SUBTOTAL(1,F16:F17)</f>
        <v>-0.25031721933739226</v>
      </c>
    </row>
    <row r="19" spans="2:6" x14ac:dyDescent="0.15">
      <c r="B19" s="16" t="s">
        <v>20</v>
      </c>
      <c r="C19" s="9"/>
      <c r="D19" s="24">
        <f>SUBTOTAL(1,D3:D17)</f>
        <v>757.24166666666667</v>
      </c>
      <c r="E19" s="24"/>
      <c r="F19" s="28">
        <f>SUBTOTAL(1,F3:F17)</f>
        <v>0.94782111536434366</v>
      </c>
    </row>
    <row r="20" spans="2:6" x14ac:dyDescent="0.15">
      <c r="D20" s="25"/>
      <c r="E20" s="25"/>
      <c r="F20" s="10"/>
    </row>
    <row r="21" spans="2:6" x14ac:dyDescent="0.15">
      <c r="F21" s="10"/>
    </row>
    <row r="22" spans="2:6" x14ac:dyDescent="0.15">
      <c r="F22" s="10"/>
    </row>
    <row r="23" spans="2:6" x14ac:dyDescent="0.15">
      <c r="F23" s="10"/>
    </row>
    <row r="24" spans="2:6" x14ac:dyDescent="0.15">
      <c r="F24" s="10"/>
    </row>
    <row r="25" spans="2:6" x14ac:dyDescent="0.15">
      <c r="F25" s="10"/>
    </row>
    <row r="26" spans="2:6" x14ac:dyDescent="0.15">
      <c r="F26" s="10"/>
    </row>
    <row r="27" spans="2:6" x14ac:dyDescent="0.15">
      <c r="F27" s="10"/>
    </row>
    <row r="28" spans="2:6" x14ac:dyDescent="0.15">
      <c r="F28" s="10"/>
    </row>
    <row r="29" spans="2:6" x14ac:dyDescent="0.15">
      <c r="F29" s="10"/>
    </row>
    <row r="30" spans="2:6" x14ac:dyDescent="0.15">
      <c r="F30" s="10"/>
    </row>
    <row r="31" spans="2:6" x14ac:dyDescent="0.15">
      <c r="F31" s="10"/>
    </row>
    <row r="32" spans="2:6" x14ac:dyDescent="0.15">
      <c r="F32" s="10"/>
    </row>
  </sheetData>
  <mergeCells count="1">
    <mergeCell ref="B1:F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21" sqref="E21"/>
    </sheetView>
  </sheetViews>
  <sheetFormatPr defaultRowHeight="14.25" x14ac:dyDescent="0.15"/>
  <cols>
    <col min="1" max="1" width="12.875" customWidth="1"/>
    <col min="2" max="2" width="15.125" customWidth="1"/>
    <col min="3" max="3" width="12.875" customWidth="1"/>
    <col min="4" max="4" width="14.75" customWidth="1"/>
    <col min="5" max="5" width="18" customWidth="1"/>
    <col min="6" max="6" width="10.5" customWidth="1"/>
  </cols>
  <sheetData>
    <row r="1" spans="1:6" x14ac:dyDescent="0.15">
      <c r="A1" t="s">
        <v>21</v>
      </c>
      <c r="B1" t="s">
        <v>22</v>
      </c>
      <c r="C1" s="12"/>
      <c r="D1" s="12"/>
    </row>
    <row r="2" spans="1:6" x14ac:dyDescent="0.15">
      <c r="A2" s="8" t="s">
        <v>23</v>
      </c>
      <c r="B2" s="9"/>
      <c r="C2" s="12"/>
      <c r="D2" s="12"/>
    </row>
    <row r="3" spans="1:6" x14ac:dyDescent="0.15">
      <c r="A3" s="8"/>
      <c r="B3" s="9" t="s">
        <v>24</v>
      </c>
      <c r="C3" s="13"/>
      <c r="D3" s="13"/>
    </row>
    <row r="4" spans="1:6" x14ac:dyDescent="0.15">
      <c r="A4" s="8"/>
      <c r="B4" s="9"/>
      <c r="C4" s="13"/>
      <c r="D4" s="13"/>
    </row>
    <row r="5" spans="1:6" x14ac:dyDescent="0.15">
      <c r="B5" s="30" t="s">
        <v>9</v>
      </c>
      <c r="C5" s="30" t="s">
        <v>10</v>
      </c>
      <c r="D5" s="31" t="s">
        <v>12</v>
      </c>
      <c r="E5" s="31" t="s">
        <v>11</v>
      </c>
      <c r="F5" s="32" t="s">
        <v>13</v>
      </c>
    </row>
    <row r="6" spans="1:6" x14ac:dyDescent="0.15">
      <c r="B6" s="33" t="s">
        <v>1</v>
      </c>
      <c r="C6" s="34" t="s">
        <v>2</v>
      </c>
      <c r="D6" s="35">
        <v>3598.2</v>
      </c>
      <c r="E6" s="35">
        <v>4126.7</v>
      </c>
      <c r="F6" s="36">
        <v>-0.12806843240361548</v>
      </c>
    </row>
    <row r="7" spans="1:6" x14ac:dyDescent="0.15">
      <c r="B7" s="37" t="s">
        <v>1</v>
      </c>
      <c r="C7" s="38" t="s">
        <v>4</v>
      </c>
      <c r="D7" s="40">
        <v>3438.3</v>
      </c>
      <c r="E7" s="40">
        <v>1859.8</v>
      </c>
      <c r="F7" s="36">
        <v>0.84874717711581904</v>
      </c>
    </row>
    <row r="8" spans="1:6" x14ac:dyDescent="0.15">
      <c r="B8" s="41" t="s">
        <v>6</v>
      </c>
      <c r="C8" s="42" t="s">
        <v>4</v>
      </c>
      <c r="D8" s="44">
        <v>469</v>
      </c>
      <c r="E8" s="44">
        <v>81.400000000000006</v>
      </c>
      <c r="F8" s="36">
        <v>4.7616707616707616</v>
      </c>
    </row>
    <row r="9" spans="1:6" x14ac:dyDescent="0.15">
      <c r="B9" s="41" t="s">
        <v>6</v>
      </c>
      <c r="C9" s="42" t="s">
        <v>5</v>
      </c>
      <c r="D9" s="44">
        <v>204.4</v>
      </c>
      <c r="E9" s="44">
        <v>46.2</v>
      </c>
      <c r="F9" s="36">
        <v>3.4242424242424239</v>
      </c>
    </row>
    <row r="10" spans="1:6" x14ac:dyDescent="0.15">
      <c r="B10" s="41" t="s">
        <v>7</v>
      </c>
      <c r="C10" s="42" t="s">
        <v>4</v>
      </c>
      <c r="D10" s="43">
        <v>223.7</v>
      </c>
      <c r="E10" s="44">
        <v>56.8</v>
      </c>
      <c r="F10" s="36">
        <v>2.9383802816901405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Sheet3!Criteria</vt:lpstr>
      <vt:lpstr>Sheet3!提取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dcterms:created xsi:type="dcterms:W3CDTF">2004-10-29T02:19:10Z</dcterms:created>
  <dcterms:modified xsi:type="dcterms:W3CDTF">2019-09-14T10:37:01Z</dcterms:modified>
</cp:coreProperties>
</file>