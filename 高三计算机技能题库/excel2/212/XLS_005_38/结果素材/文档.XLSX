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35" windowWidth="20475" windowHeight="9600" activeTab="4"/>
  </bookViews>
  <sheets>
    <sheet name="工资数据表" sheetId="1" r:id="rId1"/>
    <sheet name="Sheet2" sheetId="2" r:id="rId2"/>
    <sheet name="筛选" sheetId="3" r:id="rId3"/>
    <sheet name="分类汇总" sheetId="7" r:id="rId4"/>
    <sheet name="图表" sheetId="6" r:id="rId5"/>
  </sheets>
  <definedNames>
    <definedName name="_xlnm.Criteria" localSheetId="2">筛选!$A$1:$C$2</definedName>
    <definedName name="_xlnm.Extract" localSheetId="2">筛选!$B$9:$I$9</definedName>
  </definedNames>
  <calcPr calcId="145621"/>
</workbook>
</file>

<file path=xl/calcChain.xml><?xml version="1.0" encoding="utf-8"?>
<calcChain xmlns="http://schemas.openxmlformats.org/spreadsheetml/2006/main">
  <c r="G42" i="7" l="1"/>
  <c r="F42" i="7"/>
  <c r="G16" i="7"/>
  <c r="F16" i="7"/>
  <c r="F43" i="7" s="1"/>
  <c r="G4" i="7"/>
  <c r="G43" i="7" s="1"/>
  <c r="F4" i="7"/>
  <c r="B42" i="2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3" i="1"/>
</calcChain>
</file>

<file path=xl/sharedStrings.xml><?xml version="1.0" encoding="utf-8"?>
<sst xmlns="http://schemas.openxmlformats.org/spreadsheetml/2006/main" count="400" uniqueCount="65">
  <si>
    <t>姓名</t>
  </si>
  <si>
    <t>编制</t>
  </si>
  <si>
    <t>职称</t>
  </si>
  <si>
    <t>基本工资</t>
  </si>
  <si>
    <t>加班津贴</t>
  </si>
  <si>
    <t>月课时</t>
  </si>
  <si>
    <t>奖金</t>
  </si>
  <si>
    <t>扣款</t>
  </si>
  <si>
    <t>褚梦佳</t>
  </si>
  <si>
    <t>合同工</t>
  </si>
  <si>
    <t>讲师</t>
  </si>
  <si>
    <t>蔡敏梅</t>
  </si>
  <si>
    <t>正式工</t>
  </si>
  <si>
    <t>助教</t>
  </si>
  <si>
    <t>赵林莉</t>
  </si>
  <si>
    <t>临时工</t>
  </si>
  <si>
    <t>糜义杰</t>
  </si>
  <si>
    <t>周丽萍</t>
  </si>
  <si>
    <t>干部</t>
  </si>
  <si>
    <t>高级讲师</t>
  </si>
  <si>
    <t>王英</t>
  </si>
  <si>
    <t>陈子雅</t>
  </si>
  <si>
    <t xml:space="preserve">合同工 </t>
  </si>
  <si>
    <t>周文洁</t>
  </si>
  <si>
    <t>成立</t>
  </si>
  <si>
    <t>陈晖</t>
  </si>
  <si>
    <t>王玉芳</t>
  </si>
  <si>
    <t>邵艳</t>
  </si>
  <si>
    <t>殷岳峰</t>
  </si>
  <si>
    <t>董红</t>
  </si>
  <si>
    <t>王海霞</t>
  </si>
  <si>
    <t>闫静</t>
  </si>
  <si>
    <t>裴娟娟</t>
  </si>
  <si>
    <t>曹淤青</t>
  </si>
  <si>
    <t>毛翠柳</t>
  </si>
  <si>
    <t>胡云</t>
  </si>
  <si>
    <t>谢洁</t>
  </si>
  <si>
    <t>杨学胜</t>
  </si>
  <si>
    <t>强兆娣</t>
  </si>
  <si>
    <t>徐佳佳</t>
  </si>
  <si>
    <t>汤勇</t>
  </si>
  <si>
    <t>谢京平</t>
  </si>
  <si>
    <t>唐红霞</t>
  </si>
  <si>
    <t>顾荣荣</t>
  </si>
  <si>
    <t>钱继英</t>
  </si>
  <si>
    <t>丁明亚</t>
  </si>
  <si>
    <t>刘雪云</t>
  </si>
  <si>
    <t>刁英英</t>
  </si>
  <si>
    <t>吴海洋</t>
  </si>
  <si>
    <t>蒋正明</t>
  </si>
  <si>
    <t>陶霞芳</t>
  </si>
  <si>
    <t>周洁明</t>
  </si>
  <si>
    <t>许远</t>
  </si>
  <si>
    <t>夏可利</t>
  </si>
  <si>
    <t>2018年教师工资数据表</t>
    <phoneticPr fontId="1" type="noConversion"/>
  </si>
  <si>
    <t>编制</t>
    <phoneticPr fontId="1" type="noConversion"/>
  </si>
  <si>
    <t>临时工</t>
    <phoneticPr fontId="1" type="noConversion"/>
  </si>
  <si>
    <t>职称</t>
    <phoneticPr fontId="1" type="noConversion"/>
  </si>
  <si>
    <t>助教</t>
    <phoneticPr fontId="1" type="noConversion"/>
  </si>
  <si>
    <t>月课时</t>
    <phoneticPr fontId="1" type="noConversion"/>
  </si>
  <si>
    <t>&gt;40</t>
    <phoneticPr fontId="1" type="noConversion"/>
  </si>
  <si>
    <t>高级讲师 最大值</t>
  </si>
  <si>
    <t>讲师 最大值</t>
  </si>
  <si>
    <t>助教 最大值</t>
  </si>
  <si>
    <t>总计最大值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</si>
</sst>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4"/>
      <color rgb="FFFF0000"/>
      <name val="黑体"/>
      <family val="3"/>
      <charset val="134"/>
    </font>
    <font>
      <sz val="10"/>
      <color theme="1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0070C0"/>
      </left>
      <right style="thin">
        <color rgb="FF0070C0"/>
      </right>
      <top style="thick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ck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70C0"/>
      </right>
      <top style="thick">
        <color rgb="FF0070C0"/>
      </top>
      <bottom style="thin">
        <color rgb="FF0070C0"/>
      </bottom>
      <diagonal/>
    </border>
    <border>
      <left style="thick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70C0"/>
      </right>
      <top style="thin">
        <color rgb="FF0070C0"/>
      </top>
      <bottom style="thin">
        <color rgb="FF0070C0"/>
      </bottom>
      <diagonal/>
    </border>
    <border>
      <left style="thick">
        <color rgb="FF0070C0"/>
      </left>
      <right style="thin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rgb="FF0070C0"/>
      </left>
      <right style="thick">
        <color rgb="FF0070C0"/>
      </right>
      <top style="thin">
        <color rgb="FF0070C0"/>
      </top>
      <bottom style="thick">
        <color rgb="FF0070C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职称课时奖统计图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分类汇总!$F$1</c:f>
              <c:strCache>
                <c:ptCount val="1"/>
                <c:pt idx="0">
                  <c:v>月课时</c:v>
                </c:pt>
              </c:strCache>
            </c:strRef>
          </c:tx>
          <c:invertIfNegative val="0"/>
          <c:cat>
            <c:strRef>
              <c:f>分类汇总!$C$2:$C$42</c:f>
              <c:strCache>
                <c:ptCount val="3"/>
                <c:pt idx="0">
                  <c:v>高级讲师 最大值</c:v>
                </c:pt>
                <c:pt idx="1">
                  <c:v>讲师 最大值</c:v>
                </c:pt>
                <c:pt idx="2">
                  <c:v>助教 最大值</c:v>
                </c:pt>
              </c:strCache>
            </c:strRef>
          </c:cat>
          <c:val>
            <c:numRef>
              <c:f>分类汇总!$F$2:$F$42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54</c:v>
                </c:pt>
              </c:numCache>
            </c:numRef>
          </c:val>
        </c:ser>
        <c:ser>
          <c:idx val="1"/>
          <c:order val="1"/>
          <c:tx>
            <c:strRef>
              <c:f>分类汇总!$G$1</c:f>
              <c:strCache>
                <c:ptCount val="1"/>
                <c:pt idx="0">
                  <c:v>奖金</c:v>
                </c:pt>
              </c:strCache>
            </c:strRef>
          </c:tx>
          <c:invertIfNegative val="0"/>
          <c:cat>
            <c:strRef>
              <c:f>分类汇总!$C$2:$C$42</c:f>
              <c:strCache>
                <c:ptCount val="3"/>
                <c:pt idx="0">
                  <c:v>高级讲师 最大值</c:v>
                </c:pt>
                <c:pt idx="1">
                  <c:v>讲师 最大值</c:v>
                </c:pt>
                <c:pt idx="2">
                  <c:v>助教 最大值</c:v>
                </c:pt>
              </c:strCache>
            </c:strRef>
          </c:cat>
          <c:val>
            <c:numRef>
              <c:f>分类汇总!$G$2:$G$42</c:f>
              <c:numCache>
                <c:formatCode>General</c:formatCode>
                <c:ptCount val="3"/>
                <c:pt idx="0">
                  <c:v>1300</c:v>
                </c:pt>
                <c:pt idx="1">
                  <c:v>1700</c:v>
                </c:pt>
                <c:pt idx="2">
                  <c:v>1460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30483968"/>
        <c:axId val="30485504"/>
        <c:axId val="50945536"/>
      </c:bar3DChart>
      <c:catAx>
        <c:axId val="30483968"/>
        <c:scaling>
          <c:orientation val="minMax"/>
        </c:scaling>
        <c:delete val="0"/>
        <c:axPos val="b"/>
        <c:majorTickMark val="out"/>
        <c:minorTickMark val="none"/>
        <c:tickLblPos val="nextTo"/>
        <c:crossAx val="30485504"/>
        <c:crosses val="autoZero"/>
        <c:auto val="1"/>
        <c:lblAlgn val="ctr"/>
        <c:lblOffset val="100"/>
        <c:noMultiLvlLbl val="0"/>
      </c:catAx>
      <c:valAx>
        <c:axId val="30485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483968"/>
        <c:crosses val="autoZero"/>
        <c:crossBetween val="between"/>
      </c:valAx>
      <c:serAx>
        <c:axId val="50945536"/>
        <c:scaling>
          <c:orientation val="minMax"/>
        </c:scaling>
        <c:delete val="0"/>
        <c:axPos val="b"/>
        <c:majorTickMark val="out"/>
        <c:minorTickMark val="none"/>
        <c:tickLblPos val="nextTo"/>
        <c:crossAx val="30485504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519112</xdr:colOff>
      <xdr:row>8</xdr:row>
      <xdr:rowOff>9524</xdr:rowOff>
    </xdr:from>
    <xdr:to>
      <xdr:col>9</xdr:col>
      <xdr:colOff>581025</xdr:colOff>
      <xdr:row>24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opLeftCell="A10" workbookViewId="0">
      <selection activeCell="H40" sqref="H40"/>
    </sheetView>
  </sheetViews>
  <sheetFormatPr defaultRowHeight="13.5" x14ac:dyDescent="0.15"/>
  <sheetData>
    <row r="1" spans="1:8" ht="30" customHeight="1" thickBot="1" x14ac:dyDescent="0.2">
      <c r="A1" s="11" t="s">
        <v>54</v>
      </c>
      <c r="B1" s="12"/>
      <c r="C1" s="12"/>
      <c r="D1" s="12"/>
      <c r="E1" s="12"/>
      <c r="F1" s="12"/>
      <c r="G1" s="12"/>
      <c r="H1" s="12"/>
    </row>
    <row r="2" spans="1:8" ht="14.25" thickTop="1" x14ac:dyDescent="0.1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</row>
    <row r="3" spans="1:8" x14ac:dyDescent="0.15">
      <c r="A3" s="5" t="s">
        <v>8</v>
      </c>
      <c r="B3" s="6" t="s">
        <v>9</v>
      </c>
      <c r="C3" s="6" t="s">
        <v>10</v>
      </c>
      <c r="D3" s="6">
        <v>1808</v>
      </c>
      <c r="E3" s="6">
        <v>561.17999999999995</v>
      </c>
      <c r="F3" s="6">
        <v>37.5</v>
      </c>
      <c r="G3" s="6">
        <f>500+(F3-30)*40</f>
        <v>800</v>
      </c>
      <c r="H3" s="7">
        <v>150</v>
      </c>
    </row>
    <row r="4" spans="1:8" x14ac:dyDescent="0.15">
      <c r="A4" s="5" t="s">
        <v>11</v>
      </c>
      <c r="B4" s="6" t="s">
        <v>12</v>
      </c>
      <c r="C4" s="6" t="s">
        <v>13</v>
      </c>
      <c r="D4" s="6">
        <v>1570</v>
      </c>
      <c r="E4" s="6">
        <v>405.51</v>
      </c>
      <c r="F4" s="6">
        <v>43.5</v>
      </c>
      <c r="G4" s="6">
        <f t="shared" ref="G4:G40" si="0">500+(F4-30)*40</f>
        <v>1040</v>
      </c>
      <c r="H4" s="7">
        <v>110</v>
      </c>
    </row>
    <row r="5" spans="1:8" x14ac:dyDescent="0.15">
      <c r="A5" s="5" t="s">
        <v>14</v>
      </c>
      <c r="B5" s="6" t="s">
        <v>15</v>
      </c>
      <c r="C5" s="6" t="s">
        <v>13</v>
      </c>
      <c r="D5" s="6">
        <v>1570</v>
      </c>
      <c r="E5" s="6">
        <v>285.94</v>
      </c>
      <c r="F5" s="6">
        <v>34.5</v>
      </c>
      <c r="G5" s="6">
        <f t="shared" si="0"/>
        <v>680</v>
      </c>
      <c r="H5" s="7">
        <v>170</v>
      </c>
    </row>
    <row r="6" spans="1:8" x14ac:dyDescent="0.15">
      <c r="A6" s="5" t="s">
        <v>16</v>
      </c>
      <c r="B6" s="6" t="s">
        <v>9</v>
      </c>
      <c r="C6" s="6" t="s">
        <v>13</v>
      </c>
      <c r="D6" s="6">
        <v>1570</v>
      </c>
      <c r="E6" s="6">
        <v>475.61</v>
      </c>
      <c r="F6" s="6">
        <v>31.5</v>
      </c>
      <c r="G6" s="6">
        <f t="shared" si="0"/>
        <v>560</v>
      </c>
      <c r="H6" s="7">
        <v>190</v>
      </c>
    </row>
    <row r="7" spans="1:8" x14ac:dyDescent="0.15">
      <c r="A7" s="5" t="s">
        <v>17</v>
      </c>
      <c r="B7" s="6" t="s">
        <v>18</v>
      </c>
      <c r="C7" s="6" t="s">
        <v>19</v>
      </c>
      <c r="D7" s="6">
        <v>2700</v>
      </c>
      <c r="E7" s="6">
        <v>675.84</v>
      </c>
      <c r="F7" s="6">
        <v>36</v>
      </c>
      <c r="G7" s="6">
        <f t="shared" si="0"/>
        <v>740</v>
      </c>
      <c r="H7" s="7">
        <v>160</v>
      </c>
    </row>
    <row r="8" spans="1:8" x14ac:dyDescent="0.15">
      <c r="A8" s="5" t="s">
        <v>20</v>
      </c>
      <c r="B8" s="6" t="s">
        <v>12</v>
      </c>
      <c r="C8" s="6" t="s">
        <v>13</v>
      </c>
      <c r="D8" s="6">
        <v>1570</v>
      </c>
      <c r="E8" s="6">
        <v>661.15</v>
      </c>
      <c r="F8" s="6">
        <v>33</v>
      </c>
      <c r="G8" s="6">
        <f t="shared" si="0"/>
        <v>620</v>
      </c>
      <c r="H8" s="7">
        <v>180</v>
      </c>
    </row>
    <row r="9" spans="1:8" x14ac:dyDescent="0.15">
      <c r="A9" s="5" t="s">
        <v>21</v>
      </c>
      <c r="B9" s="6" t="s">
        <v>22</v>
      </c>
      <c r="C9" s="6" t="s">
        <v>10</v>
      </c>
      <c r="D9" s="6">
        <v>1808</v>
      </c>
      <c r="E9" s="6">
        <v>754.43</v>
      </c>
      <c r="F9" s="6">
        <v>30</v>
      </c>
      <c r="G9" s="6">
        <f t="shared" si="0"/>
        <v>500</v>
      </c>
      <c r="H9" s="7">
        <v>200</v>
      </c>
    </row>
    <row r="10" spans="1:8" x14ac:dyDescent="0.15">
      <c r="A10" s="5" t="s">
        <v>23</v>
      </c>
      <c r="B10" s="6" t="s">
        <v>12</v>
      </c>
      <c r="C10" s="6" t="s">
        <v>13</v>
      </c>
      <c r="D10" s="6">
        <v>1570</v>
      </c>
      <c r="E10" s="6">
        <v>393.87</v>
      </c>
      <c r="F10" s="6">
        <v>39</v>
      </c>
      <c r="G10" s="6">
        <f t="shared" si="0"/>
        <v>860</v>
      </c>
      <c r="H10" s="7">
        <v>140</v>
      </c>
    </row>
    <row r="11" spans="1:8" x14ac:dyDescent="0.15">
      <c r="A11" s="5" t="s">
        <v>24</v>
      </c>
      <c r="B11" s="6" t="s">
        <v>15</v>
      </c>
      <c r="C11" s="6" t="s">
        <v>13</v>
      </c>
      <c r="D11" s="6">
        <v>1570</v>
      </c>
      <c r="E11" s="6">
        <v>463.33</v>
      </c>
      <c r="F11" s="6">
        <v>49.5</v>
      </c>
      <c r="G11" s="6">
        <f t="shared" si="0"/>
        <v>1280</v>
      </c>
      <c r="H11" s="7">
        <v>70</v>
      </c>
    </row>
    <row r="12" spans="1:8" x14ac:dyDescent="0.15">
      <c r="A12" s="5" t="s">
        <v>25</v>
      </c>
      <c r="B12" s="6" t="s">
        <v>18</v>
      </c>
      <c r="C12" s="6" t="s">
        <v>10</v>
      </c>
      <c r="D12" s="6">
        <v>1808</v>
      </c>
      <c r="E12" s="6">
        <v>518.12</v>
      </c>
      <c r="F12" s="6">
        <v>43.5</v>
      </c>
      <c r="G12" s="6">
        <f t="shared" si="0"/>
        <v>1040</v>
      </c>
      <c r="H12" s="7">
        <v>110</v>
      </c>
    </row>
    <row r="13" spans="1:8" x14ac:dyDescent="0.15">
      <c r="A13" s="5" t="s">
        <v>26</v>
      </c>
      <c r="B13" s="6" t="s">
        <v>12</v>
      </c>
      <c r="C13" s="6" t="s">
        <v>13</v>
      </c>
      <c r="D13" s="6">
        <v>1570</v>
      </c>
      <c r="E13" s="6">
        <v>318.95</v>
      </c>
      <c r="F13" s="6">
        <v>40.5</v>
      </c>
      <c r="G13" s="6">
        <f t="shared" si="0"/>
        <v>920</v>
      </c>
      <c r="H13" s="7">
        <v>130</v>
      </c>
    </row>
    <row r="14" spans="1:8" x14ac:dyDescent="0.15">
      <c r="A14" s="5" t="s">
        <v>27</v>
      </c>
      <c r="B14" s="6" t="s">
        <v>15</v>
      </c>
      <c r="C14" s="6" t="s">
        <v>13</v>
      </c>
      <c r="D14" s="6">
        <v>1570</v>
      </c>
      <c r="E14" s="6">
        <v>218.72</v>
      </c>
      <c r="F14" s="6">
        <v>42</v>
      </c>
      <c r="G14" s="6">
        <f t="shared" si="0"/>
        <v>980</v>
      </c>
      <c r="H14" s="7">
        <v>120</v>
      </c>
    </row>
    <row r="15" spans="1:8" x14ac:dyDescent="0.15">
      <c r="A15" s="5" t="s">
        <v>28</v>
      </c>
      <c r="B15" s="6" t="s">
        <v>18</v>
      </c>
      <c r="C15" s="6" t="s">
        <v>10</v>
      </c>
      <c r="D15" s="6">
        <v>1808</v>
      </c>
      <c r="E15" s="6">
        <v>413.65</v>
      </c>
      <c r="F15" s="6">
        <v>37.5</v>
      </c>
      <c r="G15" s="6">
        <f t="shared" si="0"/>
        <v>800</v>
      </c>
      <c r="H15" s="7">
        <v>150</v>
      </c>
    </row>
    <row r="16" spans="1:8" x14ac:dyDescent="0.15">
      <c r="A16" s="5" t="s">
        <v>29</v>
      </c>
      <c r="B16" s="6" t="s">
        <v>9</v>
      </c>
      <c r="C16" s="6" t="s">
        <v>13</v>
      </c>
      <c r="D16" s="6">
        <v>1570</v>
      </c>
      <c r="E16" s="6">
        <v>250.49</v>
      </c>
      <c r="F16" s="6">
        <v>41.5</v>
      </c>
      <c r="G16" s="6">
        <f t="shared" si="0"/>
        <v>960</v>
      </c>
      <c r="H16" s="7">
        <v>210</v>
      </c>
    </row>
    <row r="17" spans="1:8" x14ac:dyDescent="0.15">
      <c r="A17" s="5" t="s">
        <v>30</v>
      </c>
      <c r="B17" s="6" t="s">
        <v>15</v>
      </c>
      <c r="C17" s="6" t="s">
        <v>13</v>
      </c>
      <c r="D17" s="6">
        <v>1570</v>
      </c>
      <c r="E17" s="6">
        <v>330.51</v>
      </c>
      <c r="F17" s="6">
        <v>36</v>
      </c>
      <c r="G17" s="6">
        <f t="shared" si="0"/>
        <v>740</v>
      </c>
      <c r="H17" s="7">
        <v>160</v>
      </c>
    </row>
    <row r="18" spans="1:8" x14ac:dyDescent="0.15">
      <c r="A18" s="5" t="s">
        <v>31</v>
      </c>
      <c r="B18" s="6" t="s">
        <v>9</v>
      </c>
      <c r="C18" s="6" t="s">
        <v>13</v>
      </c>
      <c r="D18" s="6">
        <v>1570</v>
      </c>
      <c r="E18" s="6">
        <v>413.97</v>
      </c>
      <c r="F18" s="6">
        <v>30</v>
      </c>
      <c r="G18" s="6">
        <f t="shared" si="0"/>
        <v>500</v>
      </c>
      <c r="H18" s="7">
        <v>200</v>
      </c>
    </row>
    <row r="19" spans="1:8" x14ac:dyDescent="0.15">
      <c r="A19" s="5" t="s">
        <v>32</v>
      </c>
      <c r="B19" s="6" t="s">
        <v>15</v>
      </c>
      <c r="C19" s="6" t="s">
        <v>13</v>
      </c>
      <c r="D19" s="6">
        <v>1570</v>
      </c>
      <c r="E19" s="6">
        <v>626.88</v>
      </c>
      <c r="F19" s="6">
        <v>40.5</v>
      </c>
      <c r="G19" s="6">
        <f t="shared" si="0"/>
        <v>920</v>
      </c>
      <c r="H19" s="7">
        <v>130</v>
      </c>
    </row>
    <row r="20" spans="1:8" x14ac:dyDescent="0.15">
      <c r="A20" s="5" t="s">
        <v>33</v>
      </c>
      <c r="B20" s="6" t="s">
        <v>18</v>
      </c>
      <c r="C20" s="6" t="s">
        <v>10</v>
      </c>
      <c r="D20" s="6">
        <v>1808</v>
      </c>
      <c r="E20" s="6">
        <v>397.57</v>
      </c>
      <c r="F20" s="6">
        <v>42</v>
      </c>
      <c r="G20" s="6">
        <f t="shared" si="0"/>
        <v>980</v>
      </c>
      <c r="H20" s="7">
        <v>120</v>
      </c>
    </row>
    <row r="21" spans="1:8" x14ac:dyDescent="0.15">
      <c r="A21" s="5" t="s">
        <v>34</v>
      </c>
      <c r="B21" s="6" t="s">
        <v>12</v>
      </c>
      <c r="C21" s="6" t="s">
        <v>13</v>
      </c>
      <c r="D21" s="6">
        <v>1570</v>
      </c>
      <c r="E21" s="6">
        <v>807.19</v>
      </c>
      <c r="F21" s="6">
        <v>46.5</v>
      </c>
      <c r="G21" s="6">
        <f t="shared" si="0"/>
        <v>1160</v>
      </c>
      <c r="H21" s="7">
        <v>90</v>
      </c>
    </row>
    <row r="22" spans="1:8" x14ac:dyDescent="0.15">
      <c r="A22" s="5" t="s">
        <v>35</v>
      </c>
      <c r="B22" s="6" t="s">
        <v>12</v>
      </c>
      <c r="C22" s="6" t="s">
        <v>13</v>
      </c>
      <c r="D22" s="6">
        <v>1570</v>
      </c>
      <c r="E22" s="6">
        <v>267.19</v>
      </c>
      <c r="F22" s="6">
        <v>50.5</v>
      </c>
      <c r="G22" s="6">
        <f t="shared" si="0"/>
        <v>1320</v>
      </c>
      <c r="H22" s="7">
        <v>270</v>
      </c>
    </row>
    <row r="23" spans="1:8" x14ac:dyDescent="0.15">
      <c r="A23" s="5" t="s">
        <v>36</v>
      </c>
      <c r="B23" s="6" t="s">
        <v>15</v>
      </c>
      <c r="C23" s="6" t="s">
        <v>13</v>
      </c>
      <c r="D23" s="6">
        <v>1570</v>
      </c>
      <c r="E23" s="6">
        <v>225.5</v>
      </c>
      <c r="F23" s="6">
        <v>34.5</v>
      </c>
      <c r="G23" s="6">
        <f t="shared" si="0"/>
        <v>680</v>
      </c>
      <c r="H23" s="7">
        <v>170</v>
      </c>
    </row>
    <row r="24" spans="1:8" x14ac:dyDescent="0.15">
      <c r="A24" s="5" t="s">
        <v>37</v>
      </c>
      <c r="B24" s="6" t="s">
        <v>9</v>
      </c>
      <c r="C24" s="6" t="s">
        <v>10</v>
      </c>
      <c r="D24" s="6">
        <v>1808</v>
      </c>
      <c r="E24" s="6">
        <v>419.88</v>
      </c>
      <c r="F24" s="6">
        <v>37.5</v>
      </c>
      <c r="G24" s="6">
        <f t="shared" si="0"/>
        <v>800</v>
      </c>
      <c r="H24" s="7">
        <v>150</v>
      </c>
    </row>
    <row r="25" spans="1:8" x14ac:dyDescent="0.15">
      <c r="A25" s="5" t="s">
        <v>38</v>
      </c>
      <c r="B25" s="6" t="s">
        <v>18</v>
      </c>
      <c r="C25" s="6" t="s">
        <v>19</v>
      </c>
      <c r="D25" s="6">
        <v>2700</v>
      </c>
      <c r="E25" s="6">
        <v>818.5</v>
      </c>
      <c r="F25" s="6">
        <v>50</v>
      </c>
      <c r="G25" s="6">
        <f t="shared" si="0"/>
        <v>1300</v>
      </c>
      <c r="H25" s="7">
        <v>230</v>
      </c>
    </row>
    <row r="26" spans="1:8" x14ac:dyDescent="0.15">
      <c r="A26" s="5" t="s">
        <v>39</v>
      </c>
      <c r="B26" s="6" t="s">
        <v>9</v>
      </c>
      <c r="C26" s="6" t="s">
        <v>13</v>
      </c>
      <c r="D26" s="6">
        <v>1570</v>
      </c>
      <c r="E26" s="6">
        <v>390.19</v>
      </c>
      <c r="F26" s="6">
        <v>54</v>
      </c>
      <c r="G26" s="6">
        <f t="shared" si="0"/>
        <v>1460</v>
      </c>
      <c r="H26" s="7">
        <v>40</v>
      </c>
    </row>
    <row r="27" spans="1:8" x14ac:dyDescent="0.15">
      <c r="A27" s="5" t="s">
        <v>40</v>
      </c>
      <c r="B27" s="6" t="s">
        <v>18</v>
      </c>
      <c r="C27" s="6" t="s">
        <v>10</v>
      </c>
      <c r="D27" s="6">
        <v>1808</v>
      </c>
      <c r="E27" s="6">
        <v>405.73</v>
      </c>
      <c r="F27" s="6">
        <v>60</v>
      </c>
      <c r="G27" s="6">
        <f t="shared" si="0"/>
        <v>1700</v>
      </c>
      <c r="H27" s="7">
        <v>0</v>
      </c>
    </row>
    <row r="28" spans="1:8" x14ac:dyDescent="0.15">
      <c r="A28" s="5" t="s">
        <v>41</v>
      </c>
      <c r="B28" s="6" t="s">
        <v>9</v>
      </c>
      <c r="C28" s="6" t="s">
        <v>13</v>
      </c>
      <c r="D28" s="6">
        <v>1570</v>
      </c>
      <c r="E28" s="6">
        <v>269.58999999999997</v>
      </c>
      <c r="F28" s="6">
        <v>46.5</v>
      </c>
      <c r="G28" s="6">
        <f t="shared" si="0"/>
        <v>1160</v>
      </c>
      <c r="H28" s="7">
        <v>90</v>
      </c>
    </row>
    <row r="29" spans="1:8" x14ac:dyDescent="0.15">
      <c r="A29" s="5" t="s">
        <v>42</v>
      </c>
      <c r="B29" s="6" t="s">
        <v>15</v>
      </c>
      <c r="C29" s="6" t="s">
        <v>13</v>
      </c>
      <c r="D29" s="6">
        <v>1570</v>
      </c>
      <c r="E29" s="6">
        <v>207.99</v>
      </c>
      <c r="F29" s="6">
        <v>51</v>
      </c>
      <c r="G29" s="6">
        <f t="shared" si="0"/>
        <v>1340</v>
      </c>
      <c r="H29" s="7">
        <v>60</v>
      </c>
    </row>
    <row r="30" spans="1:8" x14ac:dyDescent="0.15">
      <c r="A30" s="5" t="s">
        <v>43</v>
      </c>
      <c r="B30" s="6" t="s">
        <v>9</v>
      </c>
      <c r="C30" s="6" t="s">
        <v>10</v>
      </c>
      <c r="D30" s="6">
        <v>1808</v>
      </c>
      <c r="E30" s="6">
        <v>317.88</v>
      </c>
      <c r="F30" s="6">
        <v>60</v>
      </c>
      <c r="G30" s="6">
        <f t="shared" si="0"/>
        <v>1700</v>
      </c>
      <c r="H30" s="7">
        <v>0</v>
      </c>
    </row>
    <row r="31" spans="1:8" x14ac:dyDescent="0.15">
      <c r="A31" s="5" t="s">
        <v>44</v>
      </c>
      <c r="B31" s="6" t="s">
        <v>12</v>
      </c>
      <c r="C31" s="6" t="s">
        <v>13</v>
      </c>
      <c r="D31" s="6">
        <v>1570</v>
      </c>
      <c r="E31" s="6">
        <v>336.5</v>
      </c>
      <c r="F31" s="6">
        <v>34.5</v>
      </c>
      <c r="G31" s="6">
        <f t="shared" si="0"/>
        <v>680</v>
      </c>
      <c r="H31" s="7">
        <v>170</v>
      </c>
    </row>
    <row r="32" spans="1:8" x14ac:dyDescent="0.15">
      <c r="A32" s="5" t="s">
        <v>45</v>
      </c>
      <c r="B32" s="6" t="s">
        <v>9</v>
      </c>
      <c r="C32" s="6" t="s">
        <v>13</v>
      </c>
      <c r="D32" s="6">
        <v>1570</v>
      </c>
      <c r="E32" s="6">
        <v>269.58999999999997</v>
      </c>
      <c r="F32" s="6">
        <v>30</v>
      </c>
      <c r="G32" s="6">
        <f t="shared" si="0"/>
        <v>500</v>
      </c>
      <c r="H32" s="7">
        <v>0</v>
      </c>
    </row>
    <row r="33" spans="1:8" x14ac:dyDescent="0.15">
      <c r="A33" s="5" t="s">
        <v>46</v>
      </c>
      <c r="B33" s="6" t="s">
        <v>15</v>
      </c>
      <c r="C33" s="6" t="s">
        <v>13</v>
      </c>
      <c r="D33" s="6">
        <v>1570</v>
      </c>
      <c r="E33" s="6">
        <v>207.99</v>
      </c>
      <c r="F33" s="6">
        <v>30</v>
      </c>
      <c r="G33" s="6">
        <f t="shared" si="0"/>
        <v>500</v>
      </c>
      <c r="H33" s="7">
        <v>120</v>
      </c>
    </row>
    <row r="34" spans="1:8" x14ac:dyDescent="0.15">
      <c r="A34" s="5" t="s">
        <v>47</v>
      </c>
      <c r="B34" s="6" t="s">
        <v>9</v>
      </c>
      <c r="C34" s="6" t="s">
        <v>10</v>
      </c>
      <c r="D34" s="6">
        <v>1808</v>
      </c>
      <c r="E34" s="6">
        <v>317.88</v>
      </c>
      <c r="F34" s="6">
        <v>39</v>
      </c>
      <c r="G34" s="6">
        <f t="shared" si="0"/>
        <v>860</v>
      </c>
      <c r="H34" s="7">
        <v>90</v>
      </c>
    </row>
    <row r="35" spans="1:8" x14ac:dyDescent="0.15">
      <c r="A35" s="5" t="s">
        <v>48</v>
      </c>
      <c r="B35" s="6" t="s">
        <v>9</v>
      </c>
      <c r="C35" s="6" t="s">
        <v>13</v>
      </c>
      <c r="D35" s="6">
        <v>1570</v>
      </c>
      <c r="E35" s="6">
        <v>269.58999999999997</v>
      </c>
      <c r="F35" s="6">
        <v>42</v>
      </c>
      <c r="G35" s="6">
        <f t="shared" si="0"/>
        <v>980</v>
      </c>
      <c r="H35" s="7">
        <v>270</v>
      </c>
    </row>
    <row r="36" spans="1:8" x14ac:dyDescent="0.15">
      <c r="A36" s="5" t="s">
        <v>49</v>
      </c>
      <c r="B36" s="6" t="s">
        <v>15</v>
      </c>
      <c r="C36" s="6" t="s">
        <v>13</v>
      </c>
      <c r="D36" s="6">
        <v>1570</v>
      </c>
      <c r="E36" s="6">
        <v>207.99</v>
      </c>
      <c r="F36" s="6">
        <v>37.5</v>
      </c>
      <c r="G36" s="6">
        <f t="shared" si="0"/>
        <v>800</v>
      </c>
      <c r="H36" s="7">
        <v>170</v>
      </c>
    </row>
    <row r="37" spans="1:8" x14ac:dyDescent="0.15">
      <c r="A37" s="5" t="s">
        <v>50</v>
      </c>
      <c r="B37" s="6" t="s">
        <v>9</v>
      </c>
      <c r="C37" s="6" t="s">
        <v>10</v>
      </c>
      <c r="D37" s="6">
        <v>1808</v>
      </c>
      <c r="E37" s="6">
        <v>317.88</v>
      </c>
      <c r="F37" s="6">
        <v>41.5</v>
      </c>
      <c r="G37" s="6">
        <f t="shared" si="0"/>
        <v>960</v>
      </c>
      <c r="H37" s="7">
        <v>150</v>
      </c>
    </row>
    <row r="38" spans="1:8" x14ac:dyDescent="0.15">
      <c r="A38" s="5" t="s">
        <v>51</v>
      </c>
      <c r="B38" s="6" t="s">
        <v>9</v>
      </c>
      <c r="C38" s="6" t="s">
        <v>13</v>
      </c>
      <c r="D38" s="6">
        <v>1570</v>
      </c>
      <c r="E38" s="6">
        <v>269.58999999999997</v>
      </c>
      <c r="F38" s="6">
        <v>46.5</v>
      </c>
      <c r="G38" s="6">
        <f t="shared" si="0"/>
        <v>1160</v>
      </c>
      <c r="H38" s="7">
        <v>230</v>
      </c>
    </row>
    <row r="39" spans="1:8" x14ac:dyDescent="0.15">
      <c r="A39" s="5" t="s">
        <v>52</v>
      </c>
      <c r="B39" s="6" t="s">
        <v>15</v>
      </c>
      <c r="C39" s="6" t="s">
        <v>13</v>
      </c>
      <c r="D39" s="6">
        <v>1570</v>
      </c>
      <c r="E39" s="6">
        <v>207.99</v>
      </c>
      <c r="F39" s="6">
        <v>50.5</v>
      </c>
      <c r="G39" s="6">
        <f t="shared" si="0"/>
        <v>1320</v>
      </c>
      <c r="H39" s="7">
        <v>40</v>
      </c>
    </row>
    <row r="40" spans="1:8" ht="14.25" thickBot="1" x14ac:dyDescent="0.2">
      <c r="A40" s="8" t="s">
        <v>53</v>
      </c>
      <c r="B40" s="9" t="s">
        <v>9</v>
      </c>
      <c r="C40" s="9" t="s">
        <v>10</v>
      </c>
      <c r="D40" s="9">
        <v>1808</v>
      </c>
      <c r="E40" s="9">
        <v>317.88</v>
      </c>
      <c r="F40" s="9">
        <v>34.5</v>
      </c>
      <c r="G40" s="9">
        <f t="shared" si="0"/>
        <v>680</v>
      </c>
      <c r="H40" s="10">
        <v>10</v>
      </c>
    </row>
    <row r="41" spans="1:8" ht="14.25" thickTop="1" x14ac:dyDescent="0.15"/>
  </sheetData>
  <mergeCells count="1">
    <mergeCell ref="A1:H1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firstPageNumber="5" orientation="portrait" useFirstPageNumber="1" r:id="rId1"/>
  <headerFooter>
    <oddHeader>&amp;L&amp;12工资数据表</oddHeader>
    <oddFooter>&amp;C&amp;10&amp;P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opLeftCell="A16" workbookViewId="0">
      <selection sqref="A1:H39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8</v>
      </c>
      <c r="B2" t="s">
        <v>9</v>
      </c>
      <c r="C2" t="s">
        <v>10</v>
      </c>
      <c r="D2">
        <v>1808</v>
      </c>
      <c r="E2">
        <v>561.17999999999995</v>
      </c>
      <c r="F2">
        <v>37.5</v>
      </c>
      <c r="G2">
        <v>800</v>
      </c>
      <c r="H2">
        <v>150</v>
      </c>
    </row>
    <row r="3" spans="1:8" x14ac:dyDescent="0.15">
      <c r="A3" t="s">
        <v>11</v>
      </c>
      <c r="B3" t="s">
        <v>12</v>
      </c>
      <c r="C3" t="s">
        <v>13</v>
      </c>
      <c r="D3">
        <v>1570</v>
      </c>
      <c r="E3">
        <v>405.51</v>
      </c>
      <c r="F3">
        <v>43.5</v>
      </c>
      <c r="G3">
        <v>1040</v>
      </c>
      <c r="H3">
        <v>110</v>
      </c>
    </row>
    <row r="4" spans="1:8" x14ac:dyDescent="0.15">
      <c r="A4" t="s">
        <v>14</v>
      </c>
      <c r="B4" t="s">
        <v>15</v>
      </c>
      <c r="C4" t="s">
        <v>13</v>
      </c>
      <c r="D4">
        <v>1570</v>
      </c>
      <c r="E4">
        <v>285.94</v>
      </c>
      <c r="F4">
        <v>34.5</v>
      </c>
      <c r="G4">
        <v>680</v>
      </c>
      <c r="H4">
        <v>170</v>
      </c>
    </row>
    <row r="5" spans="1:8" x14ac:dyDescent="0.15">
      <c r="A5" t="s">
        <v>16</v>
      </c>
      <c r="B5" t="s">
        <v>9</v>
      </c>
      <c r="C5" t="s">
        <v>13</v>
      </c>
      <c r="D5">
        <v>1570</v>
      </c>
      <c r="E5">
        <v>475.61</v>
      </c>
      <c r="F5">
        <v>31.5</v>
      </c>
      <c r="G5">
        <v>560</v>
      </c>
      <c r="H5">
        <v>190</v>
      </c>
    </row>
    <row r="6" spans="1:8" x14ac:dyDescent="0.15">
      <c r="A6" t="s">
        <v>17</v>
      </c>
      <c r="B6" t="s">
        <v>18</v>
      </c>
      <c r="C6" t="s">
        <v>19</v>
      </c>
      <c r="D6">
        <v>2700</v>
      </c>
      <c r="E6">
        <v>675.84</v>
      </c>
      <c r="F6">
        <v>36</v>
      </c>
      <c r="G6">
        <v>740</v>
      </c>
      <c r="H6">
        <v>160</v>
      </c>
    </row>
    <row r="7" spans="1:8" x14ac:dyDescent="0.15">
      <c r="A7" t="s">
        <v>20</v>
      </c>
      <c r="B7" t="s">
        <v>12</v>
      </c>
      <c r="C7" t="s">
        <v>13</v>
      </c>
      <c r="D7">
        <v>1570</v>
      </c>
      <c r="E7">
        <v>661.15</v>
      </c>
      <c r="F7">
        <v>33</v>
      </c>
      <c r="G7">
        <v>620</v>
      </c>
      <c r="H7">
        <v>180</v>
      </c>
    </row>
    <row r="8" spans="1:8" x14ac:dyDescent="0.15">
      <c r="A8" t="s">
        <v>21</v>
      </c>
      <c r="B8" t="s">
        <v>22</v>
      </c>
      <c r="C8" t="s">
        <v>10</v>
      </c>
      <c r="D8">
        <v>1808</v>
      </c>
      <c r="E8">
        <v>754.43</v>
      </c>
      <c r="F8">
        <v>30</v>
      </c>
      <c r="G8">
        <v>500</v>
      </c>
      <c r="H8">
        <v>200</v>
      </c>
    </row>
    <row r="9" spans="1:8" x14ac:dyDescent="0.15">
      <c r="A9" t="s">
        <v>23</v>
      </c>
      <c r="B9" t="s">
        <v>12</v>
      </c>
      <c r="C9" t="s">
        <v>13</v>
      </c>
      <c r="D9">
        <v>1570</v>
      </c>
      <c r="E9">
        <v>393.87</v>
      </c>
      <c r="F9">
        <v>39</v>
      </c>
      <c r="G9">
        <v>860</v>
      </c>
      <c r="H9">
        <v>140</v>
      </c>
    </row>
    <row r="10" spans="1:8" x14ac:dyDescent="0.15">
      <c r="A10" t="s">
        <v>24</v>
      </c>
      <c r="B10" t="s">
        <v>15</v>
      </c>
      <c r="C10" t="s">
        <v>13</v>
      </c>
      <c r="D10">
        <v>1570</v>
      </c>
      <c r="E10">
        <v>463.33</v>
      </c>
      <c r="F10">
        <v>49.5</v>
      </c>
      <c r="G10">
        <v>1280</v>
      </c>
      <c r="H10">
        <v>70</v>
      </c>
    </row>
    <row r="11" spans="1:8" x14ac:dyDescent="0.15">
      <c r="A11" t="s">
        <v>25</v>
      </c>
      <c r="B11" t="s">
        <v>18</v>
      </c>
      <c r="C11" t="s">
        <v>10</v>
      </c>
      <c r="D11">
        <v>1808</v>
      </c>
      <c r="E11">
        <v>518.12</v>
      </c>
      <c r="F11">
        <v>43.5</v>
      </c>
      <c r="G11">
        <v>1040</v>
      </c>
      <c r="H11">
        <v>110</v>
      </c>
    </row>
    <row r="12" spans="1:8" x14ac:dyDescent="0.15">
      <c r="A12" t="s">
        <v>26</v>
      </c>
      <c r="B12" t="s">
        <v>12</v>
      </c>
      <c r="C12" t="s">
        <v>13</v>
      </c>
      <c r="D12">
        <v>1570</v>
      </c>
      <c r="E12">
        <v>318.95</v>
      </c>
      <c r="F12">
        <v>40.5</v>
      </c>
      <c r="G12">
        <v>920</v>
      </c>
      <c r="H12">
        <v>130</v>
      </c>
    </row>
    <row r="13" spans="1:8" x14ac:dyDescent="0.15">
      <c r="A13" t="s">
        <v>27</v>
      </c>
      <c r="B13" t="s">
        <v>15</v>
      </c>
      <c r="C13" t="s">
        <v>13</v>
      </c>
      <c r="D13">
        <v>1570</v>
      </c>
      <c r="E13">
        <v>218.72</v>
      </c>
      <c r="F13">
        <v>42</v>
      </c>
      <c r="G13">
        <v>980</v>
      </c>
      <c r="H13">
        <v>120</v>
      </c>
    </row>
    <row r="14" spans="1:8" x14ac:dyDescent="0.15">
      <c r="A14" t="s">
        <v>28</v>
      </c>
      <c r="B14" t="s">
        <v>18</v>
      </c>
      <c r="C14" t="s">
        <v>10</v>
      </c>
      <c r="D14">
        <v>1808</v>
      </c>
      <c r="E14">
        <v>413.65</v>
      </c>
      <c r="F14">
        <v>37.5</v>
      </c>
      <c r="G14">
        <v>800</v>
      </c>
      <c r="H14">
        <v>150</v>
      </c>
    </row>
    <row r="15" spans="1:8" x14ac:dyDescent="0.15">
      <c r="A15" t="s">
        <v>29</v>
      </c>
      <c r="B15" t="s">
        <v>9</v>
      </c>
      <c r="C15" t="s">
        <v>13</v>
      </c>
      <c r="D15">
        <v>1570</v>
      </c>
      <c r="E15">
        <v>250.49</v>
      </c>
      <c r="F15">
        <v>41.5</v>
      </c>
      <c r="G15">
        <v>960</v>
      </c>
      <c r="H15">
        <v>210</v>
      </c>
    </row>
    <row r="16" spans="1:8" x14ac:dyDescent="0.15">
      <c r="A16" t="s">
        <v>30</v>
      </c>
      <c r="B16" t="s">
        <v>15</v>
      </c>
      <c r="C16" t="s">
        <v>13</v>
      </c>
      <c r="D16">
        <v>1570</v>
      </c>
      <c r="E16">
        <v>330.51</v>
      </c>
      <c r="F16">
        <v>36</v>
      </c>
      <c r="G16">
        <v>740</v>
      </c>
      <c r="H16">
        <v>160</v>
      </c>
    </row>
    <row r="17" spans="1:8" x14ac:dyDescent="0.15">
      <c r="A17" t="s">
        <v>31</v>
      </c>
      <c r="B17" t="s">
        <v>9</v>
      </c>
      <c r="C17" t="s">
        <v>13</v>
      </c>
      <c r="D17">
        <v>1570</v>
      </c>
      <c r="E17">
        <v>413.97</v>
      </c>
      <c r="F17">
        <v>30</v>
      </c>
      <c r="G17">
        <v>500</v>
      </c>
      <c r="H17">
        <v>200</v>
      </c>
    </row>
    <row r="18" spans="1:8" x14ac:dyDescent="0.15">
      <c r="A18" t="s">
        <v>32</v>
      </c>
      <c r="B18" t="s">
        <v>15</v>
      </c>
      <c r="C18" t="s">
        <v>13</v>
      </c>
      <c r="D18">
        <v>1570</v>
      </c>
      <c r="E18">
        <v>626.88</v>
      </c>
      <c r="F18">
        <v>40.5</v>
      </c>
      <c r="G18">
        <v>920</v>
      </c>
      <c r="H18">
        <v>130</v>
      </c>
    </row>
    <row r="19" spans="1:8" x14ac:dyDescent="0.15">
      <c r="A19" t="s">
        <v>33</v>
      </c>
      <c r="B19" t="s">
        <v>18</v>
      </c>
      <c r="C19" t="s">
        <v>10</v>
      </c>
      <c r="D19">
        <v>1808</v>
      </c>
      <c r="E19">
        <v>397.57</v>
      </c>
      <c r="F19">
        <v>42</v>
      </c>
      <c r="G19">
        <v>980</v>
      </c>
      <c r="H19">
        <v>120</v>
      </c>
    </row>
    <row r="20" spans="1:8" x14ac:dyDescent="0.15">
      <c r="A20" t="s">
        <v>34</v>
      </c>
      <c r="B20" t="s">
        <v>12</v>
      </c>
      <c r="C20" t="s">
        <v>13</v>
      </c>
      <c r="D20">
        <v>1570</v>
      </c>
      <c r="E20">
        <v>807.19</v>
      </c>
      <c r="F20">
        <v>46.5</v>
      </c>
      <c r="G20">
        <v>1160</v>
      </c>
      <c r="H20">
        <v>90</v>
      </c>
    </row>
    <row r="21" spans="1:8" x14ac:dyDescent="0.15">
      <c r="A21" t="s">
        <v>35</v>
      </c>
      <c r="B21" t="s">
        <v>12</v>
      </c>
      <c r="C21" t="s">
        <v>13</v>
      </c>
      <c r="D21">
        <v>1570</v>
      </c>
      <c r="E21">
        <v>267.19</v>
      </c>
      <c r="F21">
        <v>50.5</v>
      </c>
      <c r="G21">
        <v>1320</v>
      </c>
      <c r="H21">
        <v>270</v>
      </c>
    </row>
    <row r="22" spans="1:8" x14ac:dyDescent="0.15">
      <c r="A22" t="s">
        <v>36</v>
      </c>
      <c r="B22" t="s">
        <v>15</v>
      </c>
      <c r="C22" t="s">
        <v>13</v>
      </c>
      <c r="D22">
        <v>1570</v>
      </c>
      <c r="E22">
        <v>225.5</v>
      </c>
      <c r="F22">
        <v>34.5</v>
      </c>
      <c r="G22">
        <v>680</v>
      </c>
      <c r="H22">
        <v>170</v>
      </c>
    </row>
    <row r="23" spans="1:8" x14ac:dyDescent="0.15">
      <c r="A23" t="s">
        <v>37</v>
      </c>
      <c r="B23" t="s">
        <v>9</v>
      </c>
      <c r="C23" t="s">
        <v>10</v>
      </c>
      <c r="D23">
        <v>1808</v>
      </c>
      <c r="E23">
        <v>419.88</v>
      </c>
      <c r="F23">
        <v>37.5</v>
      </c>
      <c r="G23">
        <v>800</v>
      </c>
      <c r="H23">
        <v>150</v>
      </c>
    </row>
    <row r="24" spans="1:8" x14ac:dyDescent="0.15">
      <c r="A24" t="s">
        <v>38</v>
      </c>
      <c r="B24" t="s">
        <v>18</v>
      </c>
      <c r="C24" t="s">
        <v>19</v>
      </c>
      <c r="D24">
        <v>2700</v>
      </c>
      <c r="E24">
        <v>818.5</v>
      </c>
      <c r="F24">
        <v>50</v>
      </c>
      <c r="G24">
        <v>1300</v>
      </c>
      <c r="H24">
        <v>230</v>
      </c>
    </row>
    <row r="25" spans="1:8" x14ac:dyDescent="0.15">
      <c r="A25" t="s">
        <v>39</v>
      </c>
      <c r="B25" t="s">
        <v>9</v>
      </c>
      <c r="C25" t="s">
        <v>13</v>
      </c>
      <c r="D25">
        <v>1570</v>
      </c>
      <c r="E25">
        <v>390.19</v>
      </c>
      <c r="F25">
        <v>54</v>
      </c>
      <c r="G25">
        <v>1460</v>
      </c>
      <c r="H25">
        <v>40</v>
      </c>
    </row>
    <row r="26" spans="1:8" x14ac:dyDescent="0.15">
      <c r="A26" t="s">
        <v>40</v>
      </c>
      <c r="B26" t="s">
        <v>18</v>
      </c>
      <c r="C26" t="s">
        <v>10</v>
      </c>
      <c r="D26">
        <v>1808</v>
      </c>
      <c r="E26">
        <v>405.73</v>
      </c>
      <c r="F26">
        <v>60</v>
      </c>
      <c r="G26">
        <v>1700</v>
      </c>
      <c r="H26">
        <v>0</v>
      </c>
    </row>
    <row r="27" spans="1:8" x14ac:dyDescent="0.15">
      <c r="A27" t="s">
        <v>41</v>
      </c>
      <c r="B27" t="s">
        <v>9</v>
      </c>
      <c r="C27" t="s">
        <v>13</v>
      </c>
      <c r="D27">
        <v>1570</v>
      </c>
      <c r="E27">
        <v>269.58999999999997</v>
      </c>
      <c r="F27">
        <v>46.5</v>
      </c>
      <c r="G27">
        <v>1160</v>
      </c>
      <c r="H27">
        <v>90</v>
      </c>
    </row>
    <row r="28" spans="1:8" x14ac:dyDescent="0.15">
      <c r="A28" t="s">
        <v>42</v>
      </c>
      <c r="B28" t="s">
        <v>15</v>
      </c>
      <c r="C28" t="s">
        <v>13</v>
      </c>
      <c r="D28">
        <v>1570</v>
      </c>
      <c r="E28">
        <v>207.99</v>
      </c>
      <c r="F28">
        <v>51</v>
      </c>
      <c r="G28">
        <v>1340</v>
      </c>
      <c r="H28">
        <v>60</v>
      </c>
    </row>
    <row r="29" spans="1:8" x14ac:dyDescent="0.15">
      <c r="A29" t="s">
        <v>43</v>
      </c>
      <c r="B29" t="s">
        <v>9</v>
      </c>
      <c r="C29" t="s">
        <v>10</v>
      </c>
      <c r="D29">
        <v>1808</v>
      </c>
      <c r="E29">
        <v>317.88</v>
      </c>
      <c r="F29">
        <v>60</v>
      </c>
      <c r="G29">
        <v>1700</v>
      </c>
      <c r="H29">
        <v>0</v>
      </c>
    </row>
    <row r="30" spans="1:8" x14ac:dyDescent="0.15">
      <c r="A30" t="s">
        <v>44</v>
      </c>
      <c r="B30" t="s">
        <v>12</v>
      </c>
      <c r="C30" t="s">
        <v>13</v>
      </c>
      <c r="D30">
        <v>1570</v>
      </c>
      <c r="E30">
        <v>336.5</v>
      </c>
      <c r="F30">
        <v>34.5</v>
      </c>
      <c r="G30">
        <v>680</v>
      </c>
      <c r="H30">
        <v>170</v>
      </c>
    </row>
    <row r="31" spans="1:8" x14ac:dyDescent="0.15">
      <c r="A31" t="s">
        <v>45</v>
      </c>
      <c r="B31" t="s">
        <v>9</v>
      </c>
      <c r="C31" t="s">
        <v>13</v>
      </c>
      <c r="D31">
        <v>1570</v>
      </c>
      <c r="E31">
        <v>269.58999999999997</v>
      </c>
      <c r="F31">
        <v>30</v>
      </c>
      <c r="G31">
        <v>500</v>
      </c>
      <c r="H31">
        <v>0</v>
      </c>
    </row>
    <row r="32" spans="1:8" x14ac:dyDescent="0.15">
      <c r="A32" t="s">
        <v>46</v>
      </c>
      <c r="B32" t="s">
        <v>15</v>
      </c>
      <c r="C32" t="s">
        <v>13</v>
      </c>
      <c r="D32">
        <v>1570</v>
      </c>
      <c r="E32">
        <v>207.99</v>
      </c>
      <c r="F32">
        <v>30</v>
      </c>
      <c r="G32">
        <v>500</v>
      </c>
      <c r="H32">
        <v>120</v>
      </c>
    </row>
    <row r="33" spans="1:8" x14ac:dyDescent="0.15">
      <c r="A33" t="s">
        <v>47</v>
      </c>
      <c r="B33" t="s">
        <v>9</v>
      </c>
      <c r="C33" t="s">
        <v>10</v>
      </c>
      <c r="D33">
        <v>1808</v>
      </c>
      <c r="E33">
        <v>317.88</v>
      </c>
      <c r="F33">
        <v>39</v>
      </c>
      <c r="G33">
        <v>860</v>
      </c>
      <c r="H33">
        <v>90</v>
      </c>
    </row>
    <row r="34" spans="1:8" x14ac:dyDescent="0.15">
      <c r="A34" t="s">
        <v>48</v>
      </c>
      <c r="B34" t="s">
        <v>9</v>
      </c>
      <c r="C34" t="s">
        <v>13</v>
      </c>
      <c r="D34">
        <v>1570</v>
      </c>
      <c r="E34">
        <v>269.58999999999997</v>
      </c>
      <c r="F34">
        <v>42</v>
      </c>
      <c r="G34">
        <v>980</v>
      </c>
      <c r="H34">
        <v>270</v>
      </c>
    </row>
    <row r="35" spans="1:8" x14ac:dyDescent="0.15">
      <c r="A35" t="s">
        <v>49</v>
      </c>
      <c r="B35" t="s">
        <v>15</v>
      </c>
      <c r="C35" t="s">
        <v>13</v>
      </c>
      <c r="D35">
        <v>1570</v>
      </c>
      <c r="E35">
        <v>207.99</v>
      </c>
      <c r="F35">
        <v>37.5</v>
      </c>
      <c r="G35">
        <v>800</v>
      </c>
      <c r="H35">
        <v>170</v>
      </c>
    </row>
    <row r="36" spans="1:8" x14ac:dyDescent="0.15">
      <c r="A36" t="s">
        <v>50</v>
      </c>
      <c r="B36" t="s">
        <v>9</v>
      </c>
      <c r="C36" t="s">
        <v>10</v>
      </c>
      <c r="D36">
        <v>1808</v>
      </c>
      <c r="E36">
        <v>317.88</v>
      </c>
      <c r="F36">
        <v>41.5</v>
      </c>
      <c r="G36">
        <v>960</v>
      </c>
      <c r="H36">
        <v>150</v>
      </c>
    </row>
    <row r="37" spans="1:8" x14ac:dyDescent="0.15">
      <c r="A37" t="s">
        <v>51</v>
      </c>
      <c r="B37" t="s">
        <v>9</v>
      </c>
      <c r="C37" t="s">
        <v>13</v>
      </c>
      <c r="D37">
        <v>1570</v>
      </c>
      <c r="E37">
        <v>269.58999999999997</v>
      </c>
      <c r="F37">
        <v>46.5</v>
      </c>
      <c r="G37">
        <v>1160</v>
      </c>
      <c r="H37">
        <v>230</v>
      </c>
    </row>
    <row r="38" spans="1:8" x14ac:dyDescent="0.15">
      <c r="A38" t="s">
        <v>52</v>
      </c>
      <c r="B38" t="s">
        <v>15</v>
      </c>
      <c r="C38" t="s">
        <v>13</v>
      </c>
      <c r="D38">
        <v>1570</v>
      </c>
      <c r="E38">
        <v>207.99</v>
      </c>
      <c r="F38">
        <v>50.5</v>
      </c>
      <c r="G38">
        <v>1320</v>
      </c>
      <c r="H38">
        <v>40</v>
      </c>
    </row>
    <row r="39" spans="1:8" x14ac:dyDescent="0.15">
      <c r="A39" t="s">
        <v>53</v>
      </c>
      <c r="B39" t="s">
        <v>9</v>
      </c>
      <c r="C39" t="s">
        <v>10</v>
      </c>
      <c r="D39">
        <v>1808</v>
      </c>
      <c r="E39">
        <v>317.88</v>
      </c>
      <c r="F39">
        <v>34.5</v>
      </c>
      <c r="G39">
        <v>680</v>
      </c>
      <c r="H39">
        <v>10</v>
      </c>
    </row>
    <row r="42" spans="1:8" x14ac:dyDescent="0.15">
      <c r="B42">
        <f>COUNTIF(B2:B39,"合同工")</f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B9" sqref="B9"/>
    </sheetView>
  </sheetViews>
  <sheetFormatPr defaultRowHeight="13.5" x14ac:dyDescent="0.15"/>
  <sheetData>
    <row r="1" spans="1:9" x14ac:dyDescent="0.15">
      <c r="A1" t="s">
        <v>55</v>
      </c>
      <c r="B1" t="s">
        <v>57</v>
      </c>
      <c r="C1" t="s">
        <v>59</v>
      </c>
    </row>
    <row r="2" spans="1:9" x14ac:dyDescent="0.15">
      <c r="A2" t="s">
        <v>56</v>
      </c>
      <c r="B2" t="s">
        <v>58</v>
      </c>
      <c r="C2" t="s">
        <v>60</v>
      </c>
    </row>
    <row r="9" spans="1:9" x14ac:dyDescent="0.15"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</row>
    <row r="10" spans="1:9" x14ac:dyDescent="0.15">
      <c r="B10" t="s">
        <v>24</v>
      </c>
      <c r="C10" t="s">
        <v>15</v>
      </c>
      <c r="D10" t="s">
        <v>13</v>
      </c>
      <c r="E10">
        <v>1570</v>
      </c>
      <c r="F10">
        <v>463.33</v>
      </c>
      <c r="G10">
        <v>49.5</v>
      </c>
      <c r="H10">
        <v>1280</v>
      </c>
      <c r="I10">
        <v>70</v>
      </c>
    </row>
    <row r="11" spans="1:9" x14ac:dyDescent="0.15">
      <c r="B11" t="s">
        <v>27</v>
      </c>
      <c r="C11" t="s">
        <v>15</v>
      </c>
      <c r="D11" t="s">
        <v>13</v>
      </c>
      <c r="E11">
        <v>1570</v>
      </c>
      <c r="F11">
        <v>218.72</v>
      </c>
      <c r="G11">
        <v>42</v>
      </c>
      <c r="H11">
        <v>980</v>
      </c>
      <c r="I11">
        <v>120</v>
      </c>
    </row>
    <row r="12" spans="1:9" x14ac:dyDescent="0.15">
      <c r="B12" t="s">
        <v>32</v>
      </c>
      <c r="C12" t="s">
        <v>15</v>
      </c>
      <c r="D12" t="s">
        <v>13</v>
      </c>
      <c r="E12">
        <v>1570</v>
      </c>
      <c r="F12">
        <v>626.88</v>
      </c>
      <c r="G12">
        <v>40.5</v>
      </c>
      <c r="H12">
        <v>920</v>
      </c>
      <c r="I12">
        <v>130</v>
      </c>
    </row>
    <row r="13" spans="1:9" x14ac:dyDescent="0.15">
      <c r="B13" t="s">
        <v>42</v>
      </c>
      <c r="C13" t="s">
        <v>15</v>
      </c>
      <c r="D13" t="s">
        <v>13</v>
      </c>
      <c r="E13">
        <v>1570</v>
      </c>
      <c r="F13">
        <v>207.99</v>
      </c>
      <c r="G13">
        <v>51</v>
      </c>
      <c r="H13">
        <v>1340</v>
      </c>
      <c r="I13">
        <v>60</v>
      </c>
    </row>
    <row r="14" spans="1:9" x14ac:dyDescent="0.15">
      <c r="B14" t="s">
        <v>52</v>
      </c>
      <c r="C14" t="s">
        <v>15</v>
      </c>
      <c r="D14" t="s">
        <v>13</v>
      </c>
      <c r="E14">
        <v>1570</v>
      </c>
      <c r="F14">
        <v>207.99</v>
      </c>
      <c r="G14">
        <v>50.5</v>
      </c>
      <c r="H14">
        <v>1320</v>
      </c>
      <c r="I14">
        <v>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activeCell="E52" sqref="E52"/>
    </sheetView>
  </sheetViews>
  <sheetFormatPr defaultRowHeight="13.5" outlineLevelRow="2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outlineLevel="2" x14ac:dyDescent="0.15">
      <c r="A2" t="s">
        <v>38</v>
      </c>
      <c r="B2" t="s">
        <v>18</v>
      </c>
      <c r="C2" t="s">
        <v>19</v>
      </c>
      <c r="D2">
        <v>2700</v>
      </c>
      <c r="E2">
        <v>818.5</v>
      </c>
      <c r="F2">
        <v>50</v>
      </c>
      <c r="G2">
        <v>1300</v>
      </c>
      <c r="H2">
        <v>230</v>
      </c>
    </row>
    <row r="3" spans="1:8" hidden="1" outlineLevel="2" x14ac:dyDescent="0.15">
      <c r="A3" t="s">
        <v>17</v>
      </c>
      <c r="B3" t="s">
        <v>18</v>
      </c>
      <c r="C3" t="s">
        <v>19</v>
      </c>
      <c r="D3">
        <v>2700</v>
      </c>
      <c r="E3">
        <v>675.84</v>
      </c>
      <c r="F3">
        <v>36</v>
      </c>
      <c r="G3">
        <v>740</v>
      </c>
      <c r="H3">
        <v>160</v>
      </c>
    </row>
    <row r="4" spans="1:8" outlineLevel="1" collapsed="1" x14ac:dyDescent="0.15">
      <c r="C4" s="1" t="s">
        <v>61</v>
      </c>
      <c r="F4">
        <f>SUBTOTAL(4,F2:F3)</f>
        <v>50</v>
      </c>
      <c r="G4">
        <f>SUBTOTAL(4,G2:G3)</f>
        <v>1300</v>
      </c>
    </row>
    <row r="5" spans="1:8" hidden="1" outlineLevel="2" x14ac:dyDescent="0.15">
      <c r="A5" t="s">
        <v>33</v>
      </c>
      <c r="B5" t="s">
        <v>18</v>
      </c>
      <c r="C5" t="s">
        <v>10</v>
      </c>
      <c r="D5">
        <v>1808</v>
      </c>
      <c r="E5">
        <v>397.57</v>
      </c>
      <c r="F5">
        <v>42</v>
      </c>
      <c r="G5">
        <v>980</v>
      </c>
      <c r="H5">
        <v>120</v>
      </c>
    </row>
    <row r="6" spans="1:8" hidden="1" outlineLevel="2" x14ac:dyDescent="0.15">
      <c r="A6" t="s">
        <v>25</v>
      </c>
      <c r="B6" t="s">
        <v>18</v>
      </c>
      <c r="C6" t="s">
        <v>10</v>
      </c>
      <c r="D6">
        <v>1808</v>
      </c>
      <c r="E6">
        <v>518.12</v>
      </c>
      <c r="F6">
        <v>43.5</v>
      </c>
      <c r="G6">
        <v>1040</v>
      </c>
      <c r="H6">
        <v>110</v>
      </c>
    </row>
    <row r="7" spans="1:8" hidden="1" outlineLevel="2" x14ac:dyDescent="0.15">
      <c r="A7" t="s">
        <v>21</v>
      </c>
      <c r="B7" t="s">
        <v>22</v>
      </c>
      <c r="C7" t="s">
        <v>10</v>
      </c>
      <c r="D7">
        <v>1808</v>
      </c>
      <c r="E7">
        <v>754.43</v>
      </c>
      <c r="F7">
        <v>30</v>
      </c>
      <c r="G7">
        <v>500</v>
      </c>
      <c r="H7">
        <v>200</v>
      </c>
    </row>
    <row r="8" spans="1:8" hidden="1" outlineLevel="2" x14ac:dyDescent="0.15">
      <c r="A8" t="s">
        <v>8</v>
      </c>
      <c r="B8" t="s">
        <v>9</v>
      </c>
      <c r="C8" t="s">
        <v>10</v>
      </c>
      <c r="D8">
        <v>1808</v>
      </c>
      <c r="E8">
        <v>561.17999999999995</v>
      </c>
      <c r="F8">
        <v>37.5</v>
      </c>
      <c r="G8">
        <v>800</v>
      </c>
      <c r="H8">
        <v>150</v>
      </c>
    </row>
    <row r="9" spans="1:8" hidden="1" outlineLevel="2" x14ac:dyDescent="0.15">
      <c r="A9" t="s">
        <v>47</v>
      </c>
      <c r="B9" t="s">
        <v>9</v>
      </c>
      <c r="C9" t="s">
        <v>10</v>
      </c>
      <c r="D9">
        <v>1808</v>
      </c>
      <c r="E9">
        <v>317.88</v>
      </c>
      <c r="F9">
        <v>39</v>
      </c>
      <c r="G9">
        <v>860</v>
      </c>
      <c r="H9">
        <v>90</v>
      </c>
    </row>
    <row r="10" spans="1:8" hidden="1" outlineLevel="2" x14ac:dyDescent="0.15">
      <c r="A10" t="s">
        <v>43</v>
      </c>
      <c r="B10" t="s">
        <v>9</v>
      </c>
      <c r="C10" t="s">
        <v>10</v>
      </c>
      <c r="D10">
        <v>1808</v>
      </c>
      <c r="E10">
        <v>317.88</v>
      </c>
      <c r="F10">
        <v>60</v>
      </c>
      <c r="G10">
        <v>1700</v>
      </c>
      <c r="H10">
        <v>0</v>
      </c>
    </row>
    <row r="11" spans="1:8" hidden="1" outlineLevel="2" x14ac:dyDescent="0.15">
      <c r="A11" t="s">
        <v>40</v>
      </c>
      <c r="B11" t="s">
        <v>18</v>
      </c>
      <c r="C11" t="s">
        <v>10</v>
      </c>
      <c r="D11">
        <v>1808</v>
      </c>
      <c r="E11">
        <v>405.73</v>
      </c>
      <c r="F11">
        <v>60</v>
      </c>
      <c r="G11">
        <v>1700</v>
      </c>
      <c r="H11">
        <v>0</v>
      </c>
    </row>
    <row r="12" spans="1:8" hidden="1" outlineLevel="2" x14ac:dyDescent="0.15">
      <c r="A12" t="s">
        <v>50</v>
      </c>
      <c r="B12" t="s">
        <v>9</v>
      </c>
      <c r="C12" t="s">
        <v>10</v>
      </c>
      <c r="D12">
        <v>1808</v>
      </c>
      <c r="E12">
        <v>317.88</v>
      </c>
      <c r="F12">
        <v>41.5</v>
      </c>
      <c r="G12">
        <v>960</v>
      </c>
      <c r="H12">
        <v>150</v>
      </c>
    </row>
    <row r="13" spans="1:8" hidden="1" outlineLevel="2" x14ac:dyDescent="0.15">
      <c r="A13" t="s">
        <v>53</v>
      </c>
      <c r="B13" t="s">
        <v>9</v>
      </c>
      <c r="C13" t="s">
        <v>10</v>
      </c>
      <c r="D13">
        <v>1808</v>
      </c>
      <c r="E13">
        <v>317.88</v>
      </c>
      <c r="F13">
        <v>34.5</v>
      </c>
      <c r="G13">
        <v>680</v>
      </c>
      <c r="H13">
        <v>10</v>
      </c>
    </row>
    <row r="14" spans="1:8" hidden="1" outlineLevel="2" x14ac:dyDescent="0.15">
      <c r="A14" t="s">
        <v>37</v>
      </c>
      <c r="B14" t="s">
        <v>9</v>
      </c>
      <c r="C14" t="s">
        <v>10</v>
      </c>
      <c r="D14">
        <v>1808</v>
      </c>
      <c r="E14">
        <v>419.88</v>
      </c>
      <c r="F14">
        <v>37.5</v>
      </c>
      <c r="G14">
        <v>800</v>
      </c>
      <c r="H14">
        <v>150</v>
      </c>
    </row>
    <row r="15" spans="1:8" hidden="1" outlineLevel="2" x14ac:dyDescent="0.15">
      <c r="A15" t="s">
        <v>28</v>
      </c>
      <c r="B15" t="s">
        <v>18</v>
      </c>
      <c r="C15" t="s">
        <v>10</v>
      </c>
      <c r="D15">
        <v>1808</v>
      </c>
      <c r="E15">
        <v>413.65</v>
      </c>
      <c r="F15">
        <v>37.5</v>
      </c>
      <c r="G15">
        <v>800</v>
      </c>
      <c r="H15">
        <v>150</v>
      </c>
    </row>
    <row r="16" spans="1:8" outlineLevel="1" collapsed="1" x14ac:dyDescent="0.15">
      <c r="C16" s="1" t="s">
        <v>62</v>
      </c>
      <c r="F16">
        <f>SUBTOTAL(4,F5:F15)</f>
        <v>60</v>
      </c>
      <c r="G16">
        <f>SUBTOTAL(4,G5:G15)</f>
        <v>1700</v>
      </c>
    </row>
    <row r="17" spans="1:8" hidden="1" outlineLevel="2" x14ac:dyDescent="0.15">
      <c r="A17" t="s">
        <v>11</v>
      </c>
      <c r="B17" t="s">
        <v>12</v>
      </c>
      <c r="C17" t="s">
        <v>13</v>
      </c>
      <c r="D17">
        <v>1570</v>
      </c>
      <c r="E17">
        <v>405.51</v>
      </c>
      <c r="F17">
        <v>43.5</v>
      </c>
      <c r="G17">
        <v>1040</v>
      </c>
      <c r="H17">
        <v>110</v>
      </c>
    </row>
    <row r="18" spans="1:8" hidden="1" outlineLevel="2" x14ac:dyDescent="0.15">
      <c r="A18" t="s">
        <v>24</v>
      </c>
      <c r="B18" t="s">
        <v>15</v>
      </c>
      <c r="C18" t="s">
        <v>13</v>
      </c>
      <c r="D18">
        <v>1570</v>
      </c>
      <c r="E18">
        <v>463.33</v>
      </c>
      <c r="F18">
        <v>49.5</v>
      </c>
      <c r="G18">
        <v>1280</v>
      </c>
      <c r="H18">
        <v>70</v>
      </c>
    </row>
    <row r="19" spans="1:8" hidden="1" outlineLevel="2" x14ac:dyDescent="0.15">
      <c r="A19" t="s">
        <v>45</v>
      </c>
      <c r="B19" t="s">
        <v>9</v>
      </c>
      <c r="C19" t="s">
        <v>13</v>
      </c>
      <c r="D19">
        <v>1570</v>
      </c>
      <c r="E19">
        <v>269.58999999999997</v>
      </c>
      <c r="F19">
        <v>30</v>
      </c>
      <c r="G19">
        <v>500</v>
      </c>
      <c r="H19">
        <v>0</v>
      </c>
    </row>
    <row r="20" spans="1:8" hidden="1" outlineLevel="2" x14ac:dyDescent="0.15">
      <c r="A20" t="s">
        <v>29</v>
      </c>
      <c r="B20" t="s">
        <v>9</v>
      </c>
      <c r="C20" t="s">
        <v>13</v>
      </c>
      <c r="D20">
        <v>1570</v>
      </c>
      <c r="E20">
        <v>250.49</v>
      </c>
      <c r="F20">
        <v>41.5</v>
      </c>
      <c r="G20">
        <v>960</v>
      </c>
      <c r="H20">
        <v>210</v>
      </c>
    </row>
    <row r="21" spans="1:8" hidden="1" outlineLevel="2" x14ac:dyDescent="0.15">
      <c r="A21" t="s">
        <v>35</v>
      </c>
      <c r="B21" t="s">
        <v>12</v>
      </c>
      <c r="C21" t="s">
        <v>13</v>
      </c>
      <c r="D21">
        <v>1570</v>
      </c>
      <c r="E21">
        <v>267.19</v>
      </c>
      <c r="F21">
        <v>50.5</v>
      </c>
      <c r="G21">
        <v>1320</v>
      </c>
      <c r="H21">
        <v>270</v>
      </c>
    </row>
    <row r="22" spans="1:8" hidden="1" outlineLevel="2" x14ac:dyDescent="0.15">
      <c r="A22" t="s">
        <v>49</v>
      </c>
      <c r="B22" t="s">
        <v>15</v>
      </c>
      <c r="C22" t="s">
        <v>13</v>
      </c>
      <c r="D22">
        <v>1570</v>
      </c>
      <c r="E22">
        <v>207.99</v>
      </c>
      <c r="F22">
        <v>37.5</v>
      </c>
      <c r="G22">
        <v>800</v>
      </c>
      <c r="H22">
        <v>170</v>
      </c>
    </row>
    <row r="23" spans="1:8" hidden="1" outlineLevel="2" x14ac:dyDescent="0.15">
      <c r="A23" t="s">
        <v>46</v>
      </c>
      <c r="B23" t="s">
        <v>15</v>
      </c>
      <c r="C23" t="s">
        <v>13</v>
      </c>
      <c r="D23">
        <v>1570</v>
      </c>
      <c r="E23">
        <v>207.99</v>
      </c>
      <c r="F23">
        <v>30</v>
      </c>
      <c r="G23">
        <v>500</v>
      </c>
      <c r="H23">
        <v>120</v>
      </c>
    </row>
    <row r="24" spans="1:8" hidden="1" outlineLevel="2" x14ac:dyDescent="0.15">
      <c r="A24" t="s">
        <v>34</v>
      </c>
      <c r="B24" t="s">
        <v>12</v>
      </c>
      <c r="C24" t="s">
        <v>13</v>
      </c>
      <c r="D24">
        <v>1570</v>
      </c>
      <c r="E24">
        <v>807.19</v>
      </c>
      <c r="F24">
        <v>46.5</v>
      </c>
      <c r="G24">
        <v>1160</v>
      </c>
      <c r="H24">
        <v>90</v>
      </c>
    </row>
    <row r="25" spans="1:8" hidden="1" outlineLevel="2" x14ac:dyDescent="0.15">
      <c r="A25" t="s">
        <v>16</v>
      </c>
      <c r="B25" t="s">
        <v>9</v>
      </c>
      <c r="C25" t="s">
        <v>13</v>
      </c>
      <c r="D25">
        <v>1570</v>
      </c>
      <c r="E25">
        <v>475.61</v>
      </c>
      <c r="F25">
        <v>31.5</v>
      </c>
      <c r="G25">
        <v>560</v>
      </c>
      <c r="H25">
        <v>190</v>
      </c>
    </row>
    <row r="26" spans="1:8" hidden="1" outlineLevel="2" x14ac:dyDescent="0.15">
      <c r="A26" t="s">
        <v>32</v>
      </c>
      <c r="B26" t="s">
        <v>15</v>
      </c>
      <c r="C26" t="s">
        <v>13</v>
      </c>
      <c r="D26">
        <v>1570</v>
      </c>
      <c r="E26">
        <v>626.88</v>
      </c>
      <c r="F26">
        <v>40.5</v>
      </c>
      <c r="G26">
        <v>920</v>
      </c>
      <c r="H26">
        <v>130</v>
      </c>
    </row>
    <row r="27" spans="1:8" hidden="1" outlineLevel="2" x14ac:dyDescent="0.15">
      <c r="A27" t="s">
        <v>44</v>
      </c>
      <c r="B27" t="s">
        <v>12</v>
      </c>
      <c r="C27" t="s">
        <v>13</v>
      </c>
      <c r="D27">
        <v>1570</v>
      </c>
      <c r="E27">
        <v>336.5</v>
      </c>
      <c r="F27">
        <v>34.5</v>
      </c>
      <c r="G27">
        <v>680</v>
      </c>
      <c r="H27">
        <v>170</v>
      </c>
    </row>
    <row r="28" spans="1:8" hidden="1" outlineLevel="2" x14ac:dyDescent="0.15">
      <c r="A28" t="s">
        <v>27</v>
      </c>
      <c r="B28" t="s">
        <v>15</v>
      </c>
      <c r="C28" t="s">
        <v>13</v>
      </c>
      <c r="D28">
        <v>1570</v>
      </c>
      <c r="E28">
        <v>218.72</v>
      </c>
      <c r="F28">
        <v>42</v>
      </c>
      <c r="G28">
        <v>980</v>
      </c>
      <c r="H28">
        <v>120</v>
      </c>
    </row>
    <row r="29" spans="1:8" hidden="1" outlineLevel="2" x14ac:dyDescent="0.15">
      <c r="A29" t="s">
        <v>42</v>
      </c>
      <c r="B29" t="s">
        <v>15</v>
      </c>
      <c r="C29" t="s">
        <v>13</v>
      </c>
      <c r="D29">
        <v>1570</v>
      </c>
      <c r="E29">
        <v>207.99</v>
      </c>
      <c r="F29">
        <v>51</v>
      </c>
      <c r="G29">
        <v>1340</v>
      </c>
      <c r="H29">
        <v>60</v>
      </c>
    </row>
    <row r="30" spans="1:8" hidden="1" outlineLevel="2" x14ac:dyDescent="0.15">
      <c r="A30" t="s">
        <v>30</v>
      </c>
      <c r="B30" t="s">
        <v>15</v>
      </c>
      <c r="C30" t="s">
        <v>13</v>
      </c>
      <c r="D30">
        <v>1570</v>
      </c>
      <c r="E30">
        <v>330.51</v>
      </c>
      <c r="F30">
        <v>36</v>
      </c>
      <c r="G30">
        <v>740</v>
      </c>
      <c r="H30">
        <v>160</v>
      </c>
    </row>
    <row r="31" spans="1:8" hidden="1" outlineLevel="2" x14ac:dyDescent="0.15">
      <c r="A31" t="s">
        <v>20</v>
      </c>
      <c r="B31" t="s">
        <v>12</v>
      </c>
      <c r="C31" t="s">
        <v>13</v>
      </c>
      <c r="D31">
        <v>1570</v>
      </c>
      <c r="E31">
        <v>661.15</v>
      </c>
      <c r="F31">
        <v>33</v>
      </c>
      <c r="G31">
        <v>620</v>
      </c>
      <c r="H31">
        <v>180</v>
      </c>
    </row>
    <row r="32" spans="1:8" hidden="1" outlineLevel="2" x14ac:dyDescent="0.15">
      <c r="A32" t="s">
        <v>26</v>
      </c>
      <c r="B32" t="s">
        <v>12</v>
      </c>
      <c r="C32" t="s">
        <v>13</v>
      </c>
      <c r="D32">
        <v>1570</v>
      </c>
      <c r="E32">
        <v>318.95</v>
      </c>
      <c r="F32">
        <v>40.5</v>
      </c>
      <c r="G32">
        <v>920</v>
      </c>
      <c r="H32">
        <v>130</v>
      </c>
    </row>
    <row r="33" spans="1:8" hidden="1" outlineLevel="2" x14ac:dyDescent="0.15">
      <c r="A33" t="s">
        <v>48</v>
      </c>
      <c r="B33" t="s">
        <v>9</v>
      </c>
      <c r="C33" t="s">
        <v>13</v>
      </c>
      <c r="D33">
        <v>1570</v>
      </c>
      <c r="E33">
        <v>269.58999999999997</v>
      </c>
      <c r="F33">
        <v>42</v>
      </c>
      <c r="G33">
        <v>980</v>
      </c>
      <c r="H33">
        <v>270</v>
      </c>
    </row>
    <row r="34" spans="1:8" hidden="1" outlineLevel="2" x14ac:dyDescent="0.15">
      <c r="A34" t="s">
        <v>36</v>
      </c>
      <c r="B34" t="s">
        <v>15</v>
      </c>
      <c r="C34" t="s">
        <v>13</v>
      </c>
      <c r="D34">
        <v>1570</v>
      </c>
      <c r="E34">
        <v>225.5</v>
      </c>
      <c r="F34">
        <v>34.5</v>
      </c>
      <c r="G34">
        <v>680</v>
      </c>
      <c r="H34">
        <v>170</v>
      </c>
    </row>
    <row r="35" spans="1:8" hidden="1" outlineLevel="2" x14ac:dyDescent="0.15">
      <c r="A35" t="s">
        <v>41</v>
      </c>
      <c r="B35" t="s">
        <v>9</v>
      </c>
      <c r="C35" t="s">
        <v>13</v>
      </c>
      <c r="D35">
        <v>1570</v>
      </c>
      <c r="E35">
        <v>269.58999999999997</v>
      </c>
      <c r="F35">
        <v>46.5</v>
      </c>
      <c r="G35">
        <v>1160</v>
      </c>
      <c r="H35">
        <v>90</v>
      </c>
    </row>
    <row r="36" spans="1:8" hidden="1" outlineLevel="2" x14ac:dyDescent="0.15">
      <c r="A36" t="s">
        <v>39</v>
      </c>
      <c r="B36" t="s">
        <v>9</v>
      </c>
      <c r="C36" t="s">
        <v>13</v>
      </c>
      <c r="D36">
        <v>1570</v>
      </c>
      <c r="E36">
        <v>390.19</v>
      </c>
      <c r="F36">
        <v>54</v>
      </c>
      <c r="G36">
        <v>1460</v>
      </c>
      <c r="H36">
        <v>40</v>
      </c>
    </row>
    <row r="37" spans="1:8" hidden="1" outlineLevel="2" x14ac:dyDescent="0.15">
      <c r="A37" t="s">
        <v>52</v>
      </c>
      <c r="B37" t="s">
        <v>15</v>
      </c>
      <c r="C37" t="s">
        <v>13</v>
      </c>
      <c r="D37">
        <v>1570</v>
      </c>
      <c r="E37">
        <v>207.99</v>
      </c>
      <c r="F37">
        <v>50.5</v>
      </c>
      <c r="G37">
        <v>1320</v>
      </c>
      <c r="H37">
        <v>40</v>
      </c>
    </row>
    <row r="38" spans="1:8" hidden="1" outlineLevel="2" x14ac:dyDescent="0.15">
      <c r="A38" t="s">
        <v>31</v>
      </c>
      <c r="B38" t="s">
        <v>9</v>
      </c>
      <c r="C38" t="s">
        <v>13</v>
      </c>
      <c r="D38">
        <v>1570</v>
      </c>
      <c r="E38">
        <v>413.97</v>
      </c>
      <c r="F38">
        <v>30</v>
      </c>
      <c r="G38">
        <v>500</v>
      </c>
      <c r="H38">
        <v>200</v>
      </c>
    </row>
    <row r="39" spans="1:8" hidden="1" outlineLevel="2" x14ac:dyDescent="0.15">
      <c r="A39" t="s">
        <v>14</v>
      </c>
      <c r="B39" t="s">
        <v>15</v>
      </c>
      <c r="C39" t="s">
        <v>13</v>
      </c>
      <c r="D39">
        <v>1570</v>
      </c>
      <c r="E39">
        <v>285.94</v>
      </c>
      <c r="F39">
        <v>34.5</v>
      </c>
      <c r="G39">
        <v>680</v>
      </c>
      <c r="H39">
        <v>170</v>
      </c>
    </row>
    <row r="40" spans="1:8" hidden="1" outlineLevel="2" x14ac:dyDescent="0.15">
      <c r="A40" t="s">
        <v>51</v>
      </c>
      <c r="B40" t="s">
        <v>9</v>
      </c>
      <c r="C40" t="s">
        <v>13</v>
      </c>
      <c r="D40">
        <v>1570</v>
      </c>
      <c r="E40">
        <v>269.58999999999997</v>
      </c>
      <c r="F40">
        <v>46.5</v>
      </c>
      <c r="G40">
        <v>1160</v>
      </c>
      <c r="H40">
        <v>230</v>
      </c>
    </row>
    <row r="41" spans="1:8" hidden="1" outlineLevel="2" x14ac:dyDescent="0.15">
      <c r="A41" t="s">
        <v>23</v>
      </c>
      <c r="B41" t="s">
        <v>12</v>
      </c>
      <c r="C41" t="s">
        <v>13</v>
      </c>
      <c r="D41">
        <v>1570</v>
      </c>
      <c r="E41">
        <v>393.87</v>
      </c>
      <c r="F41">
        <v>39</v>
      </c>
      <c r="G41">
        <v>860</v>
      </c>
      <c r="H41">
        <v>140</v>
      </c>
    </row>
    <row r="42" spans="1:8" outlineLevel="1" collapsed="1" x14ac:dyDescent="0.15">
      <c r="C42" s="1" t="s">
        <v>63</v>
      </c>
      <c r="F42">
        <f>SUBTOTAL(4,F17:F41)</f>
        <v>54</v>
      </c>
      <c r="G42">
        <f>SUBTOTAL(4,G17:G41)</f>
        <v>1460</v>
      </c>
    </row>
    <row r="43" spans="1:8" x14ac:dyDescent="0.15">
      <c r="C43" s="1" t="s">
        <v>64</v>
      </c>
      <c r="F43">
        <f>SUBTOTAL(4,F2:F41)</f>
        <v>60</v>
      </c>
      <c r="G43">
        <f>SUBTOTAL(4,G2:G41)</f>
        <v>1700</v>
      </c>
    </row>
  </sheetData>
  <sortState ref="A2:H39">
    <sortCondition ref="C2:C39"/>
    <sortCondition ref="A2:A39"/>
  </sortState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7" workbookViewId="0">
      <selection activeCell="I28" sqref="I28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工资数据表</vt:lpstr>
      <vt:lpstr>Sheet2</vt:lpstr>
      <vt:lpstr>筛选</vt:lpstr>
      <vt:lpstr>分类汇总</vt:lpstr>
      <vt:lpstr>图表</vt:lpstr>
      <vt:lpstr>筛选!Criteria</vt:lpstr>
      <vt:lpstr>筛选!提取</vt:lpstr>
    </vt:vector>
  </TitlesOfParts>
  <Company>Lenovo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k44</dc:creator>
  <cp:lastModifiedBy>k44</cp:lastModifiedBy>
  <dcterms:created xsi:type="dcterms:W3CDTF">2019-02-24T08:58:34Z</dcterms:created>
  <dcterms:modified xsi:type="dcterms:W3CDTF">2019-02-27T05:35:16Z</dcterms:modified>
</cp:coreProperties>
</file>