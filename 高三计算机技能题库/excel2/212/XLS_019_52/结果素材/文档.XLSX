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1395" windowWidth="11400" windowHeight="5955" activeTab="3"/>
  </bookViews>
  <sheets>
    <sheet name="Sheet1" sheetId="1" r:id="rId1"/>
    <sheet name="其它" sheetId="2" r:id="rId2"/>
    <sheet name="汇总" sheetId="3" r:id="rId3"/>
    <sheet name="chart1" sheetId="8" r:id="rId4"/>
  </sheets>
  <definedNames>
    <definedName name="_xlnm._FilterDatabase" localSheetId="0" hidden="1">Sheet1!$C$2:$E$27</definedName>
    <definedName name="_xlnm._FilterDatabase" localSheetId="2" hidden="1">汇总!$C$2:$E$32</definedName>
    <definedName name="_xlnm.Criteria" localSheetId="0">Sheet1!#REF!</definedName>
    <definedName name="_xlnm.Criteria" localSheetId="2">汇总!$C$36:$E$37</definedName>
    <definedName name="_xlnm.Criteria" localSheetId="1">其它!$A$1:$B$2</definedName>
    <definedName name="_xlnm.Extract" localSheetId="0">Sheet1!$C$31:$E$45</definedName>
    <definedName name="_xlnm.Extract" localSheetId="2">汇总!$C$40:$E$54</definedName>
    <definedName name="_xlnm.Extract" localSheetId="1">其它!$B$5:$D$5</definedName>
  </definedNames>
  <calcPr calcId="144525"/>
</workbook>
</file>

<file path=xl/calcChain.xml><?xml version="1.0" encoding="utf-8"?>
<calcChain xmlns="http://schemas.openxmlformats.org/spreadsheetml/2006/main">
  <c r="A2" i="2" l="1"/>
  <c r="F3" i="3"/>
  <c r="F4" i="3"/>
  <c r="F5" i="3"/>
  <c r="F6" i="3"/>
  <c r="F7" i="3"/>
  <c r="F8" i="3"/>
  <c r="F34" i="3" s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33" i="3" s="1"/>
  <c r="F22" i="3"/>
  <c r="F23" i="3"/>
  <c r="F24" i="3"/>
  <c r="F25" i="3"/>
  <c r="F26" i="3"/>
  <c r="F27" i="3"/>
  <c r="F28" i="3"/>
  <c r="F29" i="3"/>
  <c r="F30" i="3"/>
  <c r="F31" i="3"/>
  <c r="F32" i="3"/>
  <c r="D6" i="3"/>
  <c r="D34" i="3" s="1"/>
  <c r="D8" i="3"/>
  <c r="D13" i="3"/>
  <c r="D18" i="3"/>
  <c r="D20" i="3"/>
  <c r="D33" i="3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3" i="1"/>
</calcChain>
</file>

<file path=xl/sharedStrings.xml><?xml version="1.0" encoding="utf-8"?>
<sst xmlns="http://schemas.openxmlformats.org/spreadsheetml/2006/main" count="182" uniqueCount="134">
  <si>
    <t>报刊号</t>
    <phoneticPr fontId="1" type="noConversion"/>
  </si>
  <si>
    <t>报刊名称</t>
    <phoneticPr fontId="1" type="noConversion"/>
  </si>
  <si>
    <t>14-271</t>
    <phoneticPr fontId="1" type="noConversion"/>
  </si>
  <si>
    <t>数理化解题研究（高中）</t>
    <phoneticPr fontId="1" type="noConversion"/>
  </si>
  <si>
    <t>82-539</t>
    <phoneticPr fontId="1" type="noConversion"/>
  </si>
  <si>
    <t>数理天地（高中）</t>
    <phoneticPr fontId="1" type="noConversion"/>
  </si>
  <si>
    <t>35-57</t>
    <phoneticPr fontId="1" type="noConversion"/>
  </si>
  <si>
    <t>中学生时事政治报（高中）</t>
    <phoneticPr fontId="1" type="noConversion"/>
  </si>
  <si>
    <t>17-90</t>
    <phoneticPr fontId="1" type="noConversion"/>
  </si>
  <si>
    <t>语文周报（高一版）</t>
    <phoneticPr fontId="1" type="noConversion"/>
  </si>
  <si>
    <t>11-105</t>
    <phoneticPr fontId="1" type="noConversion"/>
  </si>
  <si>
    <t>英语测试报（高一版）</t>
    <phoneticPr fontId="1" type="noConversion"/>
  </si>
  <si>
    <t>4-717</t>
    <phoneticPr fontId="1" type="noConversion"/>
  </si>
  <si>
    <t>英语画刊（高一）</t>
    <phoneticPr fontId="1" type="noConversion"/>
  </si>
  <si>
    <t>35-114</t>
    <phoneticPr fontId="1" type="noConversion"/>
  </si>
  <si>
    <t>今日英语报（高一）</t>
    <phoneticPr fontId="1" type="noConversion"/>
  </si>
  <si>
    <t>1-201</t>
    <phoneticPr fontId="1" type="noConversion"/>
  </si>
  <si>
    <t>中华读书报</t>
    <phoneticPr fontId="1" type="noConversion"/>
  </si>
  <si>
    <t>2-37</t>
    <phoneticPr fontId="1" type="noConversion"/>
  </si>
  <si>
    <t>中学生</t>
    <phoneticPr fontId="1" type="noConversion"/>
  </si>
  <si>
    <t>2-33</t>
    <phoneticPr fontId="1" type="noConversion"/>
  </si>
  <si>
    <t>少年科学画报</t>
    <phoneticPr fontId="1" type="noConversion"/>
  </si>
  <si>
    <t>14-145</t>
    <phoneticPr fontId="1" type="noConversion"/>
  </si>
  <si>
    <t>知识文库</t>
    <phoneticPr fontId="1" type="noConversion"/>
  </si>
  <si>
    <t>32-83</t>
    <phoneticPr fontId="1" type="noConversion"/>
  </si>
  <si>
    <t>幽默大师</t>
    <phoneticPr fontId="1" type="noConversion"/>
  </si>
  <si>
    <t>4-520</t>
    <phoneticPr fontId="1" type="noConversion"/>
  </si>
  <si>
    <t>交际与口才</t>
    <phoneticPr fontId="1" type="noConversion"/>
  </si>
  <si>
    <t>42-183</t>
    <phoneticPr fontId="1" type="noConversion"/>
  </si>
  <si>
    <t>中学生百科</t>
    <phoneticPr fontId="1" type="noConversion"/>
  </si>
  <si>
    <t>12-60</t>
    <phoneticPr fontId="1" type="noConversion"/>
  </si>
  <si>
    <t>演讲与口才，学生读本</t>
    <phoneticPr fontId="1" type="noConversion"/>
  </si>
  <si>
    <t>54-17</t>
    <phoneticPr fontId="1" type="noConversion"/>
  </si>
  <si>
    <t>读者</t>
    <phoneticPr fontId="1" type="noConversion"/>
  </si>
  <si>
    <t>38-51</t>
    <phoneticPr fontId="1" type="noConversion"/>
  </si>
  <si>
    <t>中学语文（学生版）</t>
    <phoneticPr fontId="1" type="noConversion"/>
  </si>
  <si>
    <t>萌芽</t>
    <phoneticPr fontId="1" type="noConversion"/>
  </si>
  <si>
    <t>2-519</t>
    <phoneticPr fontId="1" type="noConversion"/>
  </si>
  <si>
    <t>中学生数学（上半月高中）</t>
    <phoneticPr fontId="1" type="noConversion"/>
  </si>
  <si>
    <t>82-719</t>
    <phoneticPr fontId="1" type="noConversion"/>
  </si>
  <si>
    <t>语文世界，高中版</t>
    <phoneticPr fontId="1" type="noConversion"/>
  </si>
  <si>
    <t>中学生语数外（高中版）</t>
    <phoneticPr fontId="1" type="noConversion"/>
  </si>
  <si>
    <t>6-136</t>
    <phoneticPr fontId="1" type="noConversion"/>
  </si>
  <si>
    <t>6-158</t>
    <phoneticPr fontId="1" type="noConversion"/>
  </si>
  <si>
    <t>作文通讯（高中版）</t>
    <phoneticPr fontId="1" type="noConversion"/>
  </si>
  <si>
    <t>8-228</t>
    <phoneticPr fontId="1" type="noConversion"/>
  </si>
  <si>
    <t>英语通（高一版）</t>
    <phoneticPr fontId="1" type="noConversion"/>
  </si>
  <si>
    <t>14-231</t>
    <phoneticPr fontId="1" type="noConversion"/>
  </si>
  <si>
    <t>中学生理科应试（高中）</t>
    <phoneticPr fontId="1" type="noConversion"/>
  </si>
  <si>
    <t>中学生博览</t>
    <phoneticPr fontId="1" type="noConversion"/>
  </si>
  <si>
    <t>4-4</t>
    <phoneticPr fontId="1" type="noConversion"/>
  </si>
  <si>
    <t>订阅份数</t>
    <phoneticPr fontId="1" type="noConversion"/>
  </si>
  <si>
    <t>类别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</si>
  <si>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</si>
  <si>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</si>
  <si>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</si>
  <si>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单价</t>
    <phoneticPr fontId="1" type="noConversion"/>
  </si>
  <si>
    <t>金额</t>
    <phoneticPr fontId="1" type="noConversion"/>
  </si>
  <si>
    <t>综合</t>
    <phoneticPr fontId="1" type="noConversion"/>
  </si>
  <si>
    <t>政治</t>
    <phoneticPr fontId="1" type="noConversion"/>
  </si>
  <si>
    <t>其它</t>
    <phoneticPr fontId="1" type="noConversion"/>
  </si>
  <si>
    <t>12-167</t>
    <phoneticPr fontId="1" type="noConversion"/>
  </si>
  <si>
    <t>学生报刊征订表</t>
    <phoneticPr fontId="1" type="noConversion"/>
  </si>
  <si>
    <t>学生报刊征订表</t>
    <phoneticPr fontId="1" type="noConversion"/>
  </si>
  <si>
    <t>报刊号</t>
    <phoneticPr fontId="1" type="noConversion"/>
  </si>
  <si>
    <t>报刊名称</t>
    <phoneticPr fontId="1" type="noConversion"/>
  </si>
  <si>
    <t>类别</t>
    <phoneticPr fontId="1" type="noConversion"/>
  </si>
  <si>
    <t>订阅份数</t>
    <phoneticPr fontId="1" type="noConversion"/>
  </si>
  <si>
    <t>单价</t>
    <phoneticPr fontId="1" type="noConversion"/>
  </si>
  <si>
    <t>金额</t>
    <phoneticPr fontId="1" type="noConversion"/>
  </si>
  <si>
    <t>14-271</t>
    <phoneticPr fontId="1" type="noConversion"/>
  </si>
  <si>
    <t>数理化解题研究（高中）</t>
    <phoneticPr fontId="1" type="noConversion"/>
  </si>
  <si>
    <t>综合</t>
    <phoneticPr fontId="1" type="noConversion"/>
  </si>
  <si>
    <t>82-539</t>
    <phoneticPr fontId="1" type="noConversion"/>
  </si>
  <si>
    <t>数理天地（高中）</t>
    <phoneticPr fontId="1" type="noConversion"/>
  </si>
  <si>
    <t>35-57</t>
    <phoneticPr fontId="1" type="noConversion"/>
  </si>
  <si>
    <t>中学生时事政治报（高中）</t>
    <phoneticPr fontId="1" type="noConversion"/>
  </si>
  <si>
    <t>政治</t>
    <phoneticPr fontId="1" type="noConversion"/>
  </si>
  <si>
    <t>17-90</t>
    <phoneticPr fontId="1" type="noConversion"/>
  </si>
  <si>
    <t>语文周报（高一版）</t>
    <phoneticPr fontId="1" type="noConversion"/>
  </si>
  <si>
    <t>语文</t>
    <phoneticPr fontId="1" type="noConversion"/>
  </si>
  <si>
    <t>11-105</t>
    <phoneticPr fontId="1" type="noConversion"/>
  </si>
  <si>
    <t>英语测试报（高一版）</t>
    <phoneticPr fontId="1" type="noConversion"/>
  </si>
  <si>
    <t>英语</t>
    <phoneticPr fontId="1" type="noConversion"/>
  </si>
  <si>
    <t>4-717</t>
    <phoneticPr fontId="1" type="noConversion"/>
  </si>
  <si>
    <t>英语画刊（高一）</t>
    <phoneticPr fontId="1" type="noConversion"/>
  </si>
  <si>
    <t>35-114</t>
    <phoneticPr fontId="1" type="noConversion"/>
  </si>
  <si>
    <t>今日英语报（高一）</t>
    <phoneticPr fontId="1" type="noConversion"/>
  </si>
  <si>
    <t>1-201</t>
    <phoneticPr fontId="1" type="noConversion"/>
  </si>
  <si>
    <t>中华读书报</t>
    <phoneticPr fontId="1" type="noConversion"/>
  </si>
  <si>
    <t>其它</t>
    <phoneticPr fontId="1" type="noConversion"/>
  </si>
  <si>
    <t>2-37</t>
    <phoneticPr fontId="1" type="noConversion"/>
  </si>
  <si>
    <t>中学生</t>
    <phoneticPr fontId="1" type="noConversion"/>
  </si>
  <si>
    <t>2-33</t>
    <phoneticPr fontId="1" type="noConversion"/>
  </si>
  <si>
    <t>少年科学画报</t>
    <phoneticPr fontId="1" type="noConversion"/>
  </si>
  <si>
    <t>14-145</t>
    <phoneticPr fontId="1" type="noConversion"/>
  </si>
  <si>
    <t>知识文库</t>
    <phoneticPr fontId="1" type="noConversion"/>
  </si>
  <si>
    <t>32-83</t>
    <phoneticPr fontId="1" type="noConversion"/>
  </si>
  <si>
    <t>幽默大师</t>
    <phoneticPr fontId="1" type="noConversion"/>
  </si>
  <si>
    <t>4-520</t>
    <phoneticPr fontId="1" type="noConversion"/>
  </si>
  <si>
    <t>交际与口才</t>
    <phoneticPr fontId="1" type="noConversion"/>
  </si>
  <si>
    <t>42-183</t>
    <phoneticPr fontId="1" type="noConversion"/>
  </si>
  <si>
    <t>中学生百科</t>
    <phoneticPr fontId="1" type="noConversion"/>
  </si>
  <si>
    <t>12-60</t>
    <phoneticPr fontId="1" type="noConversion"/>
  </si>
  <si>
    <t>演讲与口才，学生读本</t>
    <phoneticPr fontId="1" type="noConversion"/>
  </si>
  <si>
    <t>54-17</t>
    <phoneticPr fontId="1" type="noConversion"/>
  </si>
  <si>
    <t>读者</t>
    <phoneticPr fontId="1" type="noConversion"/>
  </si>
  <si>
    <t>38-51</t>
    <phoneticPr fontId="1" type="noConversion"/>
  </si>
  <si>
    <t>中学语文（学生版）</t>
    <phoneticPr fontId="1" type="noConversion"/>
  </si>
  <si>
    <t>4-4</t>
    <phoneticPr fontId="1" type="noConversion"/>
  </si>
  <si>
    <t>萌芽</t>
    <phoneticPr fontId="1" type="noConversion"/>
  </si>
  <si>
    <t>2-519</t>
    <phoneticPr fontId="1" type="noConversion"/>
  </si>
  <si>
    <t>中学生数学（上半月高中）</t>
    <phoneticPr fontId="1" type="noConversion"/>
  </si>
  <si>
    <t>数学</t>
    <phoneticPr fontId="1" type="noConversion"/>
  </si>
  <si>
    <t>82-719</t>
    <phoneticPr fontId="1" type="noConversion"/>
  </si>
  <si>
    <t>语文世界，高中版</t>
    <phoneticPr fontId="1" type="noConversion"/>
  </si>
  <si>
    <t>6-136</t>
    <phoneticPr fontId="1" type="noConversion"/>
  </si>
  <si>
    <t>中学生语数外（高中版）</t>
    <phoneticPr fontId="1" type="noConversion"/>
  </si>
  <si>
    <t>6-158</t>
    <phoneticPr fontId="1" type="noConversion"/>
  </si>
  <si>
    <t>作文通讯（高中版）</t>
    <phoneticPr fontId="1" type="noConversion"/>
  </si>
  <si>
    <t>8-228</t>
    <phoneticPr fontId="1" type="noConversion"/>
  </si>
  <si>
    <t>英语通（高一版）</t>
    <phoneticPr fontId="1" type="noConversion"/>
  </si>
  <si>
    <t>14-231</t>
    <phoneticPr fontId="1" type="noConversion"/>
  </si>
  <si>
    <t>中学生理科应试（高中）</t>
    <phoneticPr fontId="1" type="noConversion"/>
  </si>
  <si>
    <t>12-167</t>
    <phoneticPr fontId="1" type="noConversion"/>
  </si>
  <si>
    <t>中学生博览</t>
    <phoneticPr fontId="1" type="noConversion"/>
  </si>
  <si>
    <t>&gt;=8</t>
    <phoneticPr fontId="1" type="noConversion"/>
  </si>
  <si>
    <t>总计</t>
  </si>
  <si>
    <t>综合 汇总</t>
  </si>
  <si>
    <t>政治 汇总</t>
  </si>
  <si>
    <t>语文 汇总</t>
  </si>
  <si>
    <t>英语 汇总</t>
  </si>
  <si>
    <t>数学 汇总</t>
  </si>
  <si>
    <t>其它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</si>
</sst>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¥&quot;#,##0.00;&quot;¥&quot;\-#,##0.00"/>
    <numFmt numFmtId="176" formatCode="0.00_ "/>
    <numFmt numFmtId="177" formatCode="0_ "/>
  </numFmts>
  <fonts count="8"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name val="Times New Roman"/>
      <family val="1"/>
    </font>
    <font>
      <sz val="16"/>
      <color indexed="12"/>
      <name val="黑体"/>
      <charset val="134"/>
    </font>
    <font>
      <b/>
      <sz val="11"/>
      <name val="宋体"/>
      <charset val="134"/>
    </font>
    <font>
      <sz val="12"/>
      <name val="宋体"/>
      <charset val="134"/>
    </font>
    <font>
      <sz val="10.25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double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double">
        <color indexed="12"/>
      </left>
      <right style="thin">
        <color indexed="12"/>
      </right>
      <top style="thin">
        <color indexed="12"/>
      </top>
      <bottom style="double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double">
        <color indexed="12"/>
      </bottom>
      <diagonal/>
    </border>
    <border>
      <left style="thin">
        <color indexed="12"/>
      </left>
      <right style="double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Border="1"/>
    <xf numFmtId="0" fontId="2" fillId="0" borderId="0" xfId="0" applyFont="1"/>
    <xf numFmtId="49" fontId="3" fillId="0" borderId="0" xfId="0" applyNumberFormat="1" applyFont="1" applyBorder="1"/>
    <xf numFmtId="177" fontId="2" fillId="0" borderId="0" xfId="0" applyNumberFormat="1" applyFont="1" applyBorder="1"/>
    <xf numFmtId="176" fontId="2" fillId="0" borderId="0" xfId="0" applyNumberFormat="1" applyFont="1" applyBorder="1"/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7" fontId="2" fillId="0" borderId="2" xfId="0" applyNumberFormat="1" applyFont="1" applyBorder="1"/>
    <xf numFmtId="7" fontId="2" fillId="0" borderId="5" xfId="0" applyNumberFormat="1" applyFont="1" applyBorder="1"/>
    <xf numFmtId="7" fontId="2" fillId="0" borderId="4" xfId="0" applyNumberFormat="1" applyFont="1" applyBorder="1"/>
    <xf numFmtId="0" fontId="5" fillId="0" borderId="2" xfId="0" applyNumberFormat="1" applyFont="1" applyBorder="1"/>
    <xf numFmtId="0" fontId="5" fillId="0" borderId="2" xfId="0" applyFont="1" applyBorder="1"/>
    <xf numFmtId="7" fontId="2" fillId="0" borderId="0" xfId="0" applyNumberFormat="1" applyFont="1" applyBorder="1"/>
    <xf numFmtId="0" fontId="5" fillId="0" borderId="0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432264736297829"/>
          <c:y val="2.03389830508474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6194415718717683E-2"/>
          <c:y val="0.11186440677966102"/>
          <c:w val="0.79627714581178899"/>
          <c:h val="0.69322033898305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汇总!$D$2</c:f>
              <c:strCache>
                <c:ptCount val="1"/>
                <c:pt idx="0">
                  <c:v>订阅份数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(汇总!$C$6,汇总!$C$8,汇总!$C$13,汇总!$C$18,汇总!$C$20,汇总!$C$33)</c:f>
              <c:strCache>
                <c:ptCount val="6"/>
                <c:pt idx="0">
                  <c:v>综合 汇总</c:v>
                </c:pt>
                <c:pt idx="1">
                  <c:v>政治 汇总</c:v>
                </c:pt>
                <c:pt idx="2">
                  <c:v>语文 汇总</c:v>
                </c:pt>
                <c:pt idx="3">
                  <c:v>英语 汇总</c:v>
                </c:pt>
                <c:pt idx="4">
                  <c:v>数学 汇总</c:v>
                </c:pt>
                <c:pt idx="5">
                  <c:v>其它 汇总</c:v>
                </c:pt>
              </c:strCache>
            </c:strRef>
          </c:cat>
          <c:val>
            <c:numRef>
              <c:f>(汇总!$D$6,汇总!$D$8,汇总!$D$13,汇总!$D$18,汇总!$D$20,汇总!$D$33)</c:f>
              <c:numCache>
                <c:formatCode>General</c:formatCode>
                <c:ptCount val="6"/>
                <c:pt idx="0">
                  <c:v>24</c:v>
                </c:pt>
                <c:pt idx="1">
                  <c:v>5</c:v>
                </c:pt>
                <c:pt idx="2">
                  <c:v>32</c:v>
                </c:pt>
                <c:pt idx="3">
                  <c:v>27</c:v>
                </c:pt>
                <c:pt idx="4">
                  <c:v>12</c:v>
                </c:pt>
                <c:pt idx="5">
                  <c:v>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2406400"/>
        <c:axId val="142407936"/>
      </c:barChart>
      <c:catAx>
        <c:axId val="1424064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2407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2407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24064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59462254395036196"/>
          <c:y val="2.3728813559322035E-2"/>
          <c:w val="9.1003102378490172E-2"/>
          <c:h val="3.728813559322034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06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9481" cy="5625142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B32" sqref="B32"/>
    </sheetView>
  </sheetViews>
  <sheetFormatPr defaultRowHeight="13.5"/>
  <cols>
    <col min="1" max="1" width="12.375" style="2" customWidth="1"/>
    <col min="2" max="2" width="25.75" style="2" customWidth="1"/>
    <col min="3" max="16384" width="9" style="2"/>
  </cols>
  <sheetData>
    <row r="1" spans="1:9" ht="30" customHeight="1">
      <c r="A1" s="6" t="s">
        <v>62</v>
      </c>
      <c r="B1" s="7"/>
      <c r="C1" s="7"/>
      <c r="D1" s="7"/>
      <c r="E1" s="7"/>
      <c r="F1" s="7"/>
      <c r="H1" s="1"/>
      <c r="I1" s="1"/>
    </row>
    <row r="2" spans="1:9" ht="15.95" customHeight="1">
      <c r="A2" s="9" t="s">
        <v>0</v>
      </c>
      <c r="B2" s="9" t="s">
        <v>1</v>
      </c>
      <c r="C2" s="9" t="s">
        <v>52</v>
      </c>
      <c r="D2" s="9" t="s">
        <v>51</v>
      </c>
      <c r="E2" s="9" t="s">
        <v>56</v>
      </c>
      <c r="F2" s="9" t="s">
        <v>57</v>
      </c>
    </row>
    <row r="3" spans="1:9" ht="15.95" customHeight="1">
      <c r="A3" s="9" t="s">
        <v>2</v>
      </c>
      <c r="B3" s="9" t="s">
        <v>3</v>
      </c>
      <c r="C3" s="9" t="s">
        <v>58</v>
      </c>
      <c r="D3" s="9">
        <v>8</v>
      </c>
      <c r="E3" s="12">
        <v>30</v>
      </c>
      <c r="F3" s="12">
        <f>D3*E3</f>
        <v>240</v>
      </c>
    </row>
    <row r="4" spans="1:9" ht="15.95" customHeight="1">
      <c r="A4" s="9" t="s">
        <v>4</v>
      </c>
      <c r="B4" s="9" t="s">
        <v>5</v>
      </c>
      <c r="C4" s="9" t="s">
        <v>58</v>
      </c>
      <c r="D4" s="9">
        <v>7</v>
      </c>
      <c r="E4" s="12">
        <v>27</v>
      </c>
      <c r="F4" s="12">
        <f t="shared" ref="F4:F27" si="0">D4*E4</f>
        <v>189</v>
      </c>
    </row>
    <row r="5" spans="1:9" ht="15.95" customHeight="1">
      <c r="A5" s="9" t="s">
        <v>6</v>
      </c>
      <c r="B5" s="9" t="s">
        <v>7</v>
      </c>
      <c r="C5" s="9" t="s">
        <v>59</v>
      </c>
      <c r="D5" s="9">
        <v>5</v>
      </c>
      <c r="E5" s="12">
        <v>9.36</v>
      </c>
      <c r="F5" s="12">
        <f t="shared" si="0"/>
        <v>46.8</v>
      </c>
    </row>
    <row r="6" spans="1:9" ht="15.95" customHeight="1">
      <c r="A6" s="9" t="s">
        <v>8</v>
      </c>
      <c r="B6" s="9" t="s">
        <v>9</v>
      </c>
      <c r="C6" s="9" t="s">
        <v>53</v>
      </c>
      <c r="D6" s="9">
        <v>12</v>
      </c>
      <c r="E6" s="12">
        <v>13.02</v>
      </c>
      <c r="F6" s="12">
        <f t="shared" si="0"/>
        <v>156.24</v>
      </c>
    </row>
    <row r="7" spans="1:9" ht="15.95" customHeight="1">
      <c r="A7" s="9" t="s">
        <v>10</v>
      </c>
      <c r="B7" s="9" t="s">
        <v>11</v>
      </c>
      <c r="C7" s="9" t="s">
        <v>55</v>
      </c>
      <c r="D7" s="9">
        <v>5</v>
      </c>
      <c r="E7" s="12">
        <v>18.8</v>
      </c>
      <c r="F7" s="12">
        <f t="shared" si="0"/>
        <v>94</v>
      </c>
    </row>
    <row r="8" spans="1:9" ht="15.95" customHeight="1">
      <c r="A8" s="9" t="s">
        <v>12</v>
      </c>
      <c r="B8" s="9" t="s">
        <v>13</v>
      </c>
      <c r="C8" s="9" t="s">
        <v>55</v>
      </c>
      <c r="D8" s="9">
        <v>5</v>
      </c>
      <c r="E8" s="12">
        <v>24</v>
      </c>
      <c r="F8" s="12">
        <f t="shared" si="0"/>
        <v>120</v>
      </c>
    </row>
    <row r="9" spans="1:9" ht="15.95" customHeight="1">
      <c r="A9" s="9" t="s">
        <v>14</v>
      </c>
      <c r="B9" s="9" t="s">
        <v>15</v>
      </c>
      <c r="C9" s="9" t="s">
        <v>55</v>
      </c>
      <c r="D9" s="9">
        <v>9</v>
      </c>
      <c r="E9" s="12">
        <v>13.02</v>
      </c>
      <c r="F9" s="12">
        <f t="shared" si="0"/>
        <v>117.17999999999999</v>
      </c>
    </row>
    <row r="10" spans="1:9" ht="15.95" customHeight="1">
      <c r="A10" s="9" t="s">
        <v>16</v>
      </c>
      <c r="B10" s="9" t="s">
        <v>17</v>
      </c>
      <c r="C10" s="9" t="s">
        <v>60</v>
      </c>
      <c r="D10" s="9">
        <v>6</v>
      </c>
      <c r="E10" s="12">
        <v>48.96</v>
      </c>
      <c r="F10" s="12">
        <f t="shared" si="0"/>
        <v>293.76</v>
      </c>
    </row>
    <row r="11" spans="1:9" ht="15.95" customHeight="1">
      <c r="A11" s="9" t="s">
        <v>18</v>
      </c>
      <c r="B11" s="9" t="s">
        <v>19</v>
      </c>
      <c r="C11" s="9" t="s">
        <v>60</v>
      </c>
      <c r="D11" s="9">
        <v>8</v>
      </c>
      <c r="E11" s="12">
        <v>24</v>
      </c>
      <c r="F11" s="12">
        <f t="shared" si="0"/>
        <v>192</v>
      </c>
    </row>
    <row r="12" spans="1:9" ht="15.95" customHeight="1">
      <c r="A12" s="9" t="s">
        <v>20</v>
      </c>
      <c r="B12" s="9" t="s">
        <v>21</v>
      </c>
      <c r="C12" s="9" t="s">
        <v>60</v>
      </c>
      <c r="D12" s="9">
        <v>10</v>
      </c>
      <c r="E12" s="12">
        <v>35.4</v>
      </c>
      <c r="F12" s="12">
        <f t="shared" si="0"/>
        <v>354</v>
      </c>
    </row>
    <row r="13" spans="1:9" ht="15.95" customHeight="1">
      <c r="A13" s="9" t="s">
        <v>22</v>
      </c>
      <c r="B13" s="9" t="s">
        <v>23</v>
      </c>
      <c r="C13" s="9" t="s">
        <v>60</v>
      </c>
      <c r="D13" s="9">
        <v>4</v>
      </c>
      <c r="E13" s="12">
        <v>21</v>
      </c>
      <c r="F13" s="12">
        <f t="shared" si="0"/>
        <v>84</v>
      </c>
    </row>
    <row r="14" spans="1:9" ht="15.95" customHeight="1">
      <c r="A14" s="9" t="s">
        <v>24</v>
      </c>
      <c r="B14" s="9" t="s">
        <v>25</v>
      </c>
      <c r="C14" s="9" t="s">
        <v>60</v>
      </c>
      <c r="D14" s="9">
        <v>8</v>
      </c>
      <c r="E14" s="12">
        <v>23.4</v>
      </c>
      <c r="F14" s="12">
        <f t="shared" si="0"/>
        <v>187.2</v>
      </c>
    </row>
    <row r="15" spans="1:9" ht="15.95" customHeight="1">
      <c r="A15" s="9" t="s">
        <v>26</v>
      </c>
      <c r="B15" s="9" t="s">
        <v>27</v>
      </c>
      <c r="C15" s="9" t="s">
        <v>60</v>
      </c>
      <c r="D15" s="9">
        <v>5</v>
      </c>
      <c r="E15" s="12">
        <v>18</v>
      </c>
      <c r="F15" s="12">
        <f t="shared" si="0"/>
        <v>90</v>
      </c>
    </row>
    <row r="16" spans="1:9" ht="15.95" customHeight="1">
      <c r="A16" s="9" t="s">
        <v>28</v>
      </c>
      <c r="B16" s="9" t="s">
        <v>29</v>
      </c>
      <c r="C16" s="9" t="s">
        <v>60</v>
      </c>
      <c r="D16" s="9">
        <v>5</v>
      </c>
      <c r="E16" s="12">
        <v>24</v>
      </c>
      <c r="F16" s="12">
        <f t="shared" si="0"/>
        <v>120</v>
      </c>
    </row>
    <row r="17" spans="1:6" ht="15.95" customHeight="1">
      <c r="A17" s="9" t="s">
        <v>30</v>
      </c>
      <c r="B17" s="9" t="s">
        <v>31</v>
      </c>
      <c r="C17" s="9" t="s">
        <v>60</v>
      </c>
      <c r="D17" s="9">
        <v>2</v>
      </c>
      <c r="E17" s="12">
        <v>16.8</v>
      </c>
      <c r="F17" s="12">
        <f t="shared" si="0"/>
        <v>33.6</v>
      </c>
    </row>
    <row r="18" spans="1:6" ht="15.95" customHeight="1">
      <c r="A18" s="9" t="s">
        <v>32</v>
      </c>
      <c r="B18" s="9" t="s">
        <v>33</v>
      </c>
      <c r="C18" s="9" t="s">
        <v>60</v>
      </c>
      <c r="D18" s="9">
        <v>8</v>
      </c>
      <c r="E18" s="12">
        <v>36</v>
      </c>
      <c r="F18" s="12">
        <f t="shared" si="0"/>
        <v>288</v>
      </c>
    </row>
    <row r="19" spans="1:6" ht="15.95" customHeight="1">
      <c r="A19" s="9" t="s">
        <v>34</v>
      </c>
      <c r="B19" s="9" t="s">
        <v>35</v>
      </c>
      <c r="C19" s="9" t="s">
        <v>53</v>
      </c>
      <c r="D19" s="9">
        <v>5</v>
      </c>
      <c r="E19" s="12">
        <v>18</v>
      </c>
      <c r="F19" s="12">
        <f t="shared" si="0"/>
        <v>90</v>
      </c>
    </row>
    <row r="20" spans="1:6" ht="15.95" customHeight="1">
      <c r="A20" s="9" t="s">
        <v>50</v>
      </c>
      <c r="B20" s="9" t="s">
        <v>36</v>
      </c>
      <c r="C20" s="9" t="s">
        <v>60</v>
      </c>
      <c r="D20" s="9">
        <v>3</v>
      </c>
      <c r="E20" s="12">
        <v>28.8</v>
      </c>
      <c r="F20" s="12">
        <f t="shared" si="0"/>
        <v>86.4</v>
      </c>
    </row>
    <row r="21" spans="1:6" ht="15.95" customHeight="1">
      <c r="A21" s="9" t="s">
        <v>37</v>
      </c>
      <c r="B21" s="9" t="s">
        <v>38</v>
      </c>
      <c r="C21" s="9" t="s">
        <v>54</v>
      </c>
      <c r="D21" s="9">
        <v>12</v>
      </c>
      <c r="E21" s="12">
        <v>18</v>
      </c>
      <c r="F21" s="12">
        <f t="shared" si="0"/>
        <v>216</v>
      </c>
    </row>
    <row r="22" spans="1:6" ht="15.95" customHeight="1">
      <c r="A22" s="9" t="s">
        <v>39</v>
      </c>
      <c r="B22" s="9" t="s">
        <v>40</v>
      </c>
      <c r="C22" s="9" t="s">
        <v>53</v>
      </c>
      <c r="D22" s="9">
        <v>5</v>
      </c>
      <c r="E22" s="12">
        <v>21</v>
      </c>
      <c r="F22" s="12">
        <f t="shared" si="0"/>
        <v>105</v>
      </c>
    </row>
    <row r="23" spans="1:6" ht="15.95" customHeight="1">
      <c r="A23" s="9" t="s">
        <v>42</v>
      </c>
      <c r="B23" s="9" t="s">
        <v>41</v>
      </c>
      <c r="C23" s="9" t="s">
        <v>60</v>
      </c>
      <c r="D23" s="9">
        <v>9</v>
      </c>
      <c r="E23" s="12">
        <v>18</v>
      </c>
      <c r="F23" s="12">
        <f t="shared" si="0"/>
        <v>162</v>
      </c>
    </row>
    <row r="24" spans="1:6" ht="15.95" customHeight="1">
      <c r="A24" s="9" t="s">
        <v>43</v>
      </c>
      <c r="B24" s="9" t="s">
        <v>44</v>
      </c>
      <c r="C24" s="9" t="s">
        <v>53</v>
      </c>
      <c r="D24" s="9">
        <v>10</v>
      </c>
      <c r="E24" s="12">
        <v>21</v>
      </c>
      <c r="F24" s="12">
        <f t="shared" si="0"/>
        <v>210</v>
      </c>
    </row>
    <row r="25" spans="1:6" ht="15.95" customHeight="1">
      <c r="A25" s="9" t="s">
        <v>45</v>
      </c>
      <c r="B25" s="9" t="s">
        <v>46</v>
      </c>
      <c r="C25" s="9" t="s">
        <v>55</v>
      </c>
      <c r="D25" s="9">
        <v>8</v>
      </c>
      <c r="E25" s="12">
        <v>30</v>
      </c>
      <c r="F25" s="12">
        <f t="shared" si="0"/>
        <v>240</v>
      </c>
    </row>
    <row r="26" spans="1:6" ht="15.95" customHeight="1">
      <c r="A26" s="9" t="s">
        <v>47</v>
      </c>
      <c r="B26" s="9" t="s">
        <v>48</v>
      </c>
      <c r="C26" s="9" t="s">
        <v>58</v>
      </c>
      <c r="D26" s="9">
        <v>9</v>
      </c>
      <c r="E26" s="12">
        <v>21</v>
      </c>
      <c r="F26" s="12">
        <f t="shared" si="0"/>
        <v>189</v>
      </c>
    </row>
    <row r="27" spans="1:6" ht="15.95" customHeight="1">
      <c r="A27" s="9" t="s">
        <v>61</v>
      </c>
      <c r="B27" s="9" t="s">
        <v>49</v>
      </c>
      <c r="C27" s="9" t="s">
        <v>60</v>
      </c>
      <c r="D27" s="9">
        <v>3</v>
      </c>
      <c r="E27" s="12">
        <v>24</v>
      </c>
      <c r="F27" s="12">
        <f t="shared" si="0"/>
        <v>72</v>
      </c>
    </row>
    <row r="29" spans="1:6">
      <c r="A29" s="1"/>
      <c r="B29" s="1"/>
      <c r="C29" s="1"/>
      <c r="D29" s="1"/>
      <c r="E29" s="1"/>
    </row>
    <row r="30" spans="1:6" ht="15">
      <c r="A30" s="3"/>
      <c r="B30" s="1"/>
      <c r="C30" s="1"/>
      <c r="D30" s="4"/>
      <c r="E30" s="5"/>
    </row>
    <row r="31" spans="1:6">
      <c r="A31" s="1"/>
      <c r="B31" s="1"/>
      <c r="C31" s="1"/>
      <c r="D31" s="1"/>
      <c r="E31" s="1"/>
    </row>
    <row r="32" spans="1:6" ht="15">
      <c r="A32" s="3"/>
      <c r="B32" s="1"/>
      <c r="C32" s="1"/>
      <c r="D32" s="4"/>
      <c r="E32" s="5"/>
    </row>
    <row r="33" spans="1:5" ht="15">
      <c r="A33" s="3"/>
      <c r="B33" s="1"/>
      <c r="C33" s="1"/>
      <c r="D33" s="4"/>
      <c r="E33" s="5"/>
    </row>
    <row r="34" spans="1:5" ht="15">
      <c r="A34" s="3"/>
      <c r="B34" s="1"/>
      <c r="C34" s="1"/>
      <c r="D34" s="4"/>
      <c r="E34" s="5"/>
    </row>
    <row r="35" spans="1:5" ht="15">
      <c r="A35" s="3"/>
      <c r="B35" s="1"/>
      <c r="C35" s="1"/>
      <c r="D35" s="4"/>
      <c r="E35" s="5"/>
    </row>
    <row r="36" spans="1:5" ht="15">
      <c r="A36" s="3"/>
      <c r="B36" s="1"/>
      <c r="C36" s="1"/>
      <c r="D36" s="4"/>
      <c r="E36" s="5"/>
    </row>
    <row r="37" spans="1:5" ht="15">
      <c r="A37" s="3"/>
      <c r="B37" s="1"/>
      <c r="C37" s="1"/>
      <c r="D37" s="4"/>
      <c r="E37" s="5"/>
    </row>
    <row r="38" spans="1:5" ht="15">
      <c r="A38" s="3"/>
      <c r="B38" s="1"/>
      <c r="C38" s="1"/>
      <c r="D38" s="4"/>
      <c r="E38" s="5"/>
    </row>
    <row r="39" spans="1:5" ht="15">
      <c r="A39" s="3"/>
      <c r="B39" s="1"/>
      <c r="C39" s="1"/>
      <c r="D39" s="4"/>
      <c r="E39" s="5"/>
    </row>
    <row r="40" spans="1:5" ht="15">
      <c r="A40" s="3"/>
      <c r="B40" s="1"/>
      <c r="C40" s="1"/>
      <c r="D40" s="4"/>
      <c r="E40" s="5"/>
    </row>
    <row r="41" spans="1:5" ht="15">
      <c r="A41" s="3"/>
      <c r="B41" s="1"/>
      <c r="C41" s="1"/>
      <c r="D41" s="4"/>
      <c r="E41" s="5"/>
    </row>
    <row r="42" spans="1:5" ht="15">
      <c r="A42" s="3"/>
      <c r="B42" s="1"/>
      <c r="C42" s="1"/>
      <c r="D42" s="4"/>
      <c r="E42" s="5"/>
    </row>
    <row r="43" spans="1:5" ht="15">
      <c r="A43" s="3"/>
      <c r="B43" s="1"/>
      <c r="C43" s="1"/>
      <c r="D43" s="4"/>
      <c r="E43" s="5"/>
    </row>
    <row r="44" spans="1:5">
      <c r="C44" s="1"/>
      <c r="D44" s="4"/>
      <c r="E44" s="5"/>
    </row>
    <row r="45" spans="1:5">
      <c r="C45" s="1"/>
      <c r="D45" s="4"/>
      <c r="E45" s="5"/>
    </row>
    <row r="46" spans="1:5">
      <c r="C46" s="1"/>
      <c r="D46" s="4"/>
      <c r="E46" s="5"/>
    </row>
    <row r="47" spans="1:5">
      <c r="C47" s="1"/>
      <c r="D47" s="4"/>
      <c r="E47" s="5"/>
    </row>
    <row r="48" spans="1:5">
      <c r="C48" s="1"/>
      <c r="D48" s="4"/>
      <c r="E48" s="5"/>
    </row>
    <row r="49" spans="3:5">
      <c r="C49" s="1"/>
      <c r="D49" s="4"/>
      <c r="E49" s="5"/>
    </row>
    <row r="50" spans="3:5">
      <c r="C50" s="1"/>
      <c r="D50" s="4"/>
      <c r="E50" s="5"/>
    </row>
    <row r="51" spans="3:5">
      <c r="C51" s="1"/>
      <c r="D51" s="4"/>
      <c r="E51" s="5"/>
    </row>
    <row r="52" spans="3:5">
      <c r="C52" s="1"/>
      <c r="D52" s="4"/>
      <c r="E52" s="5"/>
    </row>
    <row r="53" spans="3:5">
      <c r="C53" s="1"/>
      <c r="D53" s="4"/>
      <c r="E53" s="5"/>
    </row>
    <row r="54" spans="3:5">
      <c r="C54" s="1"/>
      <c r="D54" s="4"/>
      <c r="E54" s="5"/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F7" sqref="F7"/>
    </sheetView>
  </sheetViews>
  <sheetFormatPr defaultRowHeight="14.25"/>
  <sheetData>
    <row r="1" spans="1:4">
      <c r="A1" s="2" t="s">
        <v>52</v>
      </c>
      <c r="B1" s="2" t="s">
        <v>51</v>
      </c>
    </row>
    <row r="2" spans="1:4">
      <c r="A2" s="2" t="str">
        <f>"=其它"</f>
        <v>=其它</v>
      </c>
      <c r="B2" s="2" t="s">
        <v>126</v>
      </c>
    </row>
    <row r="5" spans="1:4">
      <c r="B5" s="9" t="s">
        <v>52</v>
      </c>
      <c r="C5" s="9" t="s">
        <v>51</v>
      </c>
      <c r="D5" s="9" t="s">
        <v>56</v>
      </c>
    </row>
    <row r="6" spans="1:4">
      <c r="B6" s="9" t="s">
        <v>60</v>
      </c>
      <c r="C6" s="9">
        <v>8</v>
      </c>
      <c r="D6" s="12">
        <v>24</v>
      </c>
    </row>
    <row r="7" spans="1:4">
      <c r="B7" s="9" t="s">
        <v>60</v>
      </c>
      <c r="C7" s="9">
        <v>10</v>
      </c>
      <c r="D7" s="12">
        <v>35.4</v>
      </c>
    </row>
    <row r="8" spans="1:4">
      <c r="B8" s="9" t="s">
        <v>60</v>
      </c>
      <c r="C8" s="9">
        <v>8</v>
      </c>
      <c r="D8" s="12">
        <v>23.4</v>
      </c>
    </row>
    <row r="9" spans="1:4">
      <c r="B9" s="9" t="s">
        <v>60</v>
      </c>
      <c r="C9" s="9">
        <v>8</v>
      </c>
      <c r="D9" s="12">
        <v>36</v>
      </c>
    </row>
    <row r="10" spans="1:4">
      <c r="B10" s="9" t="s">
        <v>60</v>
      </c>
      <c r="C10" s="9">
        <v>9</v>
      </c>
      <c r="D10" s="12">
        <v>18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activeCell="H42" sqref="H42"/>
    </sheetView>
  </sheetViews>
  <sheetFormatPr defaultRowHeight="13.5" outlineLevelRow="2"/>
  <cols>
    <col min="1" max="1" width="12.375" style="2" customWidth="1"/>
    <col min="2" max="2" width="25.75" style="2" customWidth="1"/>
    <col min="3" max="3" width="13.625" style="2" customWidth="1"/>
    <col min="4" max="5" width="9" style="2"/>
    <col min="6" max="6" width="14.25" style="2" customWidth="1"/>
    <col min="7" max="16384" width="9" style="2"/>
  </cols>
  <sheetData>
    <row r="1" spans="1:9" ht="30" customHeight="1">
      <c r="A1" s="6" t="s">
        <v>63</v>
      </c>
      <c r="B1" s="7"/>
      <c r="C1" s="7"/>
      <c r="D1" s="7"/>
      <c r="E1" s="7"/>
      <c r="F1" s="7"/>
      <c r="H1" s="1"/>
      <c r="I1" s="1"/>
    </row>
    <row r="2" spans="1:9" ht="15.95" customHeight="1">
      <c r="A2" s="9" t="s">
        <v>64</v>
      </c>
      <c r="B2" s="9" t="s">
        <v>65</v>
      </c>
      <c r="C2" s="9" t="s">
        <v>66</v>
      </c>
      <c r="D2" s="9" t="s">
        <v>67</v>
      </c>
      <c r="E2" s="9" t="s">
        <v>68</v>
      </c>
      <c r="F2" s="9" t="s">
        <v>69</v>
      </c>
    </row>
    <row r="3" spans="1:9" ht="15.95" hidden="1" customHeight="1" outlineLevel="2">
      <c r="A3" s="9" t="s">
        <v>70</v>
      </c>
      <c r="B3" s="9" t="s">
        <v>71</v>
      </c>
      <c r="C3" s="9" t="s">
        <v>72</v>
      </c>
      <c r="D3" s="9">
        <v>8</v>
      </c>
      <c r="E3" s="12">
        <v>30</v>
      </c>
      <c r="F3" s="12">
        <f>D3*E3</f>
        <v>240</v>
      </c>
    </row>
    <row r="4" spans="1:9" ht="15.95" hidden="1" customHeight="1" outlineLevel="2">
      <c r="A4" s="9" t="s">
        <v>73</v>
      </c>
      <c r="B4" s="9" t="s">
        <v>74</v>
      </c>
      <c r="C4" s="9" t="s">
        <v>72</v>
      </c>
      <c r="D4" s="9">
        <v>7</v>
      </c>
      <c r="E4" s="12">
        <v>27</v>
      </c>
      <c r="F4" s="12">
        <f>D4*E4</f>
        <v>189</v>
      </c>
    </row>
    <row r="5" spans="1:9" ht="15.95" hidden="1" customHeight="1" outlineLevel="2">
      <c r="A5" s="9" t="s">
        <v>122</v>
      </c>
      <c r="B5" s="9" t="s">
        <v>123</v>
      </c>
      <c r="C5" s="9" t="s">
        <v>72</v>
      </c>
      <c r="D5" s="9">
        <v>9</v>
      </c>
      <c r="E5" s="12">
        <v>21</v>
      </c>
      <c r="F5" s="12">
        <f>D5*E5</f>
        <v>189</v>
      </c>
    </row>
    <row r="6" spans="1:9" ht="15.95" customHeight="1" outlineLevel="1" collapsed="1">
      <c r="A6" s="9"/>
      <c r="B6" s="9"/>
      <c r="C6" s="15" t="s">
        <v>128</v>
      </c>
      <c r="D6" s="9">
        <f>SUBTOTAL(9,D3:D5)</f>
        <v>24</v>
      </c>
      <c r="E6" s="12"/>
      <c r="F6" s="12">
        <f>SUBTOTAL(9,F3:F5)</f>
        <v>618</v>
      </c>
    </row>
    <row r="7" spans="1:9" ht="15.95" hidden="1" customHeight="1" outlineLevel="2">
      <c r="A7" s="9" t="s">
        <v>75</v>
      </c>
      <c r="B7" s="9" t="s">
        <v>76</v>
      </c>
      <c r="C7" s="9" t="s">
        <v>77</v>
      </c>
      <c r="D7" s="9">
        <v>5</v>
      </c>
      <c r="E7" s="12">
        <v>9.36</v>
      </c>
      <c r="F7" s="12">
        <f>D7*E7</f>
        <v>46.8</v>
      </c>
    </row>
    <row r="8" spans="1:9" ht="15.95" customHeight="1" outlineLevel="1" collapsed="1">
      <c r="A8" s="9"/>
      <c r="B8" s="9"/>
      <c r="C8" s="16" t="s">
        <v>129</v>
      </c>
      <c r="D8" s="9">
        <f>SUBTOTAL(9,D7:D7)</f>
        <v>5</v>
      </c>
      <c r="E8" s="12"/>
      <c r="F8" s="12">
        <f>SUBTOTAL(9,F7:F7)</f>
        <v>46.8</v>
      </c>
    </row>
    <row r="9" spans="1:9" ht="15.95" hidden="1" customHeight="1" outlineLevel="2">
      <c r="A9" s="9" t="s">
        <v>78</v>
      </c>
      <c r="B9" s="9" t="s">
        <v>79</v>
      </c>
      <c r="C9" s="9" t="s">
        <v>80</v>
      </c>
      <c r="D9" s="9">
        <v>12</v>
      </c>
      <c r="E9" s="12">
        <v>13.02</v>
      </c>
      <c r="F9" s="12">
        <f>D9*E9</f>
        <v>156.24</v>
      </c>
    </row>
    <row r="10" spans="1:9" ht="15.95" hidden="1" customHeight="1" outlineLevel="2">
      <c r="A10" s="9" t="s">
        <v>107</v>
      </c>
      <c r="B10" s="9" t="s">
        <v>108</v>
      </c>
      <c r="C10" s="9" t="s">
        <v>80</v>
      </c>
      <c r="D10" s="9">
        <v>5</v>
      </c>
      <c r="E10" s="12">
        <v>18</v>
      </c>
      <c r="F10" s="12">
        <f>D10*E10</f>
        <v>90</v>
      </c>
    </row>
    <row r="11" spans="1:9" ht="15.95" hidden="1" customHeight="1" outlineLevel="2">
      <c r="A11" s="9" t="s">
        <v>114</v>
      </c>
      <c r="B11" s="9" t="s">
        <v>115</v>
      </c>
      <c r="C11" s="9" t="s">
        <v>80</v>
      </c>
      <c r="D11" s="9">
        <v>5</v>
      </c>
      <c r="E11" s="12">
        <v>21</v>
      </c>
      <c r="F11" s="12">
        <f>D11*E11</f>
        <v>105</v>
      </c>
    </row>
    <row r="12" spans="1:9" ht="15.95" hidden="1" customHeight="1" outlineLevel="2">
      <c r="A12" s="9" t="s">
        <v>118</v>
      </c>
      <c r="B12" s="9" t="s">
        <v>119</v>
      </c>
      <c r="C12" s="9" t="s">
        <v>80</v>
      </c>
      <c r="D12" s="9">
        <v>10</v>
      </c>
      <c r="E12" s="12">
        <v>21</v>
      </c>
      <c r="F12" s="12">
        <f>D12*E12</f>
        <v>210</v>
      </c>
    </row>
    <row r="13" spans="1:9" ht="15.95" customHeight="1" outlineLevel="1" collapsed="1">
      <c r="A13" s="9"/>
      <c r="B13" s="9"/>
      <c r="C13" s="16" t="s">
        <v>130</v>
      </c>
      <c r="D13" s="9">
        <f>SUBTOTAL(9,D9:D12)</f>
        <v>32</v>
      </c>
      <c r="E13" s="12"/>
      <c r="F13" s="12">
        <f>SUBTOTAL(9,F9:F12)</f>
        <v>561.24</v>
      </c>
    </row>
    <row r="14" spans="1:9" ht="15.95" hidden="1" customHeight="1" outlineLevel="2">
      <c r="A14" s="9" t="s">
        <v>81</v>
      </c>
      <c r="B14" s="9" t="s">
        <v>82</v>
      </c>
      <c r="C14" s="9" t="s">
        <v>83</v>
      </c>
      <c r="D14" s="9">
        <v>5</v>
      </c>
      <c r="E14" s="12">
        <v>18.8</v>
      </c>
      <c r="F14" s="12">
        <f>D14*E14</f>
        <v>94</v>
      </c>
    </row>
    <row r="15" spans="1:9" ht="15.95" hidden="1" customHeight="1" outlineLevel="2">
      <c r="A15" s="9" t="s">
        <v>84</v>
      </c>
      <c r="B15" s="9" t="s">
        <v>85</v>
      </c>
      <c r="C15" s="9" t="s">
        <v>83</v>
      </c>
      <c r="D15" s="9">
        <v>5</v>
      </c>
      <c r="E15" s="12">
        <v>24</v>
      </c>
      <c r="F15" s="12">
        <f>D15*E15</f>
        <v>120</v>
      </c>
    </row>
    <row r="16" spans="1:9" ht="15.95" hidden="1" customHeight="1" outlineLevel="2">
      <c r="A16" s="9" t="s">
        <v>86</v>
      </c>
      <c r="B16" s="9" t="s">
        <v>87</v>
      </c>
      <c r="C16" s="9" t="s">
        <v>83</v>
      </c>
      <c r="D16" s="9">
        <v>9</v>
      </c>
      <c r="E16" s="12">
        <v>13.02</v>
      </c>
      <c r="F16" s="12">
        <f>D16*E16</f>
        <v>117.17999999999999</v>
      </c>
    </row>
    <row r="17" spans="1:6" ht="15.95" hidden="1" customHeight="1" outlineLevel="2">
      <c r="A17" s="9" t="s">
        <v>120</v>
      </c>
      <c r="B17" s="9" t="s">
        <v>121</v>
      </c>
      <c r="C17" s="9" t="s">
        <v>83</v>
      </c>
      <c r="D17" s="9">
        <v>8</v>
      </c>
      <c r="E17" s="12">
        <v>30</v>
      </c>
      <c r="F17" s="12">
        <f>D17*E17</f>
        <v>240</v>
      </c>
    </row>
    <row r="18" spans="1:6" ht="15.95" customHeight="1" outlineLevel="1" collapsed="1">
      <c r="A18" s="9"/>
      <c r="B18" s="9"/>
      <c r="C18" s="16" t="s">
        <v>131</v>
      </c>
      <c r="D18" s="9">
        <f>SUBTOTAL(9,D14:D17)</f>
        <v>27</v>
      </c>
      <c r="E18" s="12"/>
      <c r="F18" s="12">
        <f>SUBTOTAL(9,F14:F17)</f>
        <v>571.18000000000006</v>
      </c>
    </row>
    <row r="19" spans="1:6" ht="15.95" hidden="1" customHeight="1" outlineLevel="2">
      <c r="A19" s="9" t="s">
        <v>111</v>
      </c>
      <c r="B19" s="9" t="s">
        <v>112</v>
      </c>
      <c r="C19" s="9" t="s">
        <v>113</v>
      </c>
      <c r="D19" s="9">
        <v>12</v>
      </c>
      <c r="E19" s="12">
        <v>18</v>
      </c>
      <c r="F19" s="12">
        <f>D19*E19</f>
        <v>216</v>
      </c>
    </row>
    <row r="20" spans="1:6" ht="15.95" customHeight="1" outlineLevel="1" collapsed="1">
      <c r="A20" s="9"/>
      <c r="B20" s="9"/>
      <c r="C20" s="16" t="s">
        <v>132</v>
      </c>
      <c r="D20" s="9">
        <f>SUBTOTAL(9,D19:D19)</f>
        <v>12</v>
      </c>
      <c r="E20" s="12"/>
      <c r="F20" s="12">
        <f>SUBTOTAL(9,F19:F19)</f>
        <v>216</v>
      </c>
    </row>
    <row r="21" spans="1:6" ht="15.95" hidden="1" customHeight="1" outlineLevel="2">
      <c r="A21" s="8" t="s">
        <v>88</v>
      </c>
      <c r="B21" s="9" t="s">
        <v>89</v>
      </c>
      <c r="C21" s="9" t="s">
        <v>90</v>
      </c>
      <c r="D21" s="9">
        <v>6</v>
      </c>
      <c r="E21" s="12">
        <v>48.96</v>
      </c>
      <c r="F21" s="13">
        <f t="shared" ref="F21:F32" si="0">D21*E21</f>
        <v>293.76</v>
      </c>
    </row>
    <row r="22" spans="1:6" ht="15.95" hidden="1" customHeight="1" outlineLevel="2">
      <c r="A22" s="8" t="s">
        <v>91</v>
      </c>
      <c r="B22" s="9" t="s">
        <v>92</v>
      </c>
      <c r="C22" s="9" t="s">
        <v>90</v>
      </c>
      <c r="D22" s="9">
        <v>8</v>
      </c>
      <c r="E22" s="12">
        <v>24</v>
      </c>
      <c r="F22" s="13">
        <f t="shared" si="0"/>
        <v>192</v>
      </c>
    </row>
    <row r="23" spans="1:6" ht="15.95" hidden="1" customHeight="1" outlineLevel="2">
      <c r="A23" s="8" t="s">
        <v>93</v>
      </c>
      <c r="B23" s="9" t="s">
        <v>94</v>
      </c>
      <c r="C23" s="9" t="s">
        <v>90</v>
      </c>
      <c r="D23" s="9">
        <v>10</v>
      </c>
      <c r="E23" s="12">
        <v>35.4</v>
      </c>
      <c r="F23" s="13">
        <f t="shared" si="0"/>
        <v>354</v>
      </c>
    </row>
    <row r="24" spans="1:6" ht="15.95" hidden="1" customHeight="1" outlineLevel="2">
      <c r="A24" s="8" t="s">
        <v>95</v>
      </c>
      <c r="B24" s="9" t="s">
        <v>96</v>
      </c>
      <c r="C24" s="9" t="s">
        <v>90</v>
      </c>
      <c r="D24" s="9">
        <v>4</v>
      </c>
      <c r="E24" s="12">
        <v>21</v>
      </c>
      <c r="F24" s="13">
        <f t="shared" si="0"/>
        <v>84</v>
      </c>
    </row>
    <row r="25" spans="1:6" ht="15.95" hidden="1" customHeight="1" outlineLevel="2">
      <c r="A25" s="8" t="s">
        <v>97</v>
      </c>
      <c r="B25" s="9" t="s">
        <v>98</v>
      </c>
      <c r="C25" s="9" t="s">
        <v>90</v>
      </c>
      <c r="D25" s="9">
        <v>8</v>
      </c>
      <c r="E25" s="12">
        <v>23.4</v>
      </c>
      <c r="F25" s="13">
        <f t="shared" si="0"/>
        <v>187.2</v>
      </c>
    </row>
    <row r="26" spans="1:6" ht="15.95" hidden="1" customHeight="1" outlineLevel="2">
      <c r="A26" s="8" t="s">
        <v>99</v>
      </c>
      <c r="B26" s="9" t="s">
        <v>100</v>
      </c>
      <c r="C26" s="9" t="s">
        <v>90</v>
      </c>
      <c r="D26" s="9">
        <v>5</v>
      </c>
      <c r="E26" s="12">
        <v>18</v>
      </c>
      <c r="F26" s="13">
        <f t="shared" si="0"/>
        <v>90</v>
      </c>
    </row>
    <row r="27" spans="1:6" ht="15.95" hidden="1" customHeight="1" outlineLevel="2">
      <c r="A27" s="8" t="s">
        <v>101</v>
      </c>
      <c r="B27" s="9" t="s">
        <v>102</v>
      </c>
      <c r="C27" s="9" t="s">
        <v>90</v>
      </c>
      <c r="D27" s="9">
        <v>5</v>
      </c>
      <c r="E27" s="12">
        <v>24</v>
      </c>
      <c r="F27" s="13">
        <f t="shared" si="0"/>
        <v>120</v>
      </c>
    </row>
    <row r="28" spans="1:6" ht="15.95" hidden="1" customHeight="1" outlineLevel="2">
      <c r="A28" s="8" t="s">
        <v>103</v>
      </c>
      <c r="B28" s="9" t="s">
        <v>104</v>
      </c>
      <c r="C28" s="9" t="s">
        <v>90</v>
      </c>
      <c r="D28" s="9">
        <v>2</v>
      </c>
      <c r="E28" s="12">
        <v>16.8</v>
      </c>
      <c r="F28" s="13">
        <f t="shared" si="0"/>
        <v>33.6</v>
      </c>
    </row>
    <row r="29" spans="1:6" ht="15.95" hidden="1" customHeight="1" outlineLevel="2">
      <c r="A29" s="8" t="s">
        <v>105</v>
      </c>
      <c r="B29" s="9" t="s">
        <v>106</v>
      </c>
      <c r="C29" s="9" t="s">
        <v>90</v>
      </c>
      <c r="D29" s="9">
        <v>8</v>
      </c>
      <c r="E29" s="12">
        <v>36</v>
      </c>
      <c r="F29" s="13">
        <f t="shared" si="0"/>
        <v>288</v>
      </c>
    </row>
    <row r="30" spans="1:6" ht="15.95" hidden="1" customHeight="1" outlineLevel="2">
      <c r="A30" s="8" t="s">
        <v>109</v>
      </c>
      <c r="B30" s="9" t="s">
        <v>110</v>
      </c>
      <c r="C30" s="9" t="s">
        <v>90</v>
      </c>
      <c r="D30" s="9">
        <v>3</v>
      </c>
      <c r="E30" s="12">
        <v>28.8</v>
      </c>
      <c r="F30" s="13">
        <f t="shared" si="0"/>
        <v>86.4</v>
      </c>
    </row>
    <row r="31" spans="1:6" ht="15.95" hidden="1" customHeight="1" outlineLevel="2">
      <c r="A31" s="8" t="s">
        <v>116</v>
      </c>
      <c r="B31" s="9" t="s">
        <v>117</v>
      </c>
      <c r="C31" s="9" t="s">
        <v>90</v>
      </c>
      <c r="D31" s="9">
        <v>9</v>
      </c>
      <c r="E31" s="12">
        <v>18</v>
      </c>
      <c r="F31" s="13">
        <f t="shared" si="0"/>
        <v>162</v>
      </c>
    </row>
    <row r="32" spans="1:6" ht="15.95" hidden="1" customHeight="1" outlineLevel="2" thickBot="1">
      <c r="A32" s="10" t="s">
        <v>124</v>
      </c>
      <c r="B32" s="11" t="s">
        <v>125</v>
      </c>
      <c r="C32" s="11" t="s">
        <v>90</v>
      </c>
      <c r="D32" s="11">
        <v>3</v>
      </c>
      <c r="E32" s="14">
        <v>24</v>
      </c>
      <c r="F32" s="13">
        <f t="shared" si="0"/>
        <v>72</v>
      </c>
    </row>
    <row r="33" spans="1:6" ht="15.95" customHeight="1" outlineLevel="1" collapsed="1">
      <c r="A33" s="1"/>
      <c r="B33" s="1"/>
      <c r="C33" s="18" t="s">
        <v>133</v>
      </c>
      <c r="D33" s="1">
        <f>SUBTOTAL(9,D21:D32)</f>
        <v>71</v>
      </c>
      <c r="E33" s="17"/>
      <c r="F33" s="17">
        <f>SUBTOTAL(9,F21:F32)</f>
        <v>1962.96</v>
      </c>
    </row>
    <row r="34" spans="1:6" ht="15.95" customHeight="1">
      <c r="A34" s="1"/>
      <c r="B34" s="1"/>
      <c r="C34" s="18" t="s">
        <v>127</v>
      </c>
      <c r="D34" s="1">
        <f>SUBTOTAL(9,D3:D32)</f>
        <v>171</v>
      </c>
      <c r="E34" s="17"/>
      <c r="F34" s="17">
        <f>SUBTOTAL(9,F3:F32)</f>
        <v>3976.18</v>
      </c>
    </row>
    <row r="36" spans="1:6">
      <c r="A36" s="1"/>
    </row>
    <row r="38" spans="1:6">
      <c r="A38" s="1"/>
      <c r="B38" s="1"/>
      <c r="C38" s="1"/>
      <c r="D38" s="1"/>
      <c r="E38" s="1"/>
    </row>
    <row r="39" spans="1:6" ht="15">
      <c r="A39" s="3"/>
      <c r="B39" s="1"/>
      <c r="C39" s="1"/>
      <c r="D39" s="4"/>
      <c r="E39" s="5"/>
    </row>
    <row r="40" spans="1:6">
      <c r="A40" s="1"/>
      <c r="B40" s="1"/>
      <c r="C40" s="1"/>
      <c r="D40" s="1"/>
      <c r="E40" s="1"/>
    </row>
    <row r="41" spans="1:6" ht="15">
      <c r="A41" s="3"/>
      <c r="B41" s="1"/>
      <c r="C41" s="1"/>
      <c r="D41" s="4"/>
      <c r="E41" s="5"/>
    </row>
    <row r="42" spans="1:6" ht="15">
      <c r="A42" s="3"/>
      <c r="B42" s="1"/>
      <c r="C42" s="1"/>
      <c r="D42" s="4"/>
      <c r="E42" s="5"/>
    </row>
    <row r="43" spans="1:6" ht="15">
      <c r="A43" s="3"/>
      <c r="B43" s="1"/>
      <c r="C43" s="1"/>
      <c r="D43" s="4"/>
      <c r="E43" s="5"/>
    </row>
    <row r="44" spans="1:6" ht="15">
      <c r="A44" s="3"/>
      <c r="B44" s="1"/>
      <c r="C44" s="1"/>
      <c r="D44" s="4"/>
      <c r="E44" s="5"/>
    </row>
    <row r="45" spans="1:6" ht="15">
      <c r="A45" s="3"/>
      <c r="B45" s="1"/>
      <c r="C45" s="1"/>
      <c r="D45" s="4"/>
      <c r="E45" s="5"/>
    </row>
    <row r="46" spans="1:6" ht="15">
      <c r="A46" s="3"/>
      <c r="B46" s="1"/>
      <c r="C46" s="1"/>
      <c r="D46" s="4"/>
      <c r="E46" s="5"/>
    </row>
    <row r="47" spans="1:6" ht="15">
      <c r="A47" s="3"/>
      <c r="B47" s="1"/>
      <c r="C47" s="1"/>
      <c r="D47" s="4"/>
      <c r="E47" s="5"/>
    </row>
    <row r="48" spans="1:6" ht="15">
      <c r="A48" s="3"/>
      <c r="B48" s="1"/>
      <c r="C48" s="1"/>
      <c r="D48" s="4"/>
      <c r="E48" s="5"/>
    </row>
    <row r="49" spans="1:5" ht="15">
      <c r="A49" s="3"/>
      <c r="B49" s="1"/>
      <c r="C49" s="1"/>
      <c r="D49" s="4"/>
      <c r="E49" s="5"/>
    </row>
    <row r="50" spans="1:5" ht="15">
      <c r="A50" s="3"/>
      <c r="B50" s="1"/>
      <c r="C50" s="1"/>
      <c r="D50" s="4"/>
      <c r="E50" s="5"/>
    </row>
    <row r="51" spans="1:5" ht="15">
      <c r="A51" s="3"/>
      <c r="B51" s="1"/>
      <c r="C51" s="1"/>
      <c r="D51" s="4"/>
      <c r="E51" s="5"/>
    </row>
    <row r="52" spans="1:5" ht="15">
      <c r="A52" s="3"/>
      <c r="B52" s="1"/>
      <c r="C52" s="1"/>
      <c r="D52" s="4"/>
      <c r="E52" s="5"/>
    </row>
    <row r="53" spans="1:5">
      <c r="C53" s="1"/>
      <c r="D53" s="4"/>
      <c r="E53" s="5"/>
    </row>
    <row r="54" spans="1:5">
      <c r="C54" s="1"/>
      <c r="D54" s="4"/>
      <c r="E54" s="5"/>
    </row>
    <row r="55" spans="1:5">
      <c r="C55" s="1"/>
      <c r="D55" s="4"/>
      <c r="E55" s="5"/>
    </row>
    <row r="56" spans="1:5">
      <c r="C56" s="1"/>
      <c r="D56" s="4"/>
      <c r="E56" s="5"/>
    </row>
    <row r="57" spans="1:5">
      <c r="C57" s="1"/>
      <c r="D57" s="4"/>
      <c r="E57" s="5"/>
    </row>
    <row r="58" spans="1:5">
      <c r="C58" s="1"/>
      <c r="D58" s="4"/>
      <c r="E58" s="5"/>
    </row>
    <row r="59" spans="1:5">
      <c r="C59" s="1"/>
      <c r="D59" s="4"/>
      <c r="E59" s="5"/>
    </row>
    <row r="60" spans="1:5">
      <c r="C60" s="1"/>
      <c r="D60" s="4"/>
      <c r="E60" s="5"/>
    </row>
    <row r="61" spans="1:5">
      <c r="C61" s="1"/>
      <c r="D61" s="4"/>
      <c r="E61" s="5"/>
    </row>
    <row r="62" spans="1:5">
      <c r="C62" s="1"/>
      <c r="D62" s="4"/>
      <c r="E62" s="5"/>
    </row>
    <row r="63" spans="1:5">
      <c r="C63" s="1"/>
      <c r="D63" s="4"/>
      <c r="E63" s="5"/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3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5</vt:i4>
      </vt:variant>
    </vt:vector>
  </HeadingPairs>
  <TitlesOfParts>
    <vt:vector size="9" baseType="lpstr">
      <vt:lpstr>Sheet1</vt:lpstr>
      <vt:lpstr>其它</vt:lpstr>
      <vt:lpstr>汇总</vt:lpstr>
      <vt:lpstr>chart1</vt:lpstr>
      <vt:lpstr>汇总!Criteria</vt:lpstr>
      <vt:lpstr>其它!Criteria</vt:lpstr>
      <vt:lpstr>Sheet1!提取</vt:lpstr>
      <vt:lpstr>汇总!提取</vt:lpstr>
      <vt:lpstr>其它!提取</vt:lpstr>
    </vt:vector>
  </TitlesOfParts>
  <Company>qzez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ywz</dc:creator>
  <cp:lastModifiedBy>w</cp:lastModifiedBy>
  <dcterms:created xsi:type="dcterms:W3CDTF">2004-11-05T02:18:23Z</dcterms:created>
  <dcterms:modified xsi:type="dcterms:W3CDTF">2019-09-14T07:41:33Z</dcterms:modified>
</cp:coreProperties>
</file>