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definedNames>
    <definedName name="_xlnm.Criteria" localSheetId="2">Sheet3!$A$1:$B$3</definedName>
    <definedName name="_xlnm.Extract" localSheetId="2">Sheet3!$A$5:$E$5</definedName>
  </definedNames>
  <calcPr calcId="144525"/>
</workbook>
</file>

<file path=xl/calcChain.xml><?xml version="1.0" encoding="utf-8"?>
<calcChain xmlns="http://schemas.openxmlformats.org/spreadsheetml/2006/main">
  <c r="E34" i="2" l="1"/>
  <c r="C34" i="2"/>
  <c r="C29" i="2"/>
  <c r="E24" i="2"/>
  <c r="C24" i="2"/>
  <c r="C19" i="2"/>
  <c r="E14" i="2"/>
  <c r="C14" i="2"/>
  <c r="C9" i="2"/>
  <c r="C35" i="2" s="1"/>
  <c r="E25" i="2"/>
  <c r="E29" i="2" s="1"/>
  <c r="E20" i="2"/>
  <c r="E15" i="2"/>
  <c r="E19" i="2" s="1"/>
  <c r="E10" i="2"/>
  <c r="E5" i="2"/>
  <c r="E31" i="2"/>
  <c r="E26" i="2"/>
  <c r="E21" i="2"/>
  <c r="E16" i="2"/>
  <c r="E11" i="2"/>
  <c r="E6" i="2"/>
  <c r="E32" i="2"/>
  <c r="E27" i="2"/>
  <c r="E22" i="2"/>
  <c r="E17" i="2"/>
  <c r="E12" i="2"/>
  <c r="E7" i="2"/>
  <c r="E33" i="2"/>
  <c r="E28" i="2"/>
  <c r="E23" i="2"/>
  <c r="E18" i="2"/>
  <c r="E13" i="2"/>
  <c r="E8" i="2"/>
  <c r="E30" i="2"/>
  <c r="C4" i="1"/>
  <c r="C5" i="1"/>
  <c r="C3" i="1"/>
  <c r="E9" i="2" l="1"/>
  <c r="E35" i="2" s="1"/>
</calcChain>
</file>

<file path=xl/sharedStrings.xml><?xml version="1.0" encoding="utf-8"?>
<sst xmlns="http://schemas.openxmlformats.org/spreadsheetml/2006/main" count="96" uniqueCount="33">
  <si>
    <t>产品名称</t>
    <phoneticPr fontId="1" type="noConversion"/>
  </si>
  <si>
    <t>维修件数</t>
    <phoneticPr fontId="1" type="noConversion"/>
  </si>
  <si>
    <t>所占比例</t>
    <phoneticPr fontId="1" type="noConversion"/>
  </si>
  <si>
    <t>电话机</t>
    <phoneticPr fontId="1" type="noConversion"/>
  </si>
  <si>
    <t>电子台历</t>
    <phoneticPr fontId="1" type="noConversion"/>
  </si>
  <si>
    <t>录音机</t>
    <phoneticPr fontId="1" type="noConversion"/>
  </si>
  <si>
    <t>销售额</t>
  </si>
  <si>
    <t>产品销售统计</t>
    <phoneticPr fontId="1" type="noConversion"/>
  </si>
  <si>
    <t>麦克风</t>
  </si>
  <si>
    <t>月份</t>
  </si>
  <si>
    <t>地区</t>
  </si>
  <si>
    <t>数量</t>
  </si>
  <si>
    <t>零售价</t>
  </si>
  <si>
    <t>六月</t>
  </si>
  <si>
    <t>上海</t>
  </si>
  <si>
    <t>五月</t>
  </si>
  <si>
    <t>四月</t>
  </si>
  <si>
    <t>三月</t>
  </si>
  <si>
    <t>二月</t>
  </si>
  <si>
    <t>一月</t>
  </si>
  <si>
    <t>北京</t>
  </si>
  <si>
    <t>南京</t>
  </si>
  <si>
    <t>重庆</t>
  </si>
  <si>
    <t>企业产品售后服务情况表</t>
    <phoneticPr fontId="1" type="noConversion"/>
  </si>
  <si>
    <t>&gt;60</t>
    <phoneticPr fontId="1" type="noConversion"/>
  </si>
  <si>
    <t>&gt;45</t>
    <phoneticPr fontId="1" type="noConversion"/>
  </si>
  <si>
    <t>一月 汇总</t>
  </si>
  <si>
    <t>二月 汇总</t>
  </si>
  <si>
    <t>三月 汇总</t>
  </si>
  <si>
    <t>四月 汇总</t>
  </si>
  <si>
    <t>五月 汇总</t>
  </si>
  <si>
    <t>六月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</si>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</sst>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9" formatCode="0.0%"/>
  </numFmts>
  <fonts count="9">
    <font>
      <sz val="12"/>
      <name val="宋体"/>
      <charset val="134"/>
    </font>
    <font>
      <sz val="9"/>
      <name val="宋体"/>
      <charset val="134"/>
    </font>
    <font>
      <b/>
      <sz val="20"/>
      <name val="方正舒体"/>
      <charset val="134"/>
    </font>
    <font>
      <b/>
      <sz val="18"/>
      <name val="华文隶书"/>
      <charset val="134"/>
    </font>
    <font>
      <sz val="11"/>
      <color indexed="9"/>
      <name val="黑体"/>
      <charset val="134"/>
    </font>
    <font>
      <b/>
      <sz val="11"/>
      <color indexed="9"/>
      <name val="黑体"/>
      <charset val="134"/>
    </font>
    <font>
      <sz val="11"/>
      <name val="宋体"/>
      <charset val="134"/>
    </font>
    <font>
      <sz val="14"/>
      <color indexed="12"/>
      <name val="隶书"/>
      <family val="3"/>
      <charset val="134"/>
    </font>
    <font>
      <b/>
      <sz val="1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4" fillId="2" borderId="1" xfId="0" applyFont="1" applyFill="1" applyBorder="1" applyAlignment="1">
      <alignment horizontal="centerContinuous"/>
    </xf>
    <xf numFmtId="0" fontId="5" fillId="2" borderId="1" xfId="0" applyFont="1" applyFill="1" applyBorder="1" applyAlignment="1">
      <alignment horizontal="centerContinuous"/>
    </xf>
    <xf numFmtId="0" fontId="5" fillId="2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0" fontId="0" fillId="0" borderId="2" xfId="0" applyBorder="1"/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7" fillId="0" borderId="0" xfId="0" applyFont="1" applyAlignment="1">
      <alignment horizontal="centerContinuous" vertical="center"/>
    </xf>
    <xf numFmtId="179" fontId="0" fillId="0" borderId="0" xfId="0" applyNumberFormat="1"/>
    <xf numFmtId="0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0" fontId="0" fillId="0" borderId="0" xfId="0" applyBorder="1"/>
    <xf numFmtId="0" fontId="8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zh-CN" altLang="en-US"/>
              <a:t>产品维修情况</a:t>
            </a:r>
          </a:p>
        </c:rich>
      </c:tx>
      <c:layout>
        <c:manualLayout>
          <c:xMode val="edge"/>
          <c:yMode val="edge"/>
          <c:x val="0.41810344827586204"/>
          <c:y val="3.74533205075217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370689655172414"/>
          <c:y val="0.29962656406017402"/>
          <c:w val="0.29525862068965519"/>
          <c:h val="0.51311049095304806"/>
        </c:manualLayout>
      </c:layout>
      <c:pieChart>
        <c:varyColors val="1"/>
        <c:ser>
          <c:idx val="0"/>
          <c:order val="0"/>
          <c:tx>
            <c:strRef>
              <c:f>Sheet1!$C$2</c:f>
              <c:strCache>
                <c:ptCount val="1"/>
                <c:pt idx="0">
                  <c:v>所占比例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Sheet1!$A$3:$A$5</c:f>
              <c:strCache>
                <c:ptCount val="3"/>
                <c:pt idx="0">
                  <c:v>电话机</c:v>
                </c:pt>
                <c:pt idx="1">
                  <c:v>电子台历</c:v>
                </c:pt>
                <c:pt idx="2">
                  <c:v>录音机</c:v>
                </c:pt>
              </c:strCache>
            </c:strRef>
          </c:cat>
          <c:val>
            <c:numRef>
              <c:f>Sheet1!$C$3:$C$5</c:f>
              <c:numCache>
                <c:formatCode>0.0%</c:formatCode>
                <c:ptCount val="3"/>
                <c:pt idx="0">
                  <c:v>0.24242424242424243</c:v>
                </c:pt>
                <c:pt idx="1">
                  <c:v>0.2878787878787879</c:v>
                </c:pt>
                <c:pt idx="2">
                  <c:v>0.46969696969696972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3620689655172409"/>
          <c:y val="0.46067584224251756"/>
          <c:w val="0.14655172413793102"/>
          <c:h val="0.1947572666391131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8</xdr:row>
      <xdr:rowOff>114300</xdr:rowOff>
    </xdr:from>
    <xdr:to>
      <xdr:col>10</xdr:col>
      <xdr:colOff>114300</xdr:colOff>
      <xdr:row>22</xdr:row>
      <xdr:rowOff>123825</xdr:rowOff>
    </xdr:to>
    <xdr:graphicFrame macro="">
      <xdr:nvGraphicFramePr>
        <xdr:cNvPr id="1025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5"/>
  <sheetViews>
    <sheetView tabSelected="1" workbookViewId="0">
      <selection activeCell="G7" sqref="G7"/>
    </sheetView>
  </sheetViews>
  <sheetFormatPr defaultRowHeight="14.25"/>
  <cols>
    <col min="1" max="3" width="10.625" customWidth="1"/>
  </cols>
  <sheetData>
    <row r="1" spans="1:3" ht="30" customHeight="1">
      <c r="A1" s="11" t="s">
        <v>23</v>
      </c>
      <c r="B1" s="11"/>
      <c r="C1" s="11"/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>
        <v>160</v>
      </c>
      <c r="C3" s="12">
        <f>B3/SUM($B$3:$B$5)</f>
        <v>0.24242424242424243</v>
      </c>
    </row>
    <row r="4" spans="1:3">
      <c r="A4" t="s">
        <v>4</v>
      </c>
      <c r="B4">
        <v>190</v>
      </c>
      <c r="C4" s="12">
        <f>B4/SUM($B$3:$B$5)</f>
        <v>0.2878787878787879</v>
      </c>
    </row>
    <row r="5" spans="1:3">
      <c r="A5" t="s">
        <v>5</v>
      </c>
      <c r="B5">
        <v>310</v>
      </c>
      <c r="C5" s="12">
        <f>B5/SUM($B$3:$B$5)</f>
        <v>0.46969696969696972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35"/>
  <sheetViews>
    <sheetView workbookViewId="0">
      <selection activeCell="A4" sqref="A4:E35"/>
    </sheetView>
  </sheetViews>
  <sheetFormatPr defaultRowHeight="14.25" outlineLevelRow="2"/>
  <sheetData>
    <row r="1" spans="1:5" ht="24">
      <c r="A1" s="1" t="s">
        <v>7</v>
      </c>
      <c r="B1" s="2"/>
      <c r="C1" s="2"/>
      <c r="D1" s="2"/>
      <c r="E1" s="2"/>
    </row>
    <row r="2" spans="1:5" ht="24">
      <c r="A2" s="1"/>
      <c r="B2" s="2"/>
      <c r="C2" s="2"/>
      <c r="D2" s="2"/>
      <c r="E2" s="2"/>
    </row>
    <row r="3" spans="1:5">
      <c r="A3" s="3"/>
      <c r="B3" s="3"/>
      <c r="C3" s="4" t="s">
        <v>8</v>
      </c>
      <c r="D3" s="4"/>
      <c r="E3" s="4"/>
    </row>
    <row r="4" spans="1:5">
      <c r="A4" s="5" t="s">
        <v>9</v>
      </c>
      <c r="B4" s="5" t="s">
        <v>10</v>
      </c>
      <c r="C4" s="5" t="s">
        <v>11</v>
      </c>
      <c r="D4" s="5" t="s">
        <v>12</v>
      </c>
      <c r="E4" s="5" t="s">
        <v>6</v>
      </c>
    </row>
    <row r="5" spans="1:5" outlineLevel="2">
      <c r="A5" s="6" t="s">
        <v>19</v>
      </c>
      <c r="B5" s="6" t="s">
        <v>14</v>
      </c>
      <c r="C5" s="7">
        <v>36</v>
      </c>
      <c r="D5" s="7">
        <v>46.9</v>
      </c>
      <c r="E5" s="8">
        <f>C5*D5</f>
        <v>1688.3999999999999</v>
      </c>
    </row>
    <row r="6" spans="1:5" outlineLevel="2">
      <c r="A6" s="9" t="s">
        <v>19</v>
      </c>
      <c r="B6" s="9" t="s">
        <v>20</v>
      </c>
      <c r="C6" s="10">
        <v>45</v>
      </c>
      <c r="D6" s="10">
        <v>43.7</v>
      </c>
      <c r="E6" s="8">
        <f>C6*D6</f>
        <v>1966.5000000000002</v>
      </c>
    </row>
    <row r="7" spans="1:5" outlineLevel="2">
      <c r="A7" s="9" t="s">
        <v>19</v>
      </c>
      <c r="B7" s="9" t="s">
        <v>21</v>
      </c>
      <c r="C7" s="10">
        <v>44</v>
      </c>
      <c r="D7" s="10">
        <v>44.4</v>
      </c>
      <c r="E7" s="8">
        <f>C7*D7</f>
        <v>1953.6</v>
      </c>
    </row>
    <row r="8" spans="1:5" outlineLevel="2">
      <c r="A8" s="9" t="s">
        <v>19</v>
      </c>
      <c r="B8" s="9" t="s">
        <v>22</v>
      </c>
      <c r="C8" s="10">
        <v>40</v>
      </c>
      <c r="D8" s="10">
        <v>40.200000000000003</v>
      </c>
      <c r="E8" s="8">
        <f>C8*D8</f>
        <v>1608</v>
      </c>
    </row>
    <row r="9" spans="1:5" outlineLevel="1">
      <c r="A9" s="13" t="s">
        <v>26</v>
      </c>
      <c r="B9" s="9"/>
      <c r="C9" s="10">
        <f>SUBTOTAL(9,C5:C8)</f>
        <v>165</v>
      </c>
      <c r="D9" s="10"/>
      <c r="E9" s="8">
        <f>SUBTOTAL(9,E5:E8)</f>
        <v>7216.5</v>
      </c>
    </row>
    <row r="10" spans="1:5" outlineLevel="2">
      <c r="A10" s="9" t="s">
        <v>18</v>
      </c>
      <c r="B10" s="9" t="s">
        <v>14</v>
      </c>
      <c r="C10" s="10">
        <v>27</v>
      </c>
      <c r="D10" s="10">
        <v>47.9</v>
      </c>
      <c r="E10" s="8">
        <f>C10*D10</f>
        <v>1293.3</v>
      </c>
    </row>
    <row r="11" spans="1:5" outlineLevel="2">
      <c r="A11" s="9" t="s">
        <v>18</v>
      </c>
      <c r="B11" s="9" t="s">
        <v>20</v>
      </c>
      <c r="C11" s="10">
        <v>23</v>
      </c>
      <c r="D11" s="10">
        <v>43.5</v>
      </c>
      <c r="E11" s="8">
        <f>C11*D11</f>
        <v>1000.5</v>
      </c>
    </row>
    <row r="12" spans="1:5" outlineLevel="2">
      <c r="A12" s="9" t="s">
        <v>18</v>
      </c>
      <c r="B12" s="9" t="s">
        <v>21</v>
      </c>
      <c r="C12" s="10">
        <v>35</v>
      </c>
      <c r="D12" s="10">
        <v>44.8</v>
      </c>
      <c r="E12" s="8">
        <f>C12*D12</f>
        <v>1568</v>
      </c>
    </row>
    <row r="13" spans="1:5" outlineLevel="2">
      <c r="A13" s="9" t="s">
        <v>18</v>
      </c>
      <c r="B13" s="9" t="s">
        <v>22</v>
      </c>
      <c r="C13" s="10">
        <v>30</v>
      </c>
      <c r="D13" s="10">
        <v>40.799999999999997</v>
      </c>
      <c r="E13" s="8">
        <f>C13*D13</f>
        <v>1224</v>
      </c>
    </row>
    <row r="14" spans="1:5" outlineLevel="1">
      <c r="A14" s="14" t="s">
        <v>27</v>
      </c>
      <c r="B14" s="9"/>
      <c r="C14" s="10">
        <f>SUBTOTAL(9,C10:C13)</f>
        <v>115</v>
      </c>
      <c r="D14" s="10"/>
      <c r="E14" s="8">
        <f>SUBTOTAL(9,E10:E13)</f>
        <v>5085.8</v>
      </c>
    </row>
    <row r="15" spans="1:5" outlineLevel="2">
      <c r="A15" s="9" t="s">
        <v>17</v>
      </c>
      <c r="B15" s="9" t="s">
        <v>14</v>
      </c>
      <c r="C15" s="10">
        <v>47</v>
      </c>
      <c r="D15" s="10">
        <v>46</v>
      </c>
      <c r="E15" s="8">
        <f>C15*D15</f>
        <v>2162</v>
      </c>
    </row>
    <row r="16" spans="1:5" outlineLevel="2">
      <c r="A16" s="9" t="s">
        <v>17</v>
      </c>
      <c r="B16" s="9" t="s">
        <v>20</v>
      </c>
      <c r="C16" s="10">
        <v>41</v>
      </c>
      <c r="D16" s="10">
        <v>43.9</v>
      </c>
      <c r="E16" s="8">
        <f>C16*D16</f>
        <v>1799.8999999999999</v>
      </c>
    </row>
    <row r="17" spans="1:5" outlineLevel="2">
      <c r="A17" s="9" t="s">
        <v>17</v>
      </c>
      <c r="B17" s="9" t="s">
        <v>21</v>
      </c>
      <c r="C17" s="10">
        <v>32</v>
      </c>
      <c r="D17" s="10">
        <v>45.4</v>
      </c>
      <c r="E17" s="8">
        <f>C17*D17</f>
        <v>1452.8</v>
      </c>
    </row>
    <row r="18" spans="1:5" outlineLevel="2">
      <c r="A18" s="9" t="s">
        <v>17</v>
      </c>
      <c r="B18" s="9" t="s">
        <v>22</v>
      </c>
      <c r="C18" s="10">
        <v>25</v>
      </c>
      <c r="D18" s="10">
        <v>40.1</v>
      </c>
      <c r="E18" s="8">
        <f>C18*D18</f>
        <v>1002.5</v>
      </c>
    </row>
    <row r="19" spans="1:5" outlineLevel="1">
      <c r="A19" s="14" t="s">
        <v>28</v>
      </c>
      <c r="B19" s="9"/>
      <c r="C19" s="10">
        <f>SUBTOTAL(9,C15:C18)</f>
        <v>145</v>
      </c>
      <c r="D19" s="10"/>
      <c r="E19" s="8">
        <f>SUBTOTAL(9,E15:E18)</f>
        <v>6417.2</v>
      </c>
    </row>
    <row r="20" spans="1:5" outlineLevel="2">
      <c r="A20" s="9" t="s">
        <v>16</v>
      </c>
      <c r="B20" s="9" t="s">
        <v>14</v>
      </c>
      <c r="C20" s="10">
        <v>52</v>
      </c>
      <c r="D20" s="10">
        <v>46.1</v>
      </c>
      <c r="E20" s="8">
        <f>C20*D20</f>
        <v>2397.2000000000003</v>
      </c>
    </row>
    <row r="21" spans="1:5" outlineLevel="2">
      <c r="A21" s="9" t="s">
        <v>16</v>
      </c>
      <c r="B21" s="9" t="s">
        <v>20</v>
      </c>
      <c r="C21" s="10">
        <v>79</v>
      </c>
      <c r="D21" s="10">
        <v>43.6</v>
      </c>
      <c r="E21" s="8">
        <f>C21*D21</f>
        <v>3444.4</v>
      </c>
    </row>
    <row r="22" spans="1:5" outlineLevel="2">
      <c r="A22" s="9" t="s">
        <v>16</v>
      </c>
      <c r="B22" s="9" t="s">
        <v>21</v>
      </c>
      <c r="C22" s="10">
        <v>63</v>
      </c>
      <c r="D22" s="10">
        <v>44.1</v>
      </c>
      <c r="E22" s="8">
        <f>C22*D22</f>
        <v>2778.3</v>
      </c>
    </row>
    <row r="23" spans="1:5" outlineLevel="2">
      <c r="A23" s="9" t="s">
        <v>16</v>
      </c>
      <c r="B23" s="9" t="s">
        <v>22</v>
      </c>
      <c r="C23" s="10">
        <v>50</v>
      </c>
      <c r="D23" s="10">
        <v>39.200000000000003</v>
      </c>
      <c r="E23" s="8">
        <f>C23*D23</f>
        <v>1960.0000000000002</v>
      </c>
    </row>
    <row r="24" spans="1:5" outlineLevel="1">
      <c r="A24" s="14" t="s">
        <v>29</v>
      </c>
      <c r="B24" s="9"/>
      <c r="C24" s="10">
        <f>SUBTOTAL(9,C20:C23)</f>
        <v>244</v>
      </c>
      <c r="D24" s="10"/>
      <c r="E24" s="8">
        <f>SUBTOTAL(9,E20:E23)</f>
        <v>10579.900000000001</v>
      </c>
    </row>
    <row r="25" spans="1:5" outlineLevel="2">
      <c r="A25" s="9" t="s">
        <v>15</v>
      </c>
      <c r="B25" s="9" t="s">
        <v>14</v>
      </c>
      <c r="C25" s="10">
        <v>57</v>
      </c>
      <c r="D25" s="10">
        <v>46.1</v>
      </c>
      <c r="E25" s="8">
        <f>C25*D25</f>
        <v>2627.7000000000003</v>
      </c>
    </row>
    <row r="26" spans="1:5" outlineLevel="2">
      <c r="A26" s="9" t="s">
        <v>15</v>
      </c>
      <c r="B26" s="9" t="s">
        <v>20</v>
      </c>
      <c r="C26" s="10">
        <v>47</v>
      </c>
      <c r="D26" s="10">
        <v>43.6</v>
      </c>
      <c r="E26" s="8">
        <f>C26*D26</f>
        <v>2049.2000000000003</v>
      </c>
    </row>
    <row r="27" spans="1:5" outlineLevel="2">
      <c r="A27" s="9" t="s">
        <v>15</v>
      </c>
      <c r="B27" s="9" t="s">
        <v>21</v>
      </c>
      <c r="C27" s="10">
        <v>54</v>
      </c>
      <c r="D27" s="10">
        <v>46.4</v>
      </c>
      <c r="E27" s="8">
        <f>C27*D27</f>
        <v>2505.6</v>
      </c>
    </row>
    <row r="28" spans="1:5" outlineLevel="2">
      <c r="A28" s="9" t="s">
        <v>15</v>
      </c>
      <c r="B28" s="9" t="s">
        <v>22</v>
      </c>
      <c r="C28" s="10">
        <v>46</v>
      </c>
      <c r="D28" s="10">
        <v>40.1</v>
      </c>
      <c r="E28" s="8">
        <f>C28*D28</f>
        <v>1844.6000000000001</v>
      </c>
    </row>
    <row r="29" spans="1:5" outlineLevel="1">
      <c r="A29" s="14" t="s">
        <v>30</v>
      </c>
      <c r="B29" s="9"/>
      <c r="C29" s="10">
        <f>SUBTOTAL(9,C25:C28)</f>
        <v>204</v>
      </c>
      <c r="D29" s="10"/>
      <c r="E29" s="8">
        <f>SUBTOTAL(9,E25:E28)</f>
        <v>9027.1</v>
      </c>
    </row>
    <row r="30" spans="1:5" outlineLevel="2">
      <c r="A30" s="9" t="s">
        <v>13</v>
      </c>
      <c r="B30" s="9" t="s">
        <v>14</v>
      </c>
      <c r="C30" s="10">
        <v>43</v>
      </c>
      <c r="D30" s="10">
        <v>43.9</v>
      </c>
      <c r="E30" s="8">
        <f>C30*D30</f>
        <v>1887.7</v>
      </c>
    </row>
    <row r="31" spans="1:5" outlineLevel="2">
      <c r="A31" s="9" t="s">
        <v>13</v>
      </c>
      <c r="B31" s="9" t="s">
        <v>20</v>
      </c>
      <c r="C31" s="10">
        <v>15</v>
      </c>
      <c r="D31" s="10">
        <v>43.9</v>
      </c>
      <c r="E31" s="8">
        <f>C31*D31</f>
        <v>658.5</v>
      </c>
    </row>
    <row r="32" spans="1:5" outlineLevel="2">
      <c r="A32" s="9" t="s">
        <v>13</v>
      </c>
      <c r="B32" s="9" t="s">
        <v>21</v>
      </c>
      <c r="C32" s="10">
        <v>23</v>
      </c>
      <c r="D32" s="10">
        <v>41.4</v>
      </c>
      <c r="E32" s="8">
        <f>C32*D32</f>
        <v>952.19999999999993</v>
      </c>
    </row>
    <row r="33" spans="1:5" outlineLevel="2">
      <c r="A33" s="9" t="s">
        <v>13</v>
      </c>
      <c r="B33" s="9" t="s">
        <v>22</v>
      </c>
      <c r="C33" s="10">
        <v>35</v>
      </c>
      <c r="D33" s="10">
        <v>42.2</v>
      </c>
      <c r="E33" s="8">
        <f>C33*D33</f>
        <v>1477</v>
      </c>
    </row>
    <row r="34" spans="1:5" outlineLevel="1">
      <c r="A34" s="18" t="s">
        <v>31</v>
      </c>
      <c r="B34" s="15"/>
      <c r="C34" s="16">
        <f>SUBTOTAL(9,C30:C33)</f>
        <v>116</v>
      </c>
      <c r="D34" s="16"/>
      <c r="E34" s="17">
        <f>SUBTOTAL(9,E30:E33)</f>
        <v>4975.3999999999996</v>
      </c>
    </row>
    <row r="35" spans="1:5">
      <c r="A35" s="18" t="s">
        <v>32</v>
      </c>
      <c r="B35" s="15"/>
      <c r="C35" s="16">
        <f>SUBTOTAL(9,C5:C33)</f>
        <v>989</v>
      </c>
      <c r="D35" s="16"/>
      <c r="E35" s="17">
        <f>SUBTOTAL(9,E5:E33)</f>
        <v>43301.899999999994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4"/>
  <sheetViews>
    <sheetView workbookViewId="0">
      <selection activeCell="C11" sqref="C11"/>
    </sheetView>
  </sheetViews>
  <sheetFormatPr defaultRowHeight="14.25"/>
  <cols>
    <col min="3" max="3" width="10.625" bestFit="1" customWidth="1"/>
    <col min="4" max="4" width="14.25" bestFit="1" customWidth="1"/>
    <col min="5" max="5" width="20.5" bestFit="1" customWidth="1"/>
  </cols>
  <sheetData>
    <row r="1" spans="1:5">
      <c r="A1" s="5" t="s">
        <v>11</v>
      </c>
      <c r="B1" s="5" t="s">
        <v>12</v>
      </c>
    </row>
    <row r="2" spans="1:5">
      <c r="A2" t="s">
        <v>24</v>
      </c>
    </row>
    <row r="3" spans="1:5">
      <c r="B3" t="s">
        <v>25</v>
      </c>
    </row>
    <row r="5" spans="1:5">
      <c r="A5" s="5" t="s">
        <v>9</v>
      </c>
      <c r="B5" s="5" t="s">
        <v>10</v>
      </c>
      <c r="C5" s="5" t="s">
        <v>11</v>
      </c>
      <c r="D5" s="5" t="s">
        <v>12</v>
      </c>
      <c r="E5" s="5" t="s">
        <v>6</v>
      </c>
    </row>
    <row r="6" spans="1:5">
      <c r="A6" s="9" t="s">
        <v>15</v>
      </c>
      <c r="B6" s="9" t="s">
        <v>14</v>
      </c>
      <c r="C6" s="10">
        <v>57</v>
      </c>
      <c r="D6" s="10">
        <v>46.1</v>
      </c>
      <c r="E6" s="8">
        <v>2627.7</v>
      </c>
    </row>
    <row r="7" spans="1:5">
      <c r="A7" s="9" t="s">
        <v>16</v>
      </c>
      <c r="B7" s="9" t="s">
        <v>14</v>
      </c>
      <c r="C7" s="10">
        <v>52</v>
      </c>
      <c r="D7" s="10">
        <v>46.1</v>
      </c>
      <c r="E7" s="8">
        <v>2397.1999999999998</v>
      </c>
    </row>
    <row r="8" spans="1:5">
      <c r="A8" s="9" t="s">
        <v>17</v>
      </c>
      <c r="B8" s="9" t="s">
        <v>14</v>
      </c>
      <c r="C8" s="10">
        <v>47</v>
      </c>
      <c r="D8" s="10">
        <v>46</v>
      </c>
      <c r="E8" s="8">
        <v>2162</v>
      </c>
    </row>
    <row r="9" spans="1:5">
      <c r="A9" s="9" t="s">
        <v>18</v>
      </c>
      <c r="B9" s="9" t="s">
        <v>14</v>
      </c>
      <c r="C9" s="10">
        <v>27</v>
      </c>
      <c r="D9" s="10">
        <v>47.9</v>
      </c>
      <c r="E9" s="8">
        <v>1293.3</v>
      </c>
    </row>
    <row r="10" spans="1:5">
      <c r="A10" s="9" t="s">
        <v>19</v>
      </c>
      <c r="B10" s="9" t="s">
        <v>14</v>
      </c>
      <c r="C10" s="10">
        <v>36</v>
      </c>
      <c r="D10" s="10">
        <v>46.9</v>
      </c>
      <c r="E10" s="8">
        <v>1688.4</v>
      </c>
    </row>
    <row r="11" spans="1:5">
      <c r="A11" s="9" t="s">
        <v>16</v>
      </c>
      <c r="B11" s="9" t="s">
        <v>20</v>
      </c>
      <c r="C11" s="10">
        <v>79</v>
      </c>
      <c r="D11" s="10">
        <v>43.6</v>
      </c>
      <c r="E11" s="8">
        <v>3444.4</v>
      </c>
    </row>
    <row r="12" spans="1:5">
      <c r="A12" s="9" t="s">
        <v>15</v>
      </c>
      <c r="B12" s="9" t="s">
        <v>21</v>
      </c>
      <c r="C12" s="10">
        <v>54</v>
      </c>
      <c r="D12" s="10">
        <v>46.4</v>
      </c>
      <c r="E12" s="8">
        <v>2505.6</v>
      </c>
    </row>
    <row r="13" spans="1:5">
      <c r="A13" s="9" t="s">
        <v>16</v>
      </c>
      <c r="B13" s="9" t="s">
        <v>21</v>
      </c>
      <c r="C13" s="10">
        <v>63</v>
      </c>
      <c r="D13" s="10">
        <v>44.1</v>
      </c>
      <c r="E13" s="8">
        <v>2778.3</v>
      </c>
    </row>
    <row r="14" spans="1:5">
      <c r="A14" s="9" t="s">
        <v>17</v>
      </c>
      <c r="B14" s="9" t="s">
        <v>21</v>
      </c>
      <c r="C14" s="10">
        <v>32</v>
      </c>
      <c r="D14" s="10">
        <v>45.4</v>
      </c>
      <c r="E14" s="8">
        <v>1452.8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Sheet3!Criteria</vt:lpstr>
      <vt:lpstr>Sheet3!提取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2019-09-16T02:21:51Z</dcterms:modified>
</cp:coreProperties>
</file>