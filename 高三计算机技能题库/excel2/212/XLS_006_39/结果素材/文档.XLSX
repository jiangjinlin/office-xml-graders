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75" yWindow="2970" windowWidth="14805" windowHeight="7980"/>
  </bookViews>
  <sheets>
    <sheet name="Sheet1" sheetId="1" r:id="rId1"/>
    <sheet name="品牌手机各季度销售量表" sheetId="2" r:id="rId2"/>
    <sheet name="VIVO手机各季度销售量分析表" sheetId="3" r:id="rId3"/>
    <sheet name="筛选" sheetId="4" r:id="rId4"/>
    <sheet name="分类汇总" sheetId="7" r:id="rId5"/>
    <sheet name="图表" sheetId="6" r:id="rId6"/>
  </sheets>
  <definedNames>
    <definedName name="_xlnm.Criteria" localSheetId="3">筛选!$A$1:$B$2</definedName>
    <definedName name="_xlnm.Extract" localSheetId="3">筛选!$C$6:$J$6</definedName>
  </definedNames>
  <calcPr calcId="145621"/>
</workbook>
</file>

<file path=xl/calcChain.xml><?xml version="1.0" encoding="utf-8"?>
<calcChain xmlns="http://schemas.openxmlformats.org/spreadsheetml/2006/main">
  <c r="H16" i="7" l="1"/>
  <c r="D16" i="7"/>
  <c r="C16" i="7"/>
  <c r="H11" i="7"/>
  <c r="D11" i="7"/>
  <c r="C11" i="7"/>
  <c r="C17" i="7" s="1"/>
  <c r="H6" i="7"/>
  <c r="D6" i="7"/>
  <c r="C6" i="7"/>
  <c r="D17" i="7" l="1"/>
  <c r="H17" i="7"/>
  <c r="C4" i="3"/>
  <c r="B4" i="3"/>
  <c r="C5" i="3" l="1"/>
  <c r="B5" i="3"/>
  <c r="C3" i="3"/>
  <c r="B3" i="3"/>
</calcChain>
</file>

<file path=xl/sharedStrings.xml><?xml version="1.0" encoding="utf-8"?>
<sst xmlns="http://schemas.openxmlformats.org/spreadsheetml/2006/main" count="128" uniqueCount="36">
  <si>
    <t>分店名称</t>
  </si>
  <si>
    <t>季度</t>
  </si>
  <si>
    <t>第一季度</t>
  </si>
  <si>
    <t>第二季度</t>
  </si>
  <si>
    <t>第三季度</t>
  </si>
  <si>
    <t>第四季度</t>
  </si>
  <si>
    <t>北京路分店</t>
  </si>
  <si>
    <t>南京路分店</t>
  </si>
  <si>
    <t>上海路分店</t>
  </si>
  <si>
    <t>VIVO</t>
    <phoneticPr fontId="1" type="noConversion"/>
  </si>
  <si>
    <t>金正</t>
    <phoneticPr fontId="1" type="noConversion"/>
  </si>
  <si>
    <t>OPPO</t>
    <phoneticPr fontId="1" type="noConversion"/>
  </si>
  <si>
    <t>中兴</t>
    <phoneticPr fontId="1" type="noConversion"/>
  </si>
  <si>
    <t>三星</t>
    <phoneticPr fontId="1" type="noConversion"/>
  </si>
  <si>
    <t>华为</t>
    <phoneticPr fontId="1" type="noConversion"/>
  </si>
  <si>
    <t>上海路分店</t>
    <phoneticPr fontId="1" type="noConversion"/>
  </si>
  <si>
    <t>最高销售量</t>
    <phoneticPr fontId="3" type="noConversion"/>
  </si>
  <si>
    <t>平均销售量</t>
    <phoneticPr fontId="3" type="noConversion"/>
  </si>
  <si>
    <t>北京路分店</t>
    <phoneticPr fontId="3" type="noConversion"/>
  </si>
  <si>
    <t>上海路分店</t>
    <phoneticPr fontId="3" type="noConversion"/>
  </si>
  <si>
    <t>南京路分店</t>
    <phoneticPr fontId="3" type="noConversion"/>
  </si>
  <si>
    <t>VIVO手机各季度销售量分析表</t>
    <phoneticPr fontId="3" type="noConversion"/>
  </si>
  <si>
    <t>某商场各分店2018年品牌手机销售量统计表</t>
  </si>
  <si>
    <t>VIVO</t>
  </si>
  <si>
    <t>三星</t>
  </si>
  <si>
    <t>OPPO</t>
  </si>
  <si>
    <t>中兴</t>
  </si>
  <si>
    <t>金正</t>
  </si>
  <si>
    <t>华为</t>
  </si>
  <si>
    <t>分店名称</t>
    <phoneticPr fontId="1" type="noConversion"/>
  </si>
  <si>
    <t>VIVO</t>
    <phoneticPr fontId="1" type="noConversion"/>
  </si>
  <si>
    <t>&gt;4500</t>
    <phoneticPr fontId="1" type="noConversion"/>
  </si>
  <si>
    <t>南京路分店 汇总</t>
  </si>
  <si>
    <t>上海路分店 汇总</t>
  </si>
  <si>
    <t>北京路分店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</si>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</sst>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;[Red]0.0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  <font>
      <sz val="12"/>
      <color rgb="FF002060"/>
      <name val="微软雅黑"/>
      <family val="2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70C0"/>
      </left>
      <right style="thin">
        <color theme="1"/>
      </right>
      <top style="double">
        <color rgb="FF0070C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rgb="FF0070C0"/>
      </top>
      <bottom style="thin">
        <color theme="1"/>
      </bottom>
      <diagonal/>
    </border>
    <border>
      <left style="thin">
        <color theme="1"/>
      </left>
      <right style="double">
        <color rgb="FF0070C0"/>
      </right>
      <top style="double">
        <color rgb="FF0070C0"/>
      </top>
      <bottom style="thin">
        <color theme="1"/>
      </bottom>
      <diagonal/>
    </border>
    <border>
      <left style="double">
        <color rgb="FF0070C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rgb="FF0070C0"/>
      </right>
      <top style="thin">
        <color theme="1"/>
      </top>
      <bottom style="thin">
        <color theme="1"/>
      </bottom>
      <diagonal/>
    </border>
    <border>
      <left style="double">
        <color rgb="FF0070C0"/>
      </left>
      <right style="thin">
        <color theme="1"/>
      </right>
      <top style="thin">
        <color theme="1"/>
      </top>
      <bottom style="double">
        <color rgb="FF0070C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rgb="FF0070C0"/>
      </bottom>
      <diagonal/>
    </border>
    <border>
      <left style="thin">
        <color theme="1"/>
      </left>
      <right style="double">
        <color rgb="FF0070C0"/>
      </right>
      <top style="thin">
        <color theme="1"/>
      </top>
      <bottom style="double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76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各分店</a:t>
            </a:r>
            <a:r>
              <a:rPr lang="en-US"/>
              <a:t>VIVO/</a:t>
            </a:r>
            <a:r>
              <a:rPr lang="zh-CN"/>
              <a:t>三星</a:t>
            </a:r>
            <a:r>
              <a:rPr lang="en-US"/>
              <a:t>/</a:t>
            </a:r>
            <a:r>
              <a:rPr lang="zh-CN"/>
              <a:t>华为手机销售图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分类汇总!$A$2</c:f>
              <c:strCache>
                <c:ptCount val="1"/>
                <c:pt idx="0">
                  <c:v>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(分类汇总!$C$2,分类汇总!$D$2,分类汇总!$H$2)</c:f>
            </c:numRef>
          </c:val>
        </c:ser>
        <c:ser>
          <c:idx val="1"/>
          <c:order val="1"/>
          <c:tx>
            <c:strRef>
              <c:f>分类汇总!$A$3</c:f>
              <c:strCache>
                <c:ptCount val="1"/>
                <c:pt idx="0">
                  <c:v>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(分类汇总!$C$3,分类汇总!$D$3,分类汇总!$H$3)</c:f>
            </c:numRef>
          </c:val>
        </c:ser>
        <c:ser>
          <c:idx val="2"/>
          <c:order val="2"/>
          <c:tx>
            <c:strRef>
              <c:f>分类汇总!$A$4</c:f>
              <c:strCache>
                <c:ptCount val="1"/>
                <c:pt idx="0">
                  <c:v>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(分类汇总!$C$4,分类汇总!$D$4,分类汇总!$H$4)</c:f>
            </c:numRef>
          </c:val>
        </c:ser>
        <c:ser>
          <c:idx val="3"/>
          <c:order val="3"/>
          <c:tx>
            <c:strRef>
              <c:f>分类汇总!$A$5</c:f>
              <c:strCache>
                <c:ptCount val="1"/>
                <c:pt idx="0">
                  <c:v>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(分类汇总!$C$5,分类汇总!$D$5,分类汇总!$H$5)</c:f>
            </c:numRef>
          </c:val>
        </c:ser>
        <c:ser>
          <c:idx val="4"/>
          <c:order val="4"/>
          <c:tx>
            <c:strRef>
              <c:f>分类汇总!$A$6</c:f>
              <c:strCache>
                <c:ptCount val="1"/>
                <c:pt idx="0">
                  <c:v>南京路分店 汇总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(分类汇总!$C$6,分类汇总!$D$6,分类汇总!$H$6)</c:f>
              <c:numCache>
                <c:formatCode>General</c:formatCode>
                <c:ptCount val="3"/>
                <c:pt idx="0">
                  <c:v>19650</c:v>
                </c:pt>
                <c:pt idx="1">
                  <c:v>5335</c:v>
                </c:pt>
                <c:pt idx="2">
                  <c:v>19470</c:v>
                </c:pt>
              </c:numCache>
            </c:numRef>
          </c:val>
        </c:ser>
        <c:ser>
          <c:idx val="5"/>
          <c:order val="5"/>
          <c:tx>
            <c:strRef>
              <c:f>分类汇总!$A$7</c:f>
              <c:strCache>
                <c:ptCount val="1"/>
                <c:pt idx="0">
                  <c:v>上海路分店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(分类汇总!$C$7,分类汇总!$D$7,分类汇总!$H$7)</c:f>
            </c:numRef>
          </c:val>
        </c:ser>
        <c:ser>
          <c:idx val="6"/>
          <c:order val="6"/>
          <c:tx>
            <c:strRef>
              <c:f>分类汇总!$A$8</c:f>
              <c:strCache>
                <c:ptCount val="1"/>
                <c:pt idx="0">
                  <c:v>上海路分店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(分类汇总!$C$8,分类汇总!$D$8,分类汇总!$H$8)</c:f>
            </c:numRef>
          </c:val>
        </c:ser>
        <c:ser>
          <c:idx val="7"/>
          <c:order val="7"/>
          <c:tx>
            <c:strRef>
              <c:f>分类汇总!$A$9</c:f>
              <c:strCache>
                <c:ptCount val="1"/>
                <c:pt idx="0">
                  <c:v>上海路分店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(分类汇总!$C$9,分类汇总!$D$9,分类汇总!$H$9)</c:f>
            </c:numRef>
          </c:val>
        </c:ser>
        <c:ser>
          <c:idx val="8"/>
          <c:order val="8"/>
          <c:tx>
            <c:strRef>
              <c:f>分类汇总!$A$10</c:f>
              <c:strCache>
                <c:ptCount val="1"/>
                <c:pt idx="0">
                  <c:v>上海路分店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(分类汇总!$C$10,分类汇总!$D$10,分类汇总!$H$10)</c:f>
            </c:numRef>
          </c:val>
        </c:ser>
        <c:ser>
          <c:idx val="9"/>
          <c:order val="9"/>
          <c:tx>
            <c:strRef>
              <c:f>分类汇总!$A$11</c:f>
              <c:strCache>
                <c:ptCount val="1"/>
                <c:pt idx="0">
                  <c:v>上海路分店 汇总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(分类汇总!$C$11,分类汇总!$D$11,分类汇总!$H$11)</c:f>
              <c:numCache>
                <c:formatCode>General</c:formatCode>
                <c:ptCount val="3"/>
                <c:pt idx="0">
                  <c:v>19435</c:v>
                </c:pt>
                <c:pt idx="1">
                  <c:v>4780</c:v>
                </c:pt>
                <c:pt idx="2">
                  <c:v>18250</c:v>
                </c:pt>
              </c:numCache>
            </c:numRef>
          </c:val>
        </c:ser>
        <c:ser>
          <c:idx val="10"/>
          <c:order val="10"/>
          <c:tx>
            <c:strRef>
              <c:f>分类汇总!$A$12</c:f>
              <c:strCache>
                <c:ptCount val="1"/>
                <c:pt idx="0">
                  <c:v>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(分类汇总!$C$12,分类汇总!$D$12,分类汇总!$H$12)</c:f>
            </c:numRef>
          </c:val>
        </c:ser>
        <c:ser>
          <c:idx val="11"/>
          <c:order val="11"/>
          <c:tx>
            <c:strRef>
              <c:f>分类汇总!$A$13</c:f>
              <c:strCache>
                <c:ptCount val="1"/>
                <c:pt idx="0">
                  <c:v>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(分类汇总!$C$13,分类汇总!$D$13,分类汇总!$H$13)</c:f>
            </c:numRef>
          </c:val>
        </c:ser>
        <c:ser>
          <c:idx val="12"/>
          <c:order val="12"/>
          <c:tx>
            <c:strRef>
              <c:f>分类汇总!$A$14</c:f>
              <c:strCache>
                <c:ptCount val="1"/>
                <c:pt idx="0">
                  <c:v>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(分类汇总!$C$14,分类汇总!$D$14,分类汇总!$H$14)</c:f>
            </c:numRef>
          </c:val>
        </c:ser>
        <c:ser>
          <c:idx val="13"/>
          <c:order val="13"/>
          <c:tx>
            <c:strRef>
              <c:f>分类汇总!$A$15</c:f>
              <c:strCache>
                <c:ptCount val="1"/>
                <c:pt idx="0">
                  <c:v>北京路分店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(分类汇总!$C$15,分类汇总!$D$15,分类汇总!$H$15)</c:f>
            </c:numRef>
          </c:val>
        </c:ser>
        <c:ser>
          <c:idx val="14"/>
          <c:order val="14"/>
          <c:tx>
            <c:strRef>
              <c:f>分类汇总!$A$16</c:f>
              <c:strCache>
                <c:ptCount val="1"/>
                <c:pt idx="0">
                  <c:v>北京路分店 汇总</c:v>
                </c:pt>
              </c:strCache>
            </c:strRef>
          </c:tx>
          <c:invertIfNegative val="0"/>
          <c:cat>
            <c:strRef>
              <c:f>(分类汇总!$C$1,分类汇总!$D$1,分类汇总!$H$1)</c:f>
              <c:strCache>
                <c:ptCount val="3"/>
                <c:pt idx="0">
                  <c:v>VIVO</c:v>
                </c:pt>
                <c:pt idx="1">
                  <c:v>三星</c:v>
                </c:pt>
                <c:pt idx="2">
                  <c:v>华为</c:v>
                </c:pt>
              </c:strCache>
            </c:strRef>
          </c:cat>
          <c:val>
            <c:numRef>
              <c:f>(分类汇总!$C$16,分类汇总!$D$16,分类汇总!$H$16)</c:f>
              <c:numCache>
                <c:formatCode>General</c:formatCode>
                <c:ptCount val="3"/>
                <c:pt idx="0">
                  <c:v>18557</c:v>
                </c:pt>
                <c:pt idx="1">
                  <c:v>5170</c:v>
                </c:pt>
                <c:pt idx="2">
                  <c:v>19500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210304"/>
        <c:axId val="138359552"/>
        <c:axId val="138205824"/>
      </c:bar3DChart>
      <c:catAx>
        <c:axId val="138210304"/>
        <c:scaling>
          <c:orientation val="minMax"/>
        </c:scaling>
        <c:delete val="0"/>
        <c:axPos val="b"/>
        <c:majorTickMark val="out"/>
        <c:minorTickMark val="none"/>
        <c:tickLblPos val="nextTo"/>
        <c:crossAx val="138359552"/>
        <c:crosses val="autoZero"/>
        <c:auto val="1"/>
        <c:lblAlgn val="ctr"/>
        <c:lblOffset val="100"/>
        <c:noMultiLvlLbl val="0"/>
      </c:catAx>
      <c:valAx>
        <c:axId val="13835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210304"/>
        <c:crosses val="autoZero"/>
        <c:crossBetween val="between"/>
      </c:valAx>
      <c:serAx>
        <c:axId val="138205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8359552"/>
        <c:crosses val="autoZero"/>
      </c:ser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661987</xdr:colOff>
      <xdr:row>5</xdr:row>
      <xdr:rowOff>61912</xdr:rowOff>
    </xdr:from>
    <xdr:to>
      <xdr:col>9</xdr:col>
      <xdr:colOff>433387</xdr:colOff>
      <xdr:row>21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A2" sqref="A2:H14"/>
    </sheetView>
  </sheetViews>
  <sheetFormatPr defaultRowHeight="13.5"/>
  <cols>
    <col min="1" max="1" width="18.625" customWidth="1"/>
    <col min="2" max="2" width="11" customWidth="1"/>
    <col min="3" max="3" width="8.375" customWidth="1"/>
  </cols>
  <sheetData>
    <row r="1" spans="1:8" ht="32.1" customHeight="1" thickBot="1">
      <c r="A1" s="14" t="s">
        <v>22</v>
      </c>
      <c r="B1" s="14"/>
      <c r="C1" s="14"/>
      <c r="D1" s="14"/>
      <c r="E1" s="14"/>
      <c r="F1" s="14"/>
      <c r="G1" s="14"/>
      <c r="H1" s="14"/>
    </row>
    <row r="2" spans="1:8" ht="14.25" thickTop="1">
      <c r="A2" s="16" t="s">
        <v>0</v>
      </c>
      <c r="B2" s="17" t="s">
        <v>1</v>
      </c>
      <c r="C2" s="17" t="s">
        <v>9</v>
      </c>
      <c r="D2" s="17" t="s">
        <v>13</v>
      </c>
      <c r="E2" s="17" t="s">
        <v>11</v>
      </c>
      <c r="F2" s="17" t="s">
        <v>12</v>
      </c>
      <c r="G2" s="17" t="s">
        <v>10</v>
      </c>
      <c r="H2" s="18" t="s">
        <v>14</v>
      </c>
    </row>
    <row r="3" spans="1:8">
      <c r="A3" s="19" t="s">
        <v>15</v>
      </c>
      <c r="B3" s="20" t="s">
        <v>4</v>
      </c>
      <c r="C3" s="20">
        <v>4950</v>
      </c>
      <c r="D3" s="20">
        <v>1470</v>
      </c>
      <c r="E3" s="20">
        <v>3100</v>
      </c>
      <c r="F3" s="20">
        <v>1050</v>
      </c>
      <c r="G3" s="20">
        <v>620</v>
      </c>
      <c r="H3" s="21">
        <v>4800</v>
      </c>
    </row>
    <row r="4" spans="1:8">
      <c r="A4" s="19" t="s">
        <v>7</v>
      </c>
      <c r="B4" s="20" t="s">
        <v>4</v>
      </c>
      <c r="C4" s="20">
        <v>4900</v>
      </c>
      <c r="D4" s="20">
        <v>1420</v>
      </c>
      <c r="E4" s="20">
        <v>2850</v>
      </c>
      <c r="F4" s="20">
        <v>1100</v>
      </c>
      <c r="G4" s="20">
        <v>610</v>
      </c>
      <c r="H4" s="21">
        <v>5120</v>
      </c>
    </row>
    <row r="5" spans="1:8">
      <c r="A5" s="19" t="s">
        <v>6</v>
      </c>
      <c r="B5" s="20" t="s">
        <v>2</v>
      </c>
      <c r="C5" s="20">
        <v>4600</v>
      </c>
      <c r="D5" s="20">
        <v>1400</v>
      </c>
      <c r="E5" s="20">
        <v>2800</v>
      </c>
      <c r="F5" s="20">
        <v>900</v>
      </c>
      <c r="G5" s="20">
        <v>500</v>
      </c>
      <c r="H5" s="21">
        <v>4900</v>
      </c>
    </row>
    <row r="6" spans="1:8">
      <c r="A6" s="19" t="s">
        <v>7</v>
      </c>
      <c r="B6" s="20" t="s">
        <v>5</v>
      </c>
      <c r="C6" s="20">
        <v>5200</v>
      </c>
      <c r="D6" s="20">
        <v>1325</v>
      </c>
      <c r="E6" s="20">
        <v>3150</v>
      </c>
      <c r="F6" s="20">
        <v>1110</v>
      </c>
      <c r="G6" s="20">
        <v>530</v>
      </c>
      <c r="H6" s="21">
        <v>4950</v>
      </c>
    </row>
    <row r="7" spans="1:8">
      <c r="A7" s="19" t="s">
        <v>6</v>
      </c>
      <c r="B7" s="20" t="s">
        <v>3</v>
      </c>
      <c r="C7" s="20">
        <v>4680</v>
      </c>
      <c r="D7" s="20">
        <v>1320</v>
      </c>
      <c r="E7" s="20">
        <v>2980</v>
      </c>
      <c r="F7" s="20">
        <v>950</v>
      </c>
      <c r="G7" s="20">
        <v>650</v>
      </c>
      <c r="H7" s="21">
        <v>4800</v>
      </c>
    </row>
    <row r="8" spans="1:8">
      <c r="A8" s="19" t="s">
        <v>7</v>
      </c>
      <c r="B8" s="20" t="s">
        <v>2</v>
      </c>
      <c r="C8" s="20">
        <v>4800</v>
      </c>
      <c r="D8" s="20">
        <v>1300</v>
      </c>
      <c r="E8" s="20">
        <v>2900</v>
      </c>
      <c r="F8" s="20">
        <v>800</v>
      </c>
      <c r="G8" s="20">
        <v>600</v>
      </c>
      <c r="H8" s="21">
        <v>3900</v>
      </c>
    </row>
    <row r="9" spans="1:8">
      <c r="A9" s="19" t="s">
        <v>7</v>
      </c>
      <c r="B9" s="20" t="s">
        <v>3</v>
      </c>
      <c r="C9" s="20">
        <v>4750</v>
      </c>
      <c r="D9" s="20">
        <v>1290</v>
      </c>
      <c r="E9" s="20">
        <v>2890</v>
      </c>
      <c r="F9" s="20">
        <v>970</v>
      </c>
      <c r="G9" s="20">
        <v>540</v>
      </c>
      <c r="H9" s="21">
        <v>5500</v>
      </c>
    </row>
    <row r="10" spans="1:8">
      <c r="A10" s="19" t="s">
        <v>6</v>
      </c>
      <c r="B10" s="20" t="s">
        <v>4</v>
      </c>
      <c r="C10" s="20">
        <v>4620</v>
      </c>
      <c r="D10" s="20">
        <v>1250</v>
      </c>
      <c r="E10" s="20">
        <v>2950</v>
      </c>
      <c r="F10" s="20">
        <v>910</v>
      </c>
      <c r="G10" s="20">
        <v>580</v>
      </c>
      <c r="H10" s="21">
        <v>4700</v>
      </c>
    </row>
    <row r="11" spans="1:8">
      <c r="A11" s="19" t="s">
        <v>8</v>
      </c>
      <c r="B11" s="20" t="s">
        <v>3</v>
      </c>
      <c r="C11" s="20">
        <v>4500</v>
      </c>
      <c r="D11" s="20">
        <v>1200</v>
      </c>
      <c r="E11" s="20">
        <v>2700</v>
      </c>
      <c r="F11" s="20">
        <v>850</v>
      </c>
      <c r="G11" s="20">
        <v>550</v>
      </c>
      <c r="H11" s="21">
        <v>4500</v>
      </c>
    </row>
    <row r="12" spans="1:8">
      <c r="A12" s="19" t="s">
        <v>6</v>
      </c>
      <c r="B12" s="20" t="s">
        <v>5</v>
      </c>
      <c r="C12" s="20">
        <v>4657</v>
      </c>
      <c r="D12" s="20">
        <v>1200</v>
      </c>
      <c r="E12" s="20">
        <v>2810</v>
      </c>
      <c r="F12" s="20">
        <v>880</v>
      </c>
      <c r="G12" s="20">
        <v>660</v>
      </c>
      <c r="H12" s="21">
        <v>5100</v>
      </c>
    </row>
    <row r="13" spans="1:8">
      <c r="A13" s="19" t="s">
        <v>8</v>
      </c>
      <c r="B13" s="20" t="s">
        <v>5</v>
      </c>
      <c r="C13" s="20">
        <v>4985</v>
      </c>
      <c r="D13" s="20">
        <v>1110</v>
      </c>
      <c r="E13" s="20">
        <v>2990</v>
      </c>
      <c r="F13" s="20">
        <v>908</v>
      </c>
      <c r="G13" s="20">
        <v>595</v>
      </c>
      <c r="H13" s="21">
        <v>3950</v>
      </c>
    </row>
    <row r="14" spans="1:8" ht="14.25" thickBot="1">
      <c r="A14" s="22" t="s">
        <v>8</v>
      </c>
      <c r="B14" s="23" t="s">
        <v>2</v>
      </c>
      <c r="C14" s="23">
        <v>5000</v>
      </c>
      <c r="D14" s="23">
        <v>1000</v>
      </c>
      <c r="E14" s="23">
        <v>3000</v>
      </c>
      <c r="F14" s="23">
        <v>1000</v>
      </c>
      <c r="G14" s="23">
        <v>400</v>
      </c>
      <c r="H14" s="24">
        <v>5000</v>
      </c>
    </row>
    <row r="15" spans="1:8" ht="14.25" thickTop="1"/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4" sqref="C14"/>
    </sheetView>
  </sheetViews>
  <sheetFormatPr defaultRowHeight="13.5"/>
  <sheetData>
    <row r="1" spans="1:8" ht="32.1" customHeight="1" thickBot="1">
      <c r="A1" s="14" t="s">
        <v>22</v>
      </c>
      <c r="B1" s="14"/>
      <c r="C1" s="14"/>
      <c r="D1" s="14"/>
      <c r="E1" s="14"/>
      <c r="F1" s="14"/>
      <c r="G1" s="14"/>
      <c r="H1" s="14"/>
    </row>
    <row r="2" spans="1:8" ht="14.25" thickTop="1">
      <c r="A2" s="2" t="s">
        <v>0</v>
      </c>
      <c r="B2" s="3" t="s">
        <v>1</v>
      </c>
      <c r="C2" s="3" t="s">
        <v>9</v>
      </c>
      <c r="D2" s="3" t="s">
        <v>13</v>
      </c>
      <c r="E2" s="3" t="s">
        <v>11</v>
      </c>
      <c r="F2" s="3" t="s">
        <v>12</v>
      </c>
      <c r="G2" s="3" t="s">
        <v>10</v>
      </c>
      <c r="H2" s="4" t="s">
        <v>14</v>
      </c>
    </row>
    <row r="3" spans="1:8">
      <c r="A3" s="5" t="s">
        <v>7</v>
      </c>
      <c r="B3" s="6" t="s">
        <v>2</v>
      </c>
      <c r="C3" s="6">
        <v>4800</v>
      </c>
      <c r="D3" s="6">
        <v>1300</v>
      </c>
      <c r="E3" s="6">
        <v>2900</v>
      </c>
      <c r="F3" s="6">
        <v>800</v>
      </c>
      <c r="G3" s="6">
        <v>600</v>
      </c>
      <c r="H3" s="7">
        <v>3900</v>
      </c>
    </row>
    <row r="4" spans="1:8">
      <c r="A4" s="5" t="s">
        <v>7</v>
      </c>
      <c r="B4" s="6" t="s">
        <v>3</v>
      </c>
      <c r="C4" s="6">
        <v>4750</v>
      </c>
      <c r="D4" s="6">
        <v>1290</v>
      </c>
      <c r="E4" s="6">
        <v>2890</v>
      </c>
      <c r="F4" s="6">
        <v>970</v>
      </c>
      <c r="G4" s="6">
        <v>540</v>
      </c>
      <c r="H4" s="7">
        <v>5500</v>
      </c>
    </row>
    <row r="5" spans="1:8">
      <c r="A5" s="5" t="s">
        <v>7</v>
      </c>
      <c r="B5" s="6" t="s">
        <v>4</v>
      </c>
      <c r="C5" s="6">
        <v>4900</v>
      </c>
      <c r="D5" s="6">
        <v>1420</v>
      </c>
      <c r="E5" s="6">
        <v>2850</v>
      </c>
      <c r="F5" s="6">
        <v>1100</v>
      </c>
      <c r="G5" s="6">
        <v>610</v>
      </c>
      <c r="H5" s="7">
        <v>5120</v>
      </c>
    </row>
    <row r="6" spans="1:8">
      <c r="A6" s="5" t="s">
        <v>7</v>
      </c>
      <c r="B6" s="6" t="s">
        <v>5</v>
      </c>
      <c r="C6" s="6">
        <v>5200</v>
      </c>
      <c r="D6" s="6">
        <v>1325</v>
      </c>
      <c r="E6" s="6">
        <v>3150</v>
      </c>
      <c r="F6" s="6">
        <v>1110</v>
      </c>
      <c r="G6" s="6">
        <v>530</v>
      </c>
      <c r="H6" s="7">
        <v>4950</v>
      </c>
    </row>
    <row r="7" spans="1:8">
      <c r="A7" s="5" t="s">
        <v>8</v>
      </c>
      <c r="B7" s="6" t="s">
        <v>2</v>
      </c>
      <c r="C7" s="6">
        <v>5000</v>
      </c>
      <c r="D7" s="6">
        <v>1000</v>
      </c>
      <c r="E7" s="6">
        <v>3000</v>
      </c>
      <c r="F7" s="6">
        <v>1000</v>
      </c>
      <c r="G7" s="6">
        <v>400</v>
      </c>
      <c r="H7" s="7">
        <v>5000</v>
      </c>
    </row>
    <row r="8" spans="1:8">
      <c r="A8" s="5" t="s">
        <v>8</v>
      </c>
      <c r="B8" s="6" t="s">
        <v>3</v>
      </c>
      <c r="C8" s="6">
        <v>4500</v>
      </c>
      <c r="D8" s="6">
        <v>1200</v>
      </c>
      <c r="E8" s="6">
        <v>2700</v>
      </c>
      <c r="F8" s="6">
        <v>850</v>
      </c>
      <c r="G8" s="6">
        <v>550</v>
      </c>
      <c r="H8" s="7">
        <v>4500</v>
      </c>
    </row>
    <row r="9" spans="1:8">
      <c r="A9" s="5" t="s">
        <v>15</v>
      </c>
      <c r="B9" s="6" t="s">
        <v>4</v>
      </c>
      <c r="C9" s="6">
        <v>4950</v>
      </c>
      <c r="D9" s="6">
        <v>1470</v>
      </c>
      <c r="E9" s="6">
        <v>3100</v>
      </c>
      <c r="F9" s="6">
        <v>1050</v>
      </c>
      <c r="G9" s="6">
        <v>620</v>
      </c>
      <c r="H9" s="7">
        <v>4800</v>
      </c>
    </row>
    <row r="10" spans="1:8">
      <c r="A10" s="5" t="s">
        <v>8</v>
      </c>
      <c r="B10" s="6" t="s">
        <v>5</v>
      </c>
      <c r="C10" s="6">
        <v>4985</v>
      </c>
      <c r="D10" s="6">
        <v>1110</v>
      </c>
      <c r="E10" s="6">
        <v>2990</v>
      </c>
      <c r="F10" s="6">
        <v>908</v>
      </c>
      <c r="G10" s="6">
        <v>595</v>
      </c>
      <c r="H10" s="7">
        <v>3950</v>
      </c>
    </row>
    <row r="11" spans="1:8">
      <c r="A11" s="5" t="s">
        <v>6</v>
      </c>
      <c r="B11" s="6" t="s">
        <v>2</v>
      </c>
      <c r="C11" s="6">
        <v>4600</v>
      </c>
      <c r="D11" s="6">
        <v>1400</v>
      </c>
      <c r="E11" s="6">
        <v>2800</v>
      </c>
      <c r="F11" s="6">
        <v>900</v>
      </c>
      <c r="G11" s="6">
        <v>500</v>
      </c>
      <c r="H11" s="7">
        <v>4900</v>
      </c>
    </row>
    <row r="12" spans="1:8">
      <c r="A12" s="5" t="s">
        <v>6</v>
      </c>
      <c r="B12" s="6" t="s">
        <v>3</v>
      </c>
      <c r="C12" s="6">
        <v>4680</v>
      </c>
      <c r="D12" s="6">
        <v>1320</v>
      </c>
      <c r="E12" s="6">
        <v>2980</v>
      </c>
      <c r="F12" s="6">
        <v>950</v>
      </c>
      <c r="G12" s="6">
        <v>650</v>
      </c>
      <c r="H12" s="7">
        <v>4800</v>
      </c>
    </row>
    <row r="13" spans="1:8">
      <c r="A13" s="5" t="s">
        <v>6</v>
      </c>
      <c r="B13" s="6" t="s">
        <v>4</v>
      </c>
      <c r="C13" s="6">
        <v>4620</v>
      </c>
      <c r="D13" s="6">
        <v>1250</v>
      </c>
      <c r="E13" s="6">
        <v>2950</v>
      </c>
      <c r="F13" s="6">
        <v>910</v>
      </c>
      <c r="G13" s="6">
        <v>580</v>
      </c>
      <c r="H13" s="7">
        <v>4700</v>
      </c>
    </row>
    <row r="14" spans="1:8" ht="14.25" thickBot="1">
      <c r="A14" s="8" t="s">
        <v>6</v>
      </c>
      <c r="B14" s="9" t="s">
        <v>5</v>
      </c>
      <c r="C14" s="9">
        <v>4657</v>
      </c>
      <c r="D14" s="9">
        <v>1200</v>
      </c>
      <c r="E14" s="9">
        <v>2810</v>
      </c>
      <c r="F14" s="9">
        <v>880</v>
      </c>
      <c r="G14" s="9">
        <v>660</v>
      </c>
      <c r="H14" s="10">
        <v>5100</v>
      </c>
    </row>
    <row r="15" spans="1:8" ht="14.25" thickTop="1"/>
  </sheetData>
  <sortState sortMethod="stroke" ref="A3:H14">
    <sortCondition ref="A3:A14" customList="南京路分店,上海路分店,北京路分店"/>
    <sortCondition ref="B3:B14"/>
  </sortState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" sqref="C3:C5"/>
    </sheetView>
  </sheetViews>
  <sheetFormatPr defaultRowHeight="13.5"/>
  <cols>
    <col min="1" max="1" width="12.75" customWidth="1"/>
    <col min="2" max="2" width="15.875" customWidth="1"/>
    <col min="3" max="3" width="24.125" customWidth="1"/>
  </cols>
  <sheetData>
    <row r="1" spans="1:3" ht="42.75" customHeight="1">
      <c r="A1" s="15" t="s">
        <v>21</v>
      </c>
      <c r="B1" s="15"/>
      <c r="C1" s="15"/>
    </row>
    <row r="2" spans="1:3">
      <c r="A2" s="1"/>
      <c r="B2" s="1" t="s">
        <v>16</v>
      </c>
      <c r="C2" s="1" t="s">
        <v>17</v>
      </c>
    </row>
    <row r="3" spans="1:3">
      <c r="A3" s="1" t="s">
        <v>18</v>
      </c>
      <c r="B3" s="1">
        <f>MAX(品牌手机各季度销售量表!$C$11:$C$14)</f>
        <v>4680</v>
      </c>
      <c r="C3" s="13">
        <f>AVERAGE(品牌手机各季度销售量表!$C$11:$C$14)</f>
        <v>4639.25</v>
      </c>
    </row>
    <row r="4" spans="1:3">
      <c r="A4" s="1" t="s">
        <v>19</v>
      </c>
      <c r="B4" s="1">
        <f>MAX(品牌手机各季度销售量表!$C$7:$C$10)</f>
        <v>5000</v>
      </c>
      <c r="C4" s="13">
        <f>AVERAGE(品牌手机各季度销售量表!$C$7:$C$10)</f>
        <v>4858.75</v>
      </c>
    </row>
    <row r="5" spans="1:3">
      <c r="A5" s="1" t="s">
        <v>20</v>
      </c>
      <c r="B5" s="1">
        <f>MAX(品牌手机各季度销售量表!$C$3:$C$6)</f>
        <v>5200</v>
      </c>
      <c r="C5" s="13">
        <f>AVERAGE(品牌手机各季度销售量表!$C$3:$C$6)</f>
        <v>4912.5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D22" sqref="D22"/>
    </sheetView>
  </sheetViews>
  <sheetFormatPr defaultRowHeight="13.5"/>
  <sheetData>
    <row r="1" spans="1:10">
      <c r="A1" t="s">
        <v>29</v>
      </c>
      <c r="B1" t="s">
        <v>30</v>
      </c>
    </row>
    <row r="2" spans="1:10">
      <c r="A2" s="11" t="s">
        <v>7</v>
      </c>
      <c r="B2" t="s">
        <v>31</v>
      </c>
    </row>
    <row r="5" spans="1:10" ht="14.25" thickBot="1"/>
    <row r="6" spans="1:10" ht="14.25" thickTop="1">
      <c r="C6" s="2" t="s">
        <v>0</v>
      </c>
      <c r="D6" s="3" t="s">
        <v>1</v>
      </c>
      <c r="E6" s="3" t="s">
        <v>9</v>
      </c>
      <c r="F6" s="3" t="s">
        <v>13</v>
      </c>
      <c r="G6" s="3" t="s">
        <v>11</v>
      </c>
      <c r="H6" s="3" t="s">
        <v>12</v>
      </c>
      <c r="I6" s="3" t="s">
        <v>10</v>
      </c>
      <c r="J6" s="4" t="s">
        <v>14</v>
      </c>
    </row>
    <row r="7" spans="1:10">
      <c r="C7" s="5" t="s">
        <v>7</v>
      </c>
      <c r="D7" s="6" t="s">
        <v>4</v>
      </c>
      <c r="E7" s="6">
        <v>4900</v>
      </c>
      <c r="F7" s="6">
        <v>1420</v>
      </c>
      <c r="G7" s="6">
        <v>2850</v>
      </c>
      <c r="H7" s="6">
        <v>1100</v>
      </c>
      <c r="I7" s="6">
        <v>610</v>
      </c>
      <c r="J7" s="7">
        <v>5120</v>
      </c>
    </row>
    <row r="8" spans="1:10">
      <c r="C8" s="5" t="s">
        <v>7</v>
      </c>
      <c r="D8" s="6" t="s">
        <v>5</v>
      </c>
      <c r="E8" s="6">
        <v>5200</v>
      </c>
      <c r="F8" s="6">
        <v>1325</v>
      </c>
      <c r="G8" s="6">
        <v>3150</v>
      </c>
      <c r="H8" s="6">
        <v>1110</v>
      </c>
      <c r="I8" s="6">
        <v>530</v>
      </c>
      <c r="J8" s="7">
        <v>4950</v>
      </c>
    </row>
    <row r="9" spans="1:10">
      <c r="C9" s="5" t="s">
        <v>7</v>
      </c>
      <c r="D9" s="6" t="s">
        <v>2</v>
      </c>
      <c r="E9" s="6">
        <v>4800</v>
      </c>
      <c r="F9" s="6">
        <v>1300</v>
      </c>
      <c r="G9" s="6">
        <v>2900</v>
      </c>
      <c r="H9" s="6">
        <v>800</v>
      </c>
      <c r="I9" s="6">
        <v>600</v>
      </c>
      <c r="J9" s="7">
        <v>3900</v>
      </c>
    </row>
    <row r="10" spans="1:10">
      <c r="C10" s="5" t="s">
        <v>7</v>
      </c>
      <c r="D10" s="6" t="s">
        <v>3</v>
      </c>
      <c r="E10" s="6">
        <v>4750</v>
      </c>
      <c r="F10" s="6">
        <v>1290</v>
      </c>
      <c r="G10" s="6">
        <v>2890</v>
      </c>
      <c r="H10" s="6">
        <v>970</v>
      </c>
      <c r="I10" s="6">
        <v>540</v>
      </c>
      <c r="J10" s="7">
        <v>5500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23" sqref="E23"/>
    </sheetView>
  </sheetViews>
  <sheetFormatPr defaultRowHeight="13.5" outlineLevelRow="2"/>
  <sheetData>
    <row r="1" spans="1:8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hidden="1" outlineLevel="2">
      <c r="A2" t="s">
        <v>7</v>
      </c>
      <c r="B2" t="s">
        <v>2</v>
      </c>
      <c r="C2">
        <v>4800</v>
      </c>
      <c r="D2">
        <v>1300</v>
      </c>
      <c r="E2">
        <v>2900</v>
      </c>
      <c r="F2">
        <v>800</v>
      </c>
      <c r="G2">
        <v>600</v>
      </c>
      <c r="H2">
        <v>3900</v>
      </c>
    </row>
    <row r="3" spans="1:8" hidden="1" outlineLevel="2">
      <c r="A3" t="s">
        <v>7</v>
      </c>
      <c r="B3" t="s">
        <v>3</v>
      </c>
      <c r="C3">
        <v>4750</v>
      </c>
      <c r="D3">
        <v>1290</v>
      </c>
      <c r="E3">
        <v>2890</v>
      </c>
      <c r="F3">
        <v>970</v>
      </c>
      <c r="G3">
        <v>540</v>
      </c>
      <c r="H3">
        <v>5500</v>
      </c>
    </row>
    <row r="4" spans="1:8" hidden="1" outlineLevel="2">
      <c r="A4" t="s">
        <v>7</v>
      </c>
      <c r="B4" t="s">
        <v>4</v>
      </c>
      <c r="C4">
        <v>4900</v>
      </c>
      <c r="D4">
        <v>1420</v>
      </c>
      <c r="E4">
        <v>2850</v>
      </c>
      <c r="F4">
        <v>1100</v>
      </c>
      <c r="G4">
        <v>610</v>
      </c>
      <c r="H4">
        <v>5120</v>
      </c>
    </row>
    <row r="5" spans="1:8" hidden="1" outlineLevel="2">
      <c r="A5" t="s">
        <v>7</v>
      </c>
      <c r="B5" t="s">
        <v>5</v>
      </c>
      <c r="C5">
        <v>5200</v>
      </c>
      <c r="D5">
        <v>1325</v>
      </c>
      <c r="E5">
        <v>3150</v>
      </c>
      <c r="F5">
        <v>1110</v>
      </c>
      <c r="G5">
        <v>530</v>
      </c>
      <c r="H5">
        <v>4950</v>
      </c>
    </row>
    <row r="6" spans="1:8" outlineLevel="1" collapsed="1">
      <c r="A6" s="12" t="s">
        <v>32</v>
      </c>
      <c r="C6">
        <f>SUBTOTAL(9,C2:C5)</f>
        <v>19650</v>
      </c>
      <c r="D6">
        <f>SUBTOTAL(9,D2:D5)</f>
        <v>5335</v>
      </c>
      <c r="H6">
        <f>SUBTOTAL(9,H2:H5)</f>
        <v>19470</v>
      </c>
    </row>
    <row r="7" spans="1:8" hidden="1" outlineLevel="2">
      <c r="A7" t="s">
        <v>8</v>
      </c>
      <c r="B7" t="s">
        <v>2</v>
      </c>
      <c r="C7">
        <v>5000</v>
      </c>
      <c r="D7">
        <v>1000</v>
      </c>
      <c r="E7">
        <v>3000</v>
      </c>
      <c r="F7">
        <v>1000</v>
      </c>
      <c r="G7">
        <v>400</v>
      </c>
      <c r="H7">
        <v>5000</v>
      </c>
    </row>
    <row r="8" spans="1:8" hidden="1" outlineLevel="2">
      <c r="A8" t="s">
        <v>8</v>
      </c>
      <c r="B8" t="s">
        <v>3</v>
      </c>
      <c r="C8">
        <v>4500</v>
      </c>
      <c r="D8">
        <v>1200</v>
      </c>
      <c r="E8">
        <v>2700</v>
      </c>
      <c r="F8">
        <v>850</v>
      </c>
      <c r="G8">
        <v>550</v>
      </c>
      <c r="H8">
        <v>4500</v>
      </c>
    </row>
    <row r="9" spans="1:8" hidden="1" outlineLevel="2">
      <c r="A9" t="s">
        <v>8</v>
      </c>
      <c r="B9" t="s">
        <v>4</v>
      </c>
      <c r="C9">
        <v>4950</v>
      </c>
      <c r="D9">
        <v>1470</v>
      </c>
      <c r="E9">
        <v>3100</v>
      </c>
      <c r="F9">
        <v>1050</v>
      </c>
      <c r="G9">
        <v>620</v>
      </c>
      <c r="H9">
        <v>4800</v>
      </c>
    </row>
    <row r="10" spans="1:8" hidden="1" outlineLevel="2">
      <c r="A10" t="s">
        <v>8</v>
      </c>
      <c r="B10" t="s">
        <v>5</v>
      </c>
      <c r="C10">
        <v>4985</v>
      </c>
      <c r="D10">
        <v>1110</v>
      </c>
      <c r="E10">
        <v>2990</v>
      </c>
      <c r="F10">
        <v>908</v>
      </c>
      <c r="G10">
        <v>595</v>
      </c>
      <c r="H10">
        <v>3950</v>
      </c>
    </row>
    <row r="11" spans="1:8" outlineLevel="1" collapsed="1">
      <c r="A11" s="12" t="s">
        <v>33</v>
      </c>
      <c r="C11">
        <f>SUBTOTAL(9,C7:C10)</f>
        <v>19435</v>
      </c>
      <c r="D11">
        <f>SUBTOTAL(9,D7:D10)</f>
        <v>4780</v>
      </c>
      <c r="H11">
        <f>SUBTOTAL(9,H7:H10)</f>
        <v>18250</v>
      </c>
    </row>
    <row r="12" spans="1:8" hidden="1" outlineLevel="2">
      <c r="A12" t="s">
        <v>6</v>
      </c>
      <c r="B12" t="s">
        <v>2</v>
      </c>
      <c r="C12">
        <v>4600</v>
      </c>
      <c r="D12">
        <v>1400</v>
      </c>
      <c r="E12">
        <v>2800</v>
      </c>
      <c r="F12">
        <v>900</v>
      </c>
      <c r="G12">
        <v>500</v>
      </c>
      <c r="H12">
        <v>4900</v>
      </c>
    </row>
    <row r="13" spans="1:8" hidden="1" outlineLevel="2">
      <c r="A13" t="s">
        <v>6</v>
      </c>
      <c r="B13" t="s">
        <v>3</v>
      </c>
      <c r="C13">
        <v>4680</v>
      </c>
      <c r="D13">
        <v>1320</v>
      </c>
      <c r="E13">
        <v>2980</v>
      </c>
      <c r="F13">
        <v>950</v>
      </c>
      <c r="G13">
        <v>650</v>
      </c>
      <c r="H13">
        <v>4800</v>
      </c>
    </row>
    <row r="14" spans="1:8" hidden="1" outlineLevel="2">
      <c r="A14" t="s">
        <v>6</v>
      </c>
      <c r="B14" t="s">
        <v>4</v>
      </c>
      <c r="C14">
        <v>4620</v>
      </c>
      <c r="D14">
        <v>1250</v>
      </c>
      <c r="E14">
        <v>2950</v>
      </c>
      <c r="F14">
        <v>910</v>
      </c>
      <c r="G14">
        <v>580</v>
      </c>
      <c r="H14">
        <v>4700</v>
      </c>
    </row>
    <row r="15" spans="1:8" hidden="1" outlineLevel="2">
      <c r="A15" t="s">
        <v>6</v>
      </c>
      <c r="B15" t="s">
        <v>5</v>
      </c>
      <c r="C15">
        <v>4657</v>
      </c>
      <c r="D15">
        <v>1200</v>
      </c>
      <c r="E15">
        <v>2810</v>
      </c>
      <c r="F15">
        <v>880</v>
      </c>
      <c r="G15">
        <v>660</v>
      </c>
      <c r="H15">
        <v>5100</v>
      </c>
    </row>
    <row r="16" spans="1:8" outlineLevel="1" collapsed="1">
      <c r="A16" s="12" t="s">
        <v>34</v>
      </c>
      <c r="C16">
        <f>SUBTOTAL(9,C12:C15)</f>
        <v>18557</v>
      </c>
      <c r="D16">
        <f>SUBTOTAL(9,D12:D15)</f>
        <v>5170</v>
      </c>
      <c r="H16">
        <f>SUBTOTAL(9,H12:H15)</f>
        <v>19500</v>
      </c>
    </row>
    <row r="17" spans="1:8">
      <c r="A17" s="12" t="s">
        <v>35</v>
      </c>
      <c r="C17">
        <f>SUBTOTAL(9,C2:C15)</f>
        <v>57642</v>
      </c>
      <c r="D17">
        <f>SUBTOTAL(9,D2:D15)</f>
        <v>15285</v>
      </c>
      <c r="H17">
        <f>SUBTOTAL(9,H2:H15)</f>
        <v>57220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" sqref="H3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Sheet1</vt:lpstr>
      <vt:lpstr>品牌手机各季度销售量表</vt:lpstr>
      <vt:lpstr>VIVO手机各季度销售量分析表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2019-02-27T07:29:30Z</dcterms:modified>
</cp:coreProperties>
</file>