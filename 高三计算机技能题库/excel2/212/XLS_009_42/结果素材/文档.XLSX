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2"/>
  </bookViews>
  <sheets>
    <sheet name="选修课成绩单" sheetId="1" r:id="rId1"/>
    <sheet name="Sheet2" sheetId="2" r:id="rId2"/>
    <sheet name="分类汇总" sheetId="4" r:id="rId3"/>
    <sheet name="Sheet3" sheetId="3" r:id="rId4"/>
  </sheets>
  <definedNames>
    <definedName name="_xlnm._FilterDatabase" localSheetId="0" hidden="1">选修课成绩单!$A$1:$H$20</definedName>
    <definedName name="_xlnm.Criteria" localSheetId="0">选修课成绩单!$A$22:$H$23</definedName>
    <definedName name="_xlnm.Extract" localSheetId="0">选修课成绩单!$A$25:$H$25</definedName>
  </definedNames>
  <calcPr calcId="144525"/>
</workbook>
</file>

<file path=xl/calcChain.xml><?xml version="1.0" encoding="utf-8"?>
<calcChain xmlns="http://schemas.openxmlformats.org/spreadsheetml/2006/main">
  <c r="G2" i="4" l="1"/>
  <c r="G3" i="4"/>
  <c r="G4" i="4"/>
  <c r="G7" i="4" s="1"/>
  <c r="G5" i="4"/>
  <c r="G6" i="4"/>
  <c r="G8" i="4"/>
  <c r="G11" i="4" s="1"/>
  <c r="G9" i="4"/>
  <c r="G10" i="4"/>
  <c r="G12" i="4"/>
  <c r="G15" i="4" s="1"/>
  <c r="G13" i="4"/>
  <c r="G14" i="4"/>
  <c r="G16" i="4"/>
  <c r="G17" i="4"/>
  <c r="G18" i="4"/>
  <c r="G19" i="4"/>
  <c r="G20" i="4"/>
  <c r="G21" i="4"/>
  <c r="G22" i="4"/>
  <c r="G23" i="4"/>
  <c r="G25" i="4" s="1"/>
  <c r="G24" i="4"/>
  <c r="K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G26" i="4" l="1"/>
</calcChain>
</file>

<file path=xl/sharedStrings.xml><?xml version="1.0" encoding="utf-8"?>
<sst xmlns="http://schemas.openxmlformats.org/spreadsheetml/2006/main" count="127" uniqueCount="43">
  <si>
    <t>系别</t>
  </si>
  <si>
    <t>学号</t>
  </si>
  <si>
    <t>缺课次数</t>
  </si>
  <si>
    <t>作业成绩</t>
  </si>
  <si>
    <t>测验成绩</t>
  </si>
  <si>
    <t>论文成绩</t>
  </si>
  <si>
    <t>平时总评</t>
  </si>
  <si>
    <t>考试资格</t>
  </si>
  <si>
    <t>生物</t>
  </si>
  <si>
    <t>981021</t>
  </si>
  <si>
    <t>计算机</t>
  </si>
  <si>
    <t>982032</t>
  </si>
  <si>
    <t>化学</t>
  </si>
  <si>
    <t>983023</t>
  </si>
  <si>
    <t>经济</t>
  </si>
  <si>
    <t>985034</t>
  </si>
  <si>
    <t>981076</t>
  </si>
  <si>
    <t>数学</t>
  </si>
  <si>
    <t>984056</t>
  </si>
  <si>
    <t>983021</t>
  </si>
  <si>
    <t>982089</t>
  </si>
  <si>
    <t>982005</t>
  </si>
  <si>
    <t>983082</t>
  </si>
  <si>
    <t>981062</t>
  </si>
  <si>
    <t>985022</t>
  </si>
  <si>
    <t>984034</t>
  </si>
  <si>
    <t>981025</t>
  </si>
  <si>
    <t>983026</t>
  </si>
  <si>
    <t>984086</t>
  </si>
  <si>
    <t>985014</t>
  </si>
  <si>
    <t>983053</t>
  </si>
  <si>
    <t>984027</t>
  </si>
  <si>
    <t>化学系学生人数：</t>
    <phoneticPr fontId="1" type="noConversion"/>
  </si>
  <si>
    <t>化学系学生人数：</t>
    <phoneticPr fontId="1" type="noConversion"/>
  </si>
  <si>
    <t>生物</t>
    <phoneticPr fontId="1" type="noConversion"/>
  </si>
  <si>
    <t>有资格</t>
  </si>
  <si>
    <t>有资格</t>
    <phoneticPr fontId="1" type="noConversion"/>
  </si>
  <si>
    <t>化学 最大值</t>
  </si>
  <si>
    <t>计算机 最大值</t>
  </si>
  <si>
    <t>经济 最大值</t>
  </si>
  <si>
    <t>生物 最大值</t>
  </si>
  <si>
    <t>数学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</si>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</sst>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_ "/>
  </numFmts>
  <fonts count="3" x14ac:knownFonts="1"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7" fontId="0" fillId="0" borderId="0" xfId="0" applyNumberFormat="1"/>
    <xf numFmtId="0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1">
    <dxf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altLang="en-US"/>
              <a:t>选修课平时总评</a:t>
            </a:r>
          </a:p>
        </c:rich>
      </c:tx>
      <c:layout>
        <c:manualLayout>
          <c:xMode val="edge"/>
          <c:yMode val="edge"/>
          <c:x val="0.38390890784147774"/>
          <c:y val="4.2857342156539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43706545677411"/>
          <c:y val="0.25714405293923426"/>
          <c:w val="0.84138119922144217"/>
          <c:h val="0.457144983003083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选修课成绩单!$G$1</c:f>
              <c:strCache>
                <c:ptCount val="1"/>
                <c:pt idx="0">
                  <c:v>平时总评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选修课成绩单!$B$2:$B$20</c:f>
              <c:strCache>
                <c:ptCount val="19"/>
                <c:pt idx="0">
                  <c:v>981021</c:v>
                </c:pt>
                <c:pt idx="1">
                  <c:v>982032</c:v>
                </c:pt>
                <c:pt idx="2">
                  <c:v>983023</c:v>
                </c:pt>
                <c:pt idx="3">
                  <c:v>985034</c:v>
                </c:pt>
                <c:pt idx="4">
                  <c:v>981076</c:v>
                </c:pt>
                <c:pt idx="5">
                  <c:v>984056</c:v>
                </c:pt>
                <c:pt idx="6">
                  <c:v>983021</c:v>
                </c:pt>
                <c:pt idx="7">
                  <c:v>982089</c:v>
                </c:pt>
                <c:pt idx="8">
                  <c:v>982005</c:v>
                </c:pt>
                <c:pt idx="9">
                  <c:v>983082</c:v>
                </c:pt>
                <c:pt idx="10">
                  <c:v>981062</c:v>
                </c:pt>
                <c:pt idx="11">
                  <c:v>985022</c:v>
                </c:pt>
                <c:pt idx="12">
                  <c:v>984034</c:v>
                </c:pt>
                <c:pt idx="13">
                  <c:v>981025</c:v>
                </c:pt>
                <c:pt idx="14">
                  <c:v>983026</c:v>
                </c:pt>
                <c:pt idx="15">
                  <c:v>984086</c:v>
                </c:pt>
                <c:pt idx="16">
                  <c:v>985014</c:v>
                </c:pt>
                <c:pt idx="17">
                  <c:v>983053</c:v>
                </c:pt>
                <c:pt idx="18">
                  <c:v>984027</c:v>
                </c:pt>
              </c:strCache>
            </c:strRef>
          </c:cat>
          <c:val>
            <c:numRef>
              <c:f>选修课成绩单!$G$2:$G$20</c:f>
              <c:numCache>
                <c:formatCode>0_ </c:formatCode>
                <c:ptCount val="19"/>
                <c:pt idx="0">
                  <c:v>79.599999999999994</c:v>
                </c:pt>
                <c:pt idx="1">
                  <c:v>67.199999999999989</c:v>
                </c:pt>
                <c:pt idx="2">
                  <c:v>85.4</c:v>
                </c:pt>
                <c:pt idx="3">
                  <c:v>42.5</c:v>
                </c:pt>
                <c:pt idx="4">
                  <c:v>86.8</c:v>
                </c:pt>
                <c:pt idx="5">
                  <c:v>84.8</c:v>
                </c:pt>
                <c:pt idx="6">
                  <c:v>68.599999999999994</c:v>
                </c:pt>
                <c:pt idx="7">
                  <c:v>77</c:v>
                </c:pt>
                <c:pt idx="8">
                  <c:v>93.5</c:v>
                </c:pt>
                <c:pt idx="9">
                  <c:v>79.099999999999994</c:v>
                </c:pt>
                <c:pt idx="10">
                  <c:v>73.099999999999994</c:v>
                </c:pt>
                <c:pt idx="11">
                  <c:v>77.400000000000006</c:v>
                </c:pt>
                <c:pt idx="12">
                  <c:v>69</c:v>
                </c:pt>
                <c:pt idx="13">
                  <c:v>45.900000000000006</c:v>
                </c:pt>
                <c:pt idx="14">
                  <c:v>73.7</c:v>
                </c:pt>
                <c:pt idx="15">
                  <c:v>71.5</c:v>
                </c:pt>
                <c:pt idx="16">
                  <c:v>81.400000000000006</c:v>
                </c:pt>
                <c:pt idx="17">
                  <c:v>66</c:v>
                </c:pt>
                <c:pt idx="18">
                  <c:v>86.3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82848"/>
        <c:axId val="144784384"/>
      </c:barChart>
      <c:catAx>
        <c:axId val="144782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7843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44784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782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14</xdr:col>
      <xdr:colOff>0</xdr:colOff>
      <xdr:row>16</xdr:row>
      <xdr:rowOff>9525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workbookViewId="0">
      <selection activeCell="M21" sqref="M21"/>
    </sheetView>
  </sheetViews>
  <sheetFormatPr defaultRowHeight="14.25" x14ac:dyDescent="0.15"/>
  <cols>
    <col min="10" max="10" width="18.37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15">
      <c r="A2" t="s">
        <v>8</v>
      </c>
      <c r="B2" t="s">
        <v>9</v>
      </c>
      <c r="C2">
        <v>1</v>
      </c>
      <c r="D2">
        <v>74</v>
      </c>
      <c r="E2">
        <v>78</v>
      </c>
      <c r="F2">
        <v>85</v>
      </c>
      <c r="G2" s="1">
        <f>D2*0.3+E2*0.3+F2*0.4</f>
        <v>79.599999999999994</v>
      </c>
      <c r="H2" t="str">
        <f>IF(C2&gt;=5,"无资格","有资格")</f>
        <v>有资格</v>
      </c>
    </row>
    <row r="3" spans="1:11" x14ac:dyDescent="0.15">
      <c r="A3" t="s">
        <v>10</v>
      </c>
      <c r="B3" t="s">
        <v>11</v>
      </c>
      <c r="C3">
        <v>0</v>
      </c>
      <c r="D3">
        <v>67</v>
      </c>
      <c r="E3">
        <v>57</v>
      </c>
      <c r="F3">
        <v>75</v>
      </c>
      <c r="G3" s="1">
        <f t="shared" ref="G3:G20" si="0">D3*0.3+E3*0.3+F3*0.4</f>
        <v>67.199999999999989</v>
      </c>
      <c r="H3" t="str">
        <f t="shared" ref="H3:H20" si="1">IF(C3&gt;=5,"无资格","有资格")</f>
        <v>有资格</v>
      </c>
    </row>
    <row r="4" spans="1:11" x14ac:dyDescent="0.15">
      <c r="A4" t="s">
        <v>12</v>
      </c>
      <c r="B4" t="s">
        <v>13</v>
      </c>
      <c r="C4">
        <v>0</v>
      </c>
      <c r="D4">
        <v>65</v>
      </c>
      <c r="E4">
        <v>89</v>
      </c>
      <c r="F4">
        <v>98</v>
      </c>
      <c r="G4" s="1">
        <f t="shared" si="0"/>
        <v>85.4</v>
      </c>
      <c r="H4" t="str">
        <f t="shared" si="1"/>
        <v>有资格</v>
      </c>
      <c r="J4" t="s">
        <v>32</v>
      </c>
      <c r="K4">
        <f>COUNTIF(A2:A20,"化学")</f>
        <v>5</v>
      </c>
    </row>
    <row r="5" spans="1:11" x14ac:dyDescent="0.15">
      <c r="A5" t="s">
        <v>14</v>
      </c>
      <c r="B5" t="s">
        <v>15</v>
      </c>
      <c r="C5">
        <v>5</v>
      </c>
      <c r="D5">
        <v>30</v>
      </c>
      <c r="E5">
        <v>45</v>
      </c>
      <c r="F5">
        <v>50</v>
      </c>
      <c r="G5" s="1">
        <f t="shared" si="0"/>
        <v>42.5</v>
      </c>
      <c r="H5" t="str">
        <f t="shared" si="1"/>
        <v>无资格</v>
      </c>
    </row>
    <row r="6" spans="1:11" x14ac:dyDescent="0.15">
      <c r="A6" t="s">
        <v>8</v>
      </c>
      <c r="B6" t="s">
        <v>16</v>
      </c>
      <c r="C6">
        <v>0</v>
      </c>
      <c r="D6">
        <v>91</v>
      </c>
      <c r="E6">
        <v>85</v>
      </c>
      <c r="F6">
        <v>85</v>
      </c>
      <c r="G6" s="1">
        <f t="shared" si="0"/>
        <v>86.8</v>
      </c>
      <c r="H6" t="str">
        <f t="shared" si="1"/>
        <v>有资格</v>
      </c>
    </row>
    <row r="7" spans="1:11" x14ac:dyDescent="0.15">
      <c r="A7" t="s">
        <v>17</v>
      </c>
      <c r="B7" t="s">
        <v>18</v>
      </c>
      <c r="C7">
        <v>0</v>
      </c>
      <c r="D7">
        <v>77</v>
      </c>
      <c r="E7">
        <v>75</v>
      </c>
      <c r="F7">
        <v>98</v>
      </c>
      <c r="G7" s="1">
        <f t="shared" si="0"/>
        <v>84.8</v>
      </c>
      <c r="H7" t="str">
        <f t="shared" si="1"/>
        <v>有资格</v>
      </c>
    </row>
    <row r="8" spans="1:11" x14ac:dyDescent="0.15">
      <c r="A8" t="s">
        <v>12</v>
      </c>
      <c r="B8" t="s">
        <v>19</v>
      </c>
      <c r="C8">
        <v>2</v>
      </c>
      <c r="D8">
        <v>60</v>
      </c>
      <c r="E8">
        <v>78</v>
      </c>
      <c r="F8">
        <v>68</v>
      </c>
      <c r="G8" s="1">
        <f t="shared" si="0"/>
        <v>68.599999999999994</v>
      </c>
      <c r="H8" t="str">
        <f t="shared" si="1"/>
        <v>有资格</v>
      </c>
    </row>
    <row r="9" spans="1:11" x14ac:dyDescent="0.15">
      <c r="A9" t="s">
        <v>10</v>
      </c>
      <c r="B9" t="s">
        <v>20</v>
      </c>
      <c r="C9">
        <v>0</v>
      </c>
      <c r="D9">
        <v>73</v>
      </c>
      <c r="E9">
        <v>65</v>
      </c>
      <c r="F9">
        <v>89</v>
      </c>
      <c r="G9" s="1">
        <f t="shared" si="0"/>
        <v>77</v>
      </c>
      <c r="H9" t="str">
        <f t="shared" si="1"/>
        <v>有资格</v>
      </c>
    </row>
    <row r="10" spans="1:11" x14ac:dyDescent="0.15">
      <c r="A10" t="s">
        <v>10</v>
      </c>
      <c r="B10" t="s">
        <v>21</v>
      </c>
      <c r="C10">
        <v>0</v>
      </c>
      <c r="D10">
        <v>90</v>
      </c>
      <c r="E10">
        <v>95</v>
      </c>
      <c r="F10">
        <v>95</v>
      </c>
      <c r="G10" s="1">
        <f t="shared" si="0"/>
        <v>93.5</v>
      </c>
      <c r="H10" t="str">
        <f t="shared" si="1"/>
        <v>有资格</v>
      </c>
    </row>
    <row r="11" spans="1:11" x14ac:dyDescent="0.15">
      <c r="A11" t="s">
        <v>12</v>
      </c>
      <c r="B11" t="s">
        <v>22</v>
      </c>
      <c r="C11">
        <v>0</v>
      </c>
      <c r="D11">
        <v>85</v>
      </c>
      <c r="E11">
        <v>92</v>
      </c>
      <c r="F11">
        <v>65</v>
      </c>
      <c r="G11" s="1">
        <f t="shared" si="0"/>
        <v>79.099999999999994</v>
      </c>
      <c r="H11" t="str">
        <f t="shared" si="1"/>
        <v>有资格</v>
      </c>
    </row>
    <row r="12" spans="1:11" x14ac:dyDescent="0.15">
      <c r="A12" t="s">
        <v>8</v>
      </c>
      <c r="B12" t="s">
        <v>23</v>
      </c>
      <c r="C12">
        <v>1</v>
      </c>
      <c r="D12">
        <v>78</v>
      </c>
      <c r="E12">
        <v>75</v>
      </c>
      <c r="F12">
        <v>68</v>
      </c>
      <c r="G12" s="1">
        <f t="shared" si="0"/>
        <v>73.099999999999994</v>
      </c>
      <c r="H12" t="str">
        <f t="shared" si="1"/>
        <v>有资格</v>
      </c>
    </row>
    <row r="13" spans="1:11" x14ac:dyDescent="0.15">
      <c r="A13" t="s">
        <v>14</v>
      </c>
      <c r="B13" t="s">
        <v>24</v>
      </c>
      <c r="C13">
        <v>0</v>
      </c>
      <c r="D13">
        <v>69</v>
      </c>
      <c r="E13">
        <v>73</v>
      </c>
      <c r="F13">
        <v>87</v>
      </c>
      <c r="G13" s="1">
        <f t="shared" si="0"/>
        <v>77.400000000000006</v>
      </c>
      <c r="H13" t="str">
        <f t="shared" si="1"/>
        <v>有资格</v>
      </c>
    </row>
    <row r="14" spans="1:11" x14ac:dyDescent="0.15">
      <c r="A14" t="s">
        <v>17</v>
      </c>
      <c r="B14" t="s">
        <v>25</v>
      </c>
      <c r="C14">
        <v>0</v>
      </c>
      <c r="D14">
        <v>89</v>
      </c>
      <c r="E14">
        <v>69</v>
      </c>
      <c r="F14">
        <v>54</v>
      </c>
      <c r="G14" s="1">
        <f t="shared" si="0"/>
        <v>69</v>
      </c>
      <c r="H14" t="str">
        <f t="shared" si="1"/>
        <v>有资格</v>
      </c>
    </row>
    <row r="15" spans="1:11" x14ac:dyDescent="0.15">
      <c r="A15" t="s">
        <v>8</v>
      </c>
      <c r="B15" t="s">
        <v>26</v>
      </c>
      <c r="C15">
        <v>6</v>
      </c>
      <c r="D15">
        <v>20</v>
      </c>
      <c r="E15">
        <v>45</v>
      </c>
      <c r="F15">
        <v>66</v>
      </c>
      <c r="G15" s="1">
        <f t="shared" si="0"/>
        <v>45.900000000000006</v>
      </c>
      <c r="H15" t="str">
        <f t="shared" si="1"/>
        <v>无资格</v>
      </c>
    </row>
    <row r="16" spans="1:11" x14ac:dyDescent="0.15">
      <c r="A16" t="s">
        <v>12</v>
      </c>
      <c r="B16" t="s">
        <v>27</v>
      </c>
      <c r="C16">
        <v>0</v>
      </c>
      <c r="D16">
        <v>66</v>
      </c>
      <c r="E16">
        <v>89</v>
      </c>
      <c r="F16">
        <v>68</v>
      </c>
      <c r="G16" s="1">
        <f t="shared" si="0"/>
        <v>73.7</v>
      </c>
      <c r="H16" t="str">
        <f t="shared" si="1"/>
        <v>有资格</v>
      </c>
    </row>
    <row r="17" spans="1:8" x14ac:dyDescent="0.15">
      <c r="A17" t="s">
        <v>17</v>
      </c>
      <c r="B17" t="s">
        <v>28</v>
      </c>
      <c r="C17">
        <v>1</v>
      </c>
      <c r="D17">
        <v>78</v>
      </c>
      <c r="E17">
        <v>59</v>
      </c>
      <c r="F17">
        <v>76</v>
      </c>
      <c r="G17" s="1">
        <f t="shared" si="0"/>
        <v>71.5</v>
      </c>
      <c r="H17" t="str">
        <f t="shared" si="1"/>
        <v>有资格</v>
      </c>
    </row>
    <row r="18" spans="1:8" x14ac:dyDescent="0.15">
      <c r="A18" t="s">
        <v>14</v>
      </c>
      <c r="B18" t="s">
        <v>29</v>
      </c>
      <c r="C18">
        <v>0</v>
      </c>
      <c r="D18">
        <v>80</v>
      </c>
      <c r="E18">
        <v>78</v>
      </c>
      <c r="F18">
        <v>85</v>
      </c>
      <c r="G18" s="1">
        <f t="shared" si="0"/>
        <v>81.400000000000006</v>
      </c>
      <c r="H18" t="str">
        <f t="shared" si="1"/>
        <v>有资格</v>
      </c>
    </row>
    <row r="19" spans="1:8" x14ac:dyDescent="0.15">
      <c r="A19" t="s">
        <v>12</v>
      </c>
      <c r="B19" t="s">
        <v>30</v>
      </c>
      <c r="C19">
        <v>0</v>
      </c>
      <c r="D19">
        <v>63</v>
      </c>
      <c r="E19">
        <v>57</v>
      </c>
      <c r="F19">
        <v>75</v>
      </c>
      <c r="G19" s="1">
        <f t="shared" si="0"/>
        <v>66</v>
      </c>
      <c r="H19" t="str">
        <f t="shared" si="1"/>
        <v>有资格</v>
      </c>
    </row>
    <row r="20" spans="1:8" x14ac:dyDescent="0.15">
      <c r="A20" t="s">
        <v>17</v>
      </c>
      <c r="B20" t="s">
        <v>31</v>
      </c>
      <c r="C20">
        <v>0</v>
      </c>
      <c r="D20">
        <v>68</v>
      </c>
      <c r="E20">
        <v>89</v>
      </c>
      <c r="F20">
        <v>98</v>
      </c>
      <c r="G20" s="1">
        <f t="shared" si="0"/>
        <v>86.3</v>
      </c>
      <c r="H20" t="str">
        <f t="shared" si="1"/>
        <v>有资格</v>
      </c>
    </row>
    <row r="22" spans="1:8" x14ac:dyDescent="0.1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15">
      <c r="A23" t="s">
        <v>34</v>
      </c>
      <c r="H23" t="s">
        <v>36</v>
      </c>
    </row>
    <row r="25" spans="1:8" x14ac:dyDescent="0.1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15">
      <c r="A26" t="s">
        <v>8</v>
      </c>
      <c r="B26" t="s">
        <v>9</v>
      </c>
      <c r="C26">
        <v>1</v>
      </c>
      <c r="D26">
        <v>74</v>
      </c>
      <c r="E26">
        <v>78</v>
      </c>
      <c r="F26">
        <v>85</v>
      </c>
      <c r="G26" s="1">
        <v>79.599999999999994</v>
      </c>
      <c r="H26" t="s">
        <v>35</v>
      </c>
    </row>
    <row r="27" spans="1:8" x14ac:dyDescent="0.15">
      <c r="A27" t="s">
        <v>8</v>
      </c>
      <c r="B27" t="s">
        <v>16</v>
      </c>
      <c r="C27">
        <v>0</v>
      </c>
      <c r="D27">
        <v>91</v>
      </c>
      <c r="E27">
        <v>85</v>
      </c>
      <c r="F27">
        <v>85</v>
      </c>
      <c r="G27" s="1">
        <v>86.8</v>
      </c>
      <c r="H27" t="s">
        <v>35</v>
      </c>
    </row>
    <row r="28" spans="1:8" x14ac:dyDescent="0.15">
      <c r="A28" t="s">
        <v>8</v>
      </c>
      <c r="B28" t="s">
        <v>23</v>
      </c>
      <c r="C28">
        <v>1</v>
      </c>
      <c r="D28">
        <v>78</v>
      </c>
      <c r="E28">
        <v>75</v>
      </c>
      <c r="F28">
        <v>68</v>
      </c>
      <c r="G28" s="1">
        <v>73.099999999999994</v>
      </c>
      <c r="H28" t="s">
        <v>35</v>
      </c>
    </row>
  </sheetData>
  <phoneticPr fontId="1" type="noConversion"/>
  <conditionalFormatting sqref="H2:H20">
    <cfRule type="cellIs" dxfId="0" priority="1" stopIfTrue="1" operator="equal">
      <formula>"有资格"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sqref="A1:H26"/>
    </sheetView>
  </sheetViews>
  <sheetFormatPr defaultRowHeight="14.25" outlineLevelRow="2" x14ac:dyDescent="0.15"/>
  <cols>
    <col min="10" max="10" width="18.375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hidden="1" outlineLevel="2" x14ac:dyDescent="0.15">
      <c r="A2" t="s">
        <v>12</v>
      </c>
      <c r="B2" t="s">
        <v>13</v>
      </c>
      <c r="C2">
        <v>0</v>
      </c>
      <c r="D2">
        <v>65</v>
      </c>
      <c r="E2">
        <v>89</v>
      </c>
      <c r="F2">
        <v>98</v>
      </c>
      <c r="G2" s="1">
        <f>D2*0.3+E2*0.3+F2*0.4</f>
        <v>85.4</v>
      </c>
    </row>
    <row r="3" spans="1:10" hidden="1" outlineLevel="2" x14ac:dyDescent="0.15">
      <c r="A3" t="s">
        <v>12</v>
      </c>
      <c r="B3" t="s">
        <v>19</v>
      </c>
      <c r="C3">
        <v>2</v>
      </c>
      <c r="D3">
        <v>60</v>
      </c>
      <c r="E3">
        <v>78</v>
      </c>
      <c r="F3">
        <v>68</v>
      </c>
      <c r="G3" s="1">
        <f>D3*0.3+E3*0.3+F3*0.4</f>
        <v>68.599999999999994</v>
      </c>
    </row>
    <row r="4" spans="1:10" hidden="1" outlineLevel="2" x14ac:dyDescent="0.15">
      <c r="A4" t="s">
        <v>12</v>
      </c>
      <c r="B4" t="s">
        <v>22</v>
      </c>
      <c r="C4">
        <v>0</v>
      </c>
      <c r="D4">
        <v>85</v>
      </c>
      <c r="E4">
        <v>92</v>
      </c>
      <c r="F4">
        <v>65</v>
      </c>
      <c r="G4" s="1">
        <f>D4*0.3+E4*0.3+F4*0.4</f>
        <v>79.099999999999994</v>
      </c>
      <c r="J4" t="s">
        <v>33</v>
      </c>
    </row>
    <row r="5" spans="1:10" hidden="1" outlineLevel="2" x14ac:dyDescent="0.15">
      <c r="A5" t="s">
        <v>12</v>
      </c>
      <c r="B5" t="s">
        <v>27</v>
      </c>
      <c r="C5">
        <v>0</v>
      </c>
      <c r="D5">
        <v>66</v>
      </c>
      <c r="E5">
        <v>89</v>
      </c>
      <c r="F5">
        <v>68</v>
      </c>
      <c r="G5" s="1">
        <f>D5*0.3+E5*0.3+F5*0.4</f>
        <v>73.7</v>
      </c>
    </row>
    <row r="6" spans="1:10" hidden="1" outlineLevel="2" x14ac:dyDescent="0.15">
      <c r="A6" t="s">
        <v>12</v>
      </c>
      <c r="B6" t="s">
        <v>30</v>
      </c>
      <c r="C6">
        <v>0</v>
      </c>
      <c r="D6">
        <v>63</v>
      </c>
      <c r="E6">
        <v>57</v>
      </c>
      <c r="F6">
        <v>75</v>
      </c>
      <c r="G6" s="1">
        <f>D6*0.3+E6*0.3+F6*0.4</f>
        <v>66</v>
      </c>
    </row>
    <row r="7" spans="1:10" outlineLevel="1" collapsed="1" x14ac:dyDescent="0.15">
      <c r="A7" s="2" t="s">
        <v>37</v>
      </c>
      <c r="G7" s="1">
        <f>SUBTOTAL(4,G2:G6)</f>
        <v>85.4</v>
      </c>
    </row>
    <row r="8" spans="1:10" hidden="1" outlineLevel="2" x14ac:dyDescent="0.15">
      <c r="A8" t="s">
        <v>10</v>
      </c>
      <c r="B8" t="s">
        <v>11</v>
      </c>
      <c r="C8">
        <v>0</v>
      </c>
      <c r="D8">
        <v>67</v>
      </c>
      <c r="E8">
        <v>57</v>
      </c>
      <c r="F8">
        <v>75</v>
      </c>
      <c r="G8" s="1">
        <f>D8*0.3+E8*0.3+F8*0.4</f>
        <v>67.199999999999989</v>
      </c>
    </row>
    <row r="9" spans="1:10" hidden="1" outlineLevel="2" x14ac:dyDescent="0.15">
      <c r="A9" t="s">
        <v>10</v>
      </c>
      <c r="B9" t="s">
        <v>20</v>
      </c>
      <c r="C9">
        <v>0</v>
      </c>
      <c r="D9">
        <v>73</v>
      </c>
      <c r="E9">
        <v>65</v>
      </c>
      <c r="F9">
        <v>89</v>
      </c>
      <c r="G9" s="1">
        <f>D9*0.3+E9*0.3+F9*0.4</f>
        <v>77</v>
      </c>
    </row>
    <row r="10" spans="1:10" hidden="1" outlineLevel="2" x14ac:dyDescent="0.15">
      <c r="A10" t="s">
        <v>10</v>
      </c>
      <c r="B10" t="s">
        <v>21</v>
      </c>
      <c r="C10">
        <v>0</v>
      </c>
      <c r="D10">
        <v>90</v>
      </c>
      <c r="E10">
        <v>95</v>
      </c>
      <c r="F10">
        <v>95</v>
      </c>
      <c r="G10" s="1">
        <f>D10*0.3+E10*0.3+F10*0.4</f>
        <v>93.5</v>
      </c>
    </row>
    <row r="11" spans="1:10" outlineLevel="1" collapsed="1" x14ac:dyDescent="0.15">
      <c r="A11" s="3" t="s">
        <v>38</v>
      </c>
      <c r="G11" s="1">
        <f>SUBTOTAL(4,G8:G10)</f>
        <v>93.5</v>
      </c>
    </row>
    <row r="12" spans="1:10" hidden="1" outlineLevel="2" x14ac:dyDescent="0.15">
      <c r="A12" t="s">
        <v>14</v>
      </c>
      <c r="B12" t="s">
        <v>15</v>
      </c>
      <c r="C12">
        <v>5</v>
      </c>
      <c r="D12">
        <v>30</v>
      </c>
      <c r="E12">
        <v>45</v>
      </c>
      <c r="F12">
        <v>50</v>
      </c>
      <c r="G12" s="1">
        <f>D12*0.3+E12*0.3+F12*0.4</f>
        <v>42.5</v>
      </c>
    </row>
    <row r="13" spans="1:10" hidden="1" outlineLevel="2" x14ac:dyDescent="0.15">
      <c r="A13" t="s">
        <v>14</v>
      </c>
      <c r="B13" t="s">
        <v>24</v>
      </c>
      <c r="C13">
        <v>0</v>
      </c>
      <c r="D13">
        <v>69</v>
      </c>
      <c r="E13">
        <v>73</v>
      </c>
      <c r="F13">
        <v>87</v>
      </c>
      <c r="G13" s="1">
        <f>D13*0.3+E13*0.3+F13*0.4</f>
        <v>77.400000000000006</v>
      </c>
    </row>
    <row r="14" spans="1:10" hidden="1" outlineLevel="2" x14ac:dyDescent="0.15">
      <c r="A14" t="s">
        <v>14</v>
      </c>
      <c r="B14" t="s">
        <v>29</v>
      </c>
      <c r="C14">
        <v>0</v>
      </c>
      <c r="D14">
        <v>80</v>
      </c>
      <c r="E14">
        <v>78</v>
      </c>
      <c r="F14">
        <v>85</v>
      </c>
      <c r="G14" s="1">
        <f>D14*0.3+E14*0.3+F14*0.4</f>
        <v>81.400000000000006</v>
      </c>
    </row>
    <row r="15" spans="1:10" outlineLevel="1" collapsed="1" x14ac:dyDescent="0.15">
      <c r="A15" s="3" t="s">
        <v>39</v>
      </c>
      <c r="G15" s="1">
        <f>SUBTOTAL(4,G12:G14)</f>
        <v>81.400000000000006</v>
      </c>
    </row>
    <row r="16" spans="1:10" hidden="1" outlineLevel="2" x14ac:dyDescent="0.15">
      <c r="A16" t="s">
        <v>8</v>
      </c>
      <c r="B16" t="s">
        <v>9</v>
      </c>
      <c r="C16">
        <v>1</v>
      </c>
      <c r="D16">
        <v>74</v>
      </c>
      <c r="E16">
        <v>78</v>
      </c>
      <c r="F16">
        <v>85</v>
      </c>
      <c r="G16" s="1">
        <f>D16*0.3+E16*0.3+F16*0.4</f>
        <v>79.599999999999994</v>
      </c>
    </row>
    <row r="17" spans="1:7" hidden="1" outlineLevel="2" x14ac:dyDescent="0.15">
      <c r="A17" t="s">
        <v>8</v>
      </c>
      <c r="B17" t="s">
        <v>16</v>
      </c>
      <c r="C17">
        <v>0</v>
      </c>
      <c r="D17">
        <v>91</v>
      </c>
      <c r="E17">
        <v>85</v>
      </c>
      <c r="F17">
        <v>85</v>
      </c>
      <c r="G17" s="1">
        <f>D17*0.3+E17*0.3+F17*0.4</f>
        <v>86.8</v>
      </c>
    </row>
    <row r="18" spans="1:7" hidden="1" outlineLevel="2" x14ac:dyDescent="0.15">
      <c r="A18" t="s">
        <v>8</v>
      </c>
      <c r="B18" t="s">
        <v>23</v>
      </c>
      <c r="C18">
        <v>1</v>
      </c>
      <c r="D18">
        <v>78</v>
      </c>
      <c r="E18">
        <v>75</v>
      </c>
      <c r="F18">
        <v>68</v>
      </c>
      <c r="G18" s="1">
        <f>D18*0.3+E18*0.3+F18*0.4</f>
        <v>73.099999999999994</v>
      </c>
    </row>
    <row r="19" spans="1:7" hidden="1" outlineLevel="2" x14ac:dyDescent="0.15">
      <c r="A19" t="s">
        <v>8</v>
      </c>
      <c r="B19" t="s">
        <v>26</v>
      </c>
      <c r="C19">
        <v>6</v>
      </c>
      <c r="D19">
        <v>20</v>
      </c>
      <c r="E19">
        <v>45</v>
      </c>
      <c r="F19">
        <v>66</v>
      </c>
      <c r="G19" s="1">
        <f>D19*0.3+E19*0.3+F19*0.4</f>
        <v>45.900000000000006</v>
      </c>
    </row>
    <row r="20" spans="1:7" outlineLevel="1" collapsed="1" x14ac:dyDescent="0.15">
      <c r="A20" s="3" t="s">
        <v>40</v>
      </c>
      <c r="G20" s="1">
        <f>SUBTOTAL(4,G16:G19)</f>
        <v>86.8</v>
      </c>
    </row>
    <row r="21" spans="1:7" hidden="1" outlineLevel="2" x14ac:dyDescent="0.15">
      <c r="A21" t="s">
        <v>17</v>
      </c>
      <c r="B21" t="s">
        <v>18</v>
      </c>
      <c r="C21">
        <v>0</v>
      </c>
      <c r="D21">
        <v>77</v>
      </c>
      <c r="E21">
        <v>75</v>
      </c>
      <c r="F21">
        <v>98</v>
      </c>
      <c r="G21" s="1">
        <f>D21*0.3+E21*0.3+F21*0.4</f>
        <v>84.8</v>
      </c>
    </row>
    <row r="22" spans="1:7" hidden="1" outlineLevel="2" x14ac:dyDescent="0.15">
      <c r="A22" t="s">
        <v>17</v>
      </c>
      <c r="B22" t="s">
        <v>25</v>
      </c>
      <c r="C22">
        <v>0</v>
      </c>
      <c r="D22">
        <v>89</v>
      </c>
      <c r="E22">
        <v>69</v>
      </c>
      <c r="F22">
        <v>54</v>
      </c>
      <c r="G22" s="1">
        <f>D22*0.3+E22*0.3+F22*0.4</f>
        <v>69</v>
      </c>
    </row>
    <row r="23" spans="1:7" hidden="1" outlineLevel="2" x14ac:dyDescent="0.15">
      <c r="A23" t="s">
        <v>17</v>
      </c>
      <c r="B23" t="s">
        <v>28</v>
      </c>
      <c r="C23">
        <v>1</v>
      </c>
      <c r="D23">
        <v>78</v>
      </c>
      <c r="E23">
        <v>59</v>
      </c>
      <c r="F23">
        <v>76</v>
      </c>
      <c r="G23" s="1">
        <f>D23*0.3+E23*0.3+F23*0.4</f>
        <v>71.5</v>
      </c>
    </row>
    <row r="24" spans="1:7" hidden="1" outlineLevel="2" x14ac:dyDescent="0.15">
      <c r="A24" t="s">
        <v>17</v>
      </c>
      <c r="B24" t="s">
        <v>31</v>
      </c>
      <c r="C24">
        <v>0</v>
      </c>
      <c r="D24">
        <v>68</v>
      </c>
      <c r="E24">
        <v>89</v>
      </c>
      <c r="F24">
        <v>98</v>
      </c>
      <c r="G24" s="1">
        <f>D24*0.3+E24*0.3+F24*0.4</f>
        <v>86.3</v>
      </c>
    </row>
    <row r="25" spans="1:7" outlineLevel="1" collapsed="1" x14ac:dyDescent="0.15">
      <c r="A25" s="3" t="s">
        <v>41</v>
      </c>
      <c r="G25" s="1">
        <f>SUBTOTAL(4,G21:G24)</f>
        <v>86.3</v>
      </c>
    </row>
    <row r="26" spans="1:7" x14ac:dyDescent="0.15">
      <c r="A26" s="3" t="s">
        <v>42</v>
      </c>
      <c r="G26" s="1">
        <f>SUBTOTAL(4,G2:G24)</f>
        <v>93.5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选修课成绩单</vt:lpstr>
      <vt:lpstr>Sheet2</vt:lpstr>
      <vt:lpstr>分类汇总</vt:lpstr>
      <vt:lpstr>Sheet3</vt:lpstr>
      <vt:lpstr>选修课成绩单!Criteria</vt:lpstr>
      <vt:lpstr>选修课成绩单!提取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2019-09-16T01:40:06Z</dcterms:modified>
</cp:coreProperties>
</file>