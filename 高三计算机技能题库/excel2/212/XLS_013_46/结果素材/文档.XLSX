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产品销售情况" sheetId="1" r:id="rId1"/>
    <sheet name="产品4" sheetId="2" r:id="rId2"/>
    <sheet name="某单位人员情况表" sheetId="3" r:id="rId3"/>
  </sheets>
  <definedNames>
    <definedName name="_xlnm._FilterDatabase" localSheetId="2" hidden="1">某单位人员情况表!$A$2:$G$32</definedName>
    <definedName name="_xlnm.Criteria" localSheetId="2">某单位人员情况表!$A$34:$B$35</definedName>
    <definedName name="_xlnm.Extract" localSheetId="2">某单位人员情况表!$A$37:$G$37</definedName>
  </definedNames>
  <calcPr calcId="144525"/>
</workbook>
</file>

<file path=xl/calcChain.xml><?xml version="1.0" encoding="utf-8"?>
<calcChain xmlns="http://schemas.openxmlformats.org/spreadsheetml/2006/main">
  <c r="C7" i="1" l="1"/>
  <c r="D7" i="1"/>
  <c r="B7" i="1"/>
  <c r="F5" i="1"/>
  <c r="F6" i="1"/>
  <c r="E4" i="1"/>
  <c r="F4" i="1" s="1"/>
  <c r="F7" i="1" s="1"/>
  <c r="E5" i="1"/>
  <c r="E6" i="1"/>
  <c r="E3" i="1"/>
  <c r="E7" i="1" l="1"/>
</calcChain>
</file>

<file path=xl/sharedStrings.xml><?xml version="1.0" encoding="utf-8"?>
<sst xmlns="http://schemas.openxmlformats.org/spreadsheetml/2006/main" count="170" uniqueCount="87">
  <si>
    <t>部门名称</t>
  </si>
  <si>
    <r>
      <t>产品</t>
    </r>
    <r>
      <rPr>
        <sz val="10"/>
        <rFont val="Times New Roman"/>
        <family val="1"/>
      </rPr>
      <t>1</t>
    </r>
    <phoneticPr fontId="5" type="noConversion"/>
  </si>
  <si>
    <r>
      <t>产品</t>
    </r>
    <r>
      <rPr>
        <sz val="10"/>
        <rFont val="Times New Roman"/>
        <family val="1"/>
      </rPr>
      <t>2</t>
    </r>
    <phoneticPr fontId="5" type="noConversion"/>
  </si>
  <si>
    <r>
      <t>产品</t>
    </r>
    <r>
      <rPr>
        <sz val="10"/>
        <rFont val="Times New Roman"/>
        <family val="1"/>
      </rPr>
      <t>3</t>
    </r>
    <phoneticPr fontId="5" type="noConversion"/>
  </si>
  <si>
    <t>合计</t>
  </si>
  <si>
    <r>
      <t>部门</t>
    </r>
    <r>
      <rPr>
        <sz val="10"/>
        <rFont val="Times New Roman"/>
        <family val="1"/>
      </rPr>
      <t>1</t>
    </r>
    <phoneticPr fontId="5" type="noConversion"/>
  </si>
  <si>
    <r>
      <t>部门</t>
    </r>
    <r>
      <rPr>
        <sz val="10"/>
        <rFont val="Times New Roman"/>
        <family val="1"/>
      </rPr>
      <t>2</t>
    </r>
    <phoneticPr fontId="5" type="noConversion"/>
  </si>
  <si>
    <r>
      <t>部门</t>
    </r>
    <r>
      <rPr>
        <sz val="10"/>
        <rFont val="Times New Roman"/>
        <family val="1"/>
      </rPr>
      <t>3</t>
    </r>
    <phoneticPr fontId="5" type="noConversion"/>
  </si>
  <si>
    <r>
      <t>产品</t>
    </r>
    <r>
      <rPr>
        <sz val="10"/>
        <rFont val="Times New Roman"/>
        <family val="1"/>
      </rPr>
      <t>4</t>
    </r>
    <phoneticPr fontId="5" type="noConversion"/>
  </si>
  <si>
    <t>某单位人员情况表</t>
    <phoneticPr fontId="2" type="noConversion"/>
  </si>
  <si>
    <t>部门</t>
    <phoneticPr fontId="2" type="noConversion"/>
  </si>
  <si>
    <t>编号</t>
    <phoneticPr fontId="2" type="noConversion"/>
  </si>
  <si>
    <t>姓名</t>
    <phoneticPr fontId="2" type="noConversion"/>
  </si>
  <si>
    <t>性别</t>
    <phoneticPr fontId="2" type="noConversion"/>
  </si>
  <si>
    <t>基本工资</t>
    <phoneticPr fontId="2" type="noConversion"/>
  </si>
  <si>
    <t>各项补帖</t>
    <phoneticPr fontId="2" type="noConversion"/>
  </si>
  <si>
    <t>工会费</t>
    <phoneticPr fontId="2" type="noConversion"/>
  </si>
  <si>
    <t>财务处</t>
    <phoneticPr fontId="2" type="noConversion"/>
  </si>
  <si>
    <t>001</t>
    <phoneticPr fontId="2" type="noConversion"/>
  </si>
  <si>
    <t>王茵</t>
    <phoneticPr fontId="2" type="noConversion"/>
  </si>
  <si>
    <t>女</t>
    <phoneticPr fontId="2" type="noConversion"/>
  </si>
  <si>
    <t>002</t>
  </si>
  <si>
    <t>朱一样</t>
    <phoneticPr fontId="2" type="noConversion"/>
  </si>
  <si>
    <t>男</t>
    <phoneticPr fontId="2" type="noConversion"/>
  </si>
  <si>
    <t>003</t>
  </si>
  <si>
    <t>方虹</t>
    <phoneticPr fontId="2" type="noConversion"/>
  </si>
  <si>
    <t>人事处</t>
    <phoneticPr fontId="2" type="noConversion"/>
  </si>
  <si>
    <t>004</t>
  </si>
  <si>
    <t>韦唯</t>
    <phoneticPr fontId="2" type="noConversion"/>
  </si>
  <si>
    <t>计算中心</t>
    <phoneticPr fontId="2" type="noConversion"/>
  </si>
  <si>
    <t>005</t>
  </si>
  <si>
    <t>金丽雯</t>
    <phoneticPr fontId="2" type="noConversion"/>
  </si>
  <si>
    <t>006</t>
  </si>
  <si>
    <t>林建伟</t>
    <phoneticPr fontId="2" type="noConversion"/>
  </si>
  <si>
    <t>007</t>
  </si>
  <si>
    <t>吴贻</t>
    <phoneticPr fontId="2" type="noConversion"/>
  </si>
  <si>
    <t>教导处</t>
    <phoneticPr fontId="2" type="noConversion"/>
  </si>
  <si>
    <t>008</t>
  </si>
  <si>
    <t>李瑞生</t>
    <phoneticPr fontId="2" type="noConversion"/>
  </si>
  <si>
    <t>009</t>
  </si>
  <si>
    <t>徐建峰</t>
    <phoneticPr fontId="2" type="noConversion"/>
  </si>
  <si>
    <t>010</t>
  </si>
  <si>
    <r>
      <t>王咏</t>
    </r>
    <r>
      <rPr>
        <sz val="9"/>
        <rFont val="Times New Roman"/>
        <family val="1"/>
      </rPr>
      <t xml:space="preserve"> </t>
    </r>
    <phoneticPr fontId="2" type="noConversion"/>
  </si>
  <si>
    <t>011</t>
  </si>
  <si>
    <t>杜秋林</t>
    <phoneticPr fontId="2" type="noConversion"/>
  </si>
  <si>
    <t>综合处</t>
    <phoneticPr fontId="2" type="noConversion"/>
  </si>
  <si>
    <t>012</t>
  </si>
  <si>
    <t>蒋湛</t>
    <phoneticPr fontId="2" type="noConversion"/>
  </si>
  <si>
    <t>013</t>
  </si>
  <si>
    <t>丁伟</t>
    <phoneticPr fontId="2" type="noConversion"/>
  </si>
  <si>
    <t>014</t>
  </si>
  <si>
    <t>冯晓钢</t>
    <phoneticPr fontId="2" type="noConversion"/>
  </si>
  <si>
    <t>015</t>
  </si>
  <si>
    <t>赵建军</t>
    <phoneticPr fontId="2" type="noConversion"/>
  </si>
  <si>
    <t>016</t>
  </si>
  <si>
    <t>赵悦</t>
    <phoneticPr fontId="2" type="noConversion"/>
  </si>
  <si>
    <t>017</t>
  </si>
  <si>
    <t>陈莉</t>
    <phoneticPr fontId="2" type="noConversion"/>
  </si>
  <si>
    <t>018</t>
  </si>
  <si>
    <t>王沁</t>
    <phoneticPr fontId="2" type="noConversion"/>
  </si>
  <si>
    <t>019</t>
  </si>
  <si>
    <t>张扬</t>
    <phoneticPr fontId="2" type="noConversion"/>
  </si>
  <si>
    <t>020</t>
  </si>
  <si>
    <t>吴强</t>
    <phoneticPr fontId="2" type="noConversion"/>
  </si>
  <si>
    <t>021</t>
    <phoneticPr fontId="2" type="noConversion"/>
  </si>
  <si>
    <t>汤小怡</t>
    <phoneticPr fontId="2" type="noConversion"/>
  </si>
  <si>
    <t>022</t>
    <phoneticPr fontId="2" type="noConversion"/>
  </si>
  <si>
    <t>何建强</t>
    <phoneticPr fontId="2" type="noConversion"/>
  </si>
  <si>
    <t>023</t>
    <phoneticPr fontId="2" type="noConversion"/>
  </si>
  <si>
    <t>方芳</t>
    <phoneticPr fontId="2" type="noConversion"/>
  </si>
  <si>
    <t>024</t>
    <phoneticPr fontId="2" type="noConversion"/>
  </si>
  <si>
    <t>林巍</t>
    <phoneticPr fontId="2" type="noConversion"/>
  </si>
  <si>
    <t>025</t>
    <phoneticPr fontId="2" type="noConversion"/>
  </si>
  <si>
    <t>俞岚</t>
    <phoneticPr fontId="2" type="noConversion"/>
  </si>
  <si>
    <t>026</t>
    <phoneticPr fontId="2" type="noConversion"/>
  </si>
  <si>
    <t>陈妍</t>
    <phoneticPr fontId="2" type="noConversion"/>
  </si>
  <si>
    <t>027</t>
    <phoneticPr fontId="2" type="noConversion"/>
  </si>
  <si>
    <t>张晓林</t>
    <phoneticPr fontId="2" type="noConversion"/>
  </si>
  <si>
    <t>028</t>
    <phoneticPr fontId="2" type="noConversion"/>
  </si>
  <si>
    <t>恽晖</t>
    <phoneticPr fontId="2" type="noConversion"/>
  </si>
  <si>
    <t>029</t>
    <phoneticPr fontId="2" type="noConversion"/>
  </si>
  <si>
    <t>徐茜</t>
    <phoneticPr fontId="2" type="noConversion"/>
  </si>
  <si>
    <t>030</t>
    <phoneticPr fontId="2" type="noConversion"/>
  </si>
  <si>
    <r>
      <t>沈晔</t>
    </r>
    <r>
      <rPr>
        <sz val="9"/>
        <rFont val="Times New Roman"/>
        <family val="1"/>
      </rPr>
      <t xml:space="preserve"> </t>
    </r>
    <phoneticPr fontId="2" type="noConversion"/>
  </si>
  <si>
    <t>某单位销售统计报表（二月）</t>
    <phoneticPr fontId="5" type="noConversion"/>
  </si>
  <si>
    <t>&gt;1000</t>
    <phoneticPr fontId="2" type="noConversion"/>
  </si>
  <si>
    <t>&gt;25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</si>
</sst>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8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8"/>
      <name val="Verdana"/>
      <family val="2"/>
    </font>
    <font>
      <sz val="9"/>
      <name val="Times New Roman"/>
      <family val="1"/>
    </font>
    <font>
      <b/>
      <sz val="16"/>
      <color indexed="10"/>
      <name val="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10"/>
      </left>
      <right style="thin">
        <color indexed="17"/>
      </right>
      <top style="double">
        <color indexed="10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double">
        <color indexed="10"/>
      </top>
      <bottom style="thin">
        <color indexed="17"/>
      </bottom>
      <diagonal/>
    </border>
    <border>
      <left style="thin">
        <color indexed="17"/>
      </left>
      <right style="double">
        <color indexed="10"/>
      </right>
      <top style="double">
        <color indexed="10"/>
      </top>
      <bottom style="thin">
        <color indexed="17"/>
      </bottom>
      <diagonal/>
    </border>
    <border>
      <left style="double">
        <color indexed="10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double">
        <color indexed="10"/>
      </right>
      <top style="thin">
        <color indexed="17"/>
      </top>
      <bottom style="thin">
        <color indexed="17"/>
      </bottom>
      <diagonal/>
    </border>
    <border>
      <left style="double">
        <color indexed="10"/>
      </left>
      <right style="thin">
        <color indexed="17"/>
      </right>
      <top style="thin">
        <color indexed="17"/>
      </top>
      <bottom style="double">
        <color indexed="10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double">
        <color indexed="10"/>
      </bottom>
      <diagonal/>
    </border>
    <border>
      <left style="thin">
        <color indexed="17"/>
      </left>
      <right style="double">
        <color indexed="10"/>
      </right>
      <top style="thin">
        <color indexed="17"/>
      </top>
      <bottom style="double">
        <color indexed="1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horizontal="center"/>
    </xf>
    <xf numFmtId="43" fontId="4" fillId="0" borderId="1" xfId="1" applyFont="1" applyBorder="1"/>
    <xf numFmtId="0" fontId="2" fillId="0" borderId="0" xfId="0" applyFont="1" applyAlignment="1">
      <alignment horizontal="centerContinuous" vertical="center"/>
    </xf>
    <xf numFmtId="0" fontId="2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3" fontId="4" fillId="0" borderId="9" xfId="1" applyFont="1" applyBorder="1" applyAlignment="1">
      <alignment horizontal="center" vertical="center"/>
    </xf>
    <xf numFmtId="43" fontId="4" fillId="0" borderId="1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各部门产品</a:t>
            </a:r>
            <a:r>
              <a:rPr lang="en-US" altLang="zh-CN"/>
              <a:t>3</a:t>
            </a:r>
            <a:r>
              <a:rPr lang="zh-CN" altLang="en-US"/>
              <a:t>销售情况</a:t>
            </a:r>
          </a:p>
        </c:rich>
      </c:tx>
      <c:layout>
        <c:manualLayout>
          <c:xMode val="edge"/>
          <c:yMode val="edge"/>
          <c:x val="0.33950685504045913"/>
          <c:y val="3.75426621160409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777833594219381"/>
          <c:y val="0.30716723549488056"/>
          <c:w val="0.30452736088477544"/>
          <c:h val="0.50511945392491464"/>
        </c:manualLayout>
      </c:layout>
      <c:pieChart>
        <c:varyColors val="1"/>
        <c:ser>
          <c:idx val="0"/>
          <c:order val="0"/>
          <c:tx>
            <c:strRef>
              <c:f>产品销售情况!$D$3</c:f>
              <c:strCache>
                <c:ptCount val="1"/>
                <c:pt idx="0">
                  <c:v>产品3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产品销售情况!$A$4:$A$6</c:f>
              <c:strCache>
                <c:ptCount val="3"/>
                <c:pt idx="0">
                  <c:v>部门1</c:v>
                </c:pt>
                <c:pt idx="1">
                  <c:v>部门2</c:v>
                </c:pt>
                <c:pt idx="2">
                  <c:v>部门3</c:v>
                </c:pt>
              </c:strCache>
            </c:strRef>
          </c:cat>
          <c:val>
            <c:numRef>
              <c:f>产品销售情况!$D$4:$D$6</c:f>
              <c:numCache>
                <c:formatCode>_(* #,##0.00_);_(* \(#,##0.00\);_(* "-"??_);_(@_)</c:formatCode>
                <c:ptCount val="3"/>
                <c:pt idx="0">
                  <c:v>8135</c:v>
                </c:pt>
                <c:pt idx="1">
                  <c:v>4356</c:v>
                </c:pt>
                <c:pt idx="2">
                  <c:v>6118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185356355606101"/>
          <c:y val="0.45051194539249145"/>
          <c:w val="0.13168750740963261"/>
          <c:h val="0.2184300341296928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13</xdr:row>
      <xdr:rowOff>38100</xdr:rowOff>
    </xdr:from>
    <xdr:to>
      <xdr:col>11</xdr:col>
      <xdr:colOff>152400</xdr:colOff>
      <xdr:row>28</xdr:row>
      <xdr:rowOff>114300</xdr:rowOff>
    </xdr:to>
    <xdr:graphicFrame macro="">
      <xdr:nvGraphicFramePr>
        <xdr:cNvPr id="1025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8"/>
  <sheetViews>
    <sheetView tabSelected="1" workbookViewId="0">
      <selection activeCell="A3" sqref="A3:F7"/>
    </sheetView>
  </sheetViews>
  <sheetFormatPr defaultRowHeight="14.25" x14ac:dyDescent="0.15"/>
  <cols>
    <col min="2" max="4" width="11.25" bestFit="1" customWidth="1"/>
    <col min="5" max="5" width="11.25" customWidth="1"/>
    <col min="6" max="6" width="11.25" bestFit="1" customWidth="1"/>
  </cols>
  <sheetData>
    <row r="1" spans="1:6" ht="30" customHeight="1" x14ac:dyDescent="0.15">
      <c r="A1" s="17" t="s">
        <v>84</v>
      </c>
      <c r="B1" s="17"/>
      <c r="C1" s="17"/>
      <c r="D1" s="17"/>
      <c r="E1" s="17"/>
      <c r="F1" s="17"/>
    </row>
    <row r="2" spans="1:6" ht="15" thickBot="1" x14ac:dyDescent="0.2"/>
    <row r="3" spans="1:6" ht="15" thickTop="1" x14ac:dyDescent="0.15">
      <c r="A3" s="8" t="s">
        <v>0</v>
      </c>
      <c r="B3" s="9" t="s">
        <v>1</v>
      </c>
      <c r="C3" s="9" t="s">
        <v>2</v>
      </c>
      <c r="D3" s="9" t="s">
        <v>3</v>
      </c>
      <c r="E3" s="9" t="str">
        <f>产品4!A1</f>
        <v>产品4</v>
      </c>
      <c r="F3" s="10" t="s">
        <v>4</v>
      </c>
    </row>
    <row r="4" spans="1:6" x14ac:dyDescent="0.15">
      <c r="A4" s="11" t="s">
        <v>5</v>
      </c>
      <c r="B4" s="12">
        <v>6687</v>
      </c>
      <c r="C4" s="12">
        <v>6001</v>
      </c>
      <c r="D4" s="12">
        <v>8135</v>
      </c>
      <c r="E4" s="12">
        <f>产品4!A2</f>
        <v>5765</v>
      </c>
      <c r="F4" s="13">
        <f>SUM(B4:E4)</f>
        <v>26588</v>
      </c>
    </row>
    <row r="5" spans="1:6" x14ac:dyDescent="0.15">
      <c r="A5" s="11" t="s">
        <v>6</v>
      </c>
      <c r="B5" s="12">
        <v>6369</v>
      </c>
      <c r="C5" s="12">
        <v>5984</v>
      </c>
      <c r="D5" s="12">
        <v>4356</v>
      </c>
      <c r="E5" s="12">
        <f>产品4!A3</f>
        <v>6356</v>
      </c>
      <c r="F5" s="13">
        <f>SUM(B5:E5)</f>
        <v>23065</v>
      </c>
    </row>
    <row r="6" spans="1:6" x14ac:dyDescent="0.15">
      <c r="A6" s="11" t="s">
        <v>7</v>
      </c>
      <c r="B6" s="12">
        <v>5896</v>
      </c>
      <c r="C6" s="12">
        <v>8003</v>
      </c>
      <c r="D6" s="12">
        <v>6118</v>
      </c>
      <c r="E6" s="12">
        <f>产品4!A4</f>
        <v>4321</v>
      </c>
      <c r="F6" s="13">
        <f>SUM(B6:E6)</f>
        <v>24338</v>
      </c>
    </row>
    <row r="7" spans="1:6" ht="15" thickBot="1" x14ac:dyDescent="0.2">
      <c r="A7" s="14" t="s">
        <v>4</v>
      </c>
      <c r="B7" s="15">
        <f>SUM(B4:B6)</f>
        <v>18952</v>
      </c>
      <c r="C7" s="15">
        <f>SUM(C4:C6)</f>
        <v>19988</v>
      </c>
      <c r="D7" s="15">
        <f>SUM(D4:D6)</f>
        <v>18609</v>
      </c>
      <c r="E7" s="15">
        <f>SUM(E4:E6)</f>
        <v>16442</v>
      </c>
      <c r="F7" s="16">
        <f>SUM(F4:F6)</f>
        <v>73991</v>
      </c>
    </row>
    <row r="8" spans="1:6" ht="15" thickTop="1" x14ac:dyDescent="0.15"/>
  </sheetData>
  <mergeCells count="1">
    <mergeCell ref="A1:F1"/>
  </mergeCells>
  <phoneticPr fontId="5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4"/>
  <sheetViews>
    <sheetView workbookViewId="0">
      <selection activeCell="C12" sqref="C12"/>
    </sheetView>
  </sheetViews>
  <sheetFormatPr defaultRowHeight="14.25" x14ac:dyDescent="0.15"/>
  <sheetData>
    <row r="1" spans="1:1" ht="15" x14ac:dyDescent="0.2">
      <c r="A1" s="1" t="s">
        <v>8</v>
      </c>
    </row>
    <row r="2" spans="1:1" ht="15" x14ac:dyDescent="0.2">
      <c r="A2" s="2">
        <v>5765</v>
      </c>
    </row>
    <row r="3" spans="1:1" ht="15" x14ac:dyDescent="0.2">
      <c r="A3" s="2">
        <v>6356</v>
      </c>
    </row>
    <row r="4" spans="1:1" ht="15" x14ac:dyDescent="0.2">
      <c r="A4" s="2">
        <v>4321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2"/>
  <sheetViews>
    <sheetView topLeftCell="A17" workbookViewId="0">
      <selection activeCell="A11" sqref="A11"/>
    </sheetView>
  </sheetViews>
  <sheetFormatPr defaultRowHeight="14.25" x14ac:dyDescent="0.15"/>
  <sheetData>
    <row r="1" spans="1:7" x14ac:dyDescent="0.15">
      <c r="A1" s="3" t="s">
        <v>9</v>
      </c>
      <c r="B1" s="3"/>
      <c r="C1" s="3"/>
      <c r="D1" s="3"/>
      <c r="E1" s="3"/>
      <c r="F1" s="3"/>
      <c r="G1" s="3"/>
    </row>
    <row r="2" spans="1:7" x14ac:dyDescent="0.1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</row>
    <row r="3" spans="1:7" ht="15" x14ac:dyDescent="0.2">
      <c r="A3" s="4" t="s">
        <v>17</v>
      </c>
      <c r="B3" s="5" t="s">
        <v>18</v>
      </c>
      <c r="C3" s="4" t="s">
        <v>19</v>
      </c>
      <c r="D3" s="4" t="s">
        <v>20</v>
      </c>
      <c r="E3" s="4">
        <v>980</v>
      </c>
      <c r="F3" s="4">
        <v>78</v>
      </c>
      <c r="G3" s="4">
        <v>22</v>
      </c>
    </row>
    <row r="4" spans="1:7" ht="15" x14ac:dyDescent="0.2">
      <c r="A4" s="4" t="s">
        <v>17</v>
      </c>
      <c r="B4" s="5" t="s">
        <v>21</v>
      </c>
      <c r="C4" s="4" t="s">
        <v>22</v>
      </c>
      <c r="D4" s="4" t="s">
        <v>23</v>
      </c>
      <c r="E4" s="4">
        <v>650</v>
      </c>
      <c r="F4" s="4">
        <v>57</v>
      </c>
      <c r="G4" s="4">
        <v>12</v>
      </c>
    </row>
    <row r="5" spans="1:7" ht="15" x14ac:dyDescent="0.2">
      <c r="A5" s="4" t="s">
        <v>17</v>
      </c>
      <c r="B5" s="5" t="s">
        <v>24</v>
      </c>
      <c r="C5" s="4" t="s">
        <v>25</v>
      </c>
      <c r="D5" s="4" t="s">
        <v>20</v>
      </c>
      <c r="E5" s="4">
        <v>670</v>
      </c>
      <c r="F5" s="4">
        <v>89</v>
      </c>
      <c r="G5" s="4">
        <v>15</v>
      </c>
    </row>
    <row r="6" spans="1:7" ht="15" x14ac:dyDescent="0.2">
      <c r="A6" s="4" t="s">
        <v>26</v>
      </c>
      <c r="B6" s="5" t="s">
        <v>27</v>
      </c>
      <c r="C6" s="4" t="s">
        <v>28</v>
      </c>
      <c r="D6" s="4" t="s">
        <v>23</v>
      </c>
      <c r="E6" s="4">
        <v>1000</v>
      </c>
      <c r="F6" s="4">
        <v>73</v>
      </c>
      <c r="G6" s="4">
        <v>26</v>
      </c>
    </row>
    <row r="7" spans="1:7" ht="15" x14ac:dyDescent="0.2">
      <c r="A7" s="4" t="s">
        <v>29</v>
      </c>
      <c r="B7" s="5" t="s">
        <v>30</v>
      </c>
      <c r="C7" s="4" t="s">
        <v>31</v>
      </c>
      <c r="D7" s="4" t="s">
        <v>20</v>
      </c>
      <c r="E7" s="4">
        <v>1200</v>
      </c>
      <c r="F7" s="4">
        <v>85</v>
      </c>
      <c r="G7" s="4">
        <v>28</v>
      </c>
    </row>
    <row r="8" spans="1:7" ht="15" x14ac:dyDescent="0.2">
      <c r="A8" s="4" t="s">
        <v>29</v>
      </c>
      <c r="B8" s="5" t="s">
        <v>32</v>
      </c>
      <c r="C8" s="4" t="s">
        <v>33</v>
      </c>
      <c r="D8" s="4" t="s">
        <v>23</v>
      </c>
      <c r="E8" s="4">
        <v>790</v>
      </c>
      <c r="F8" s="4">
        <v>75</v>
      </c>
      <c r="G8" s="4">
        <v>20</v>
      </c>
    </row>
    <row r="9" spans="1:7" ht="15" x14ac:dyDescent="0.2">
      <c r="A9" s="4" t="s">
        <v>29</v>
      </c>
      <c r="B9" s="5" t="s">
        <v>34</v>
      </c>
      <c r="C9" s="4" t="s">
        <v>35</v>
      </c>
      <c r="D9" s="4" t="s">
        <v>23</v>
      </c>
      <c r="E9" s="4">
        <v>885</v>
      </c>
      <c r="F9" s="4">
        <v>85</v>
      </c>
      <c r="G9" s="4">
        <v>22</v>
      </c>
    </row>
    <row r="10" spans="1:7" ht="15" x14ac:dyDescent="0.2">
      <c r="A10" s="4" t="s">
        <v>36</v>
      </c>
      <c r="B10" s="5" t="s">
        <v>37</v>
      </c>
      <c r="C10" s="4" t="s">
        <v>38</v>
      </c>
      <c r="D10" s="4" t="s">
        <v>23</v>
      </c>
      <c r="E10" s="4">
        <v>760</v>
      </c>
      <c r="F10" s="4">
        <v>65</v>
      </c>
      <c r="G10" s="4">
        <v>18</v>
      </c>
    </row>
    <row r="11" spans="1:7" ht="15" x14ac:dyDescent="0.2">
      <c r="A11" s="4" t="s">
        <v>29</v>
      </c>
      <c r="B11" s="5" t="s">
        <v>39</v>
      </c>
      <c r="C11" s="4" t="s">
        <v>40</v>
      </c>
      <c r="D11" s="4" t="s">
        <v>23</v>
      </c>
      <c r="E11" s="4">
        <v>1200</v>
      </c>
      <c r="F11" s="4">
        <v>95</v>
      </c>
      <c r="G11" s="4">
        <v>25</v>
      </c>
    </row>
    <row r="12" spans="1:7" ht="15" x14ac:dyDescent="0.2">
      <c r="A12" s="4" t="s">
        <v>29</v>
      </c>
      <c r="B12" s="5" t="s">
        <v>41</v>
      </c>
      <c r="C12" s="4" t="s">
        <v>42</v>
      </c>
      <c r="D12" s="4" t="s">
        <v>23</v>
      </c>
      <c r="E12" s="4">
        <v>1500</v>
      </c>
      <c r="F12" s="4">
        <v>92</v>
      </c>
      <c r="G12" s="4">
        <v>28</v>
      </c>
    </row>
    <row r="13" spans="1:7" ht="15" x14ac:dyDescent="0.2">
      <c r="A13" s="4" t="s">
        <v>29</v>
      </c>
      <c r="B13" s="5" t="s">
        <v>43</v>
      </c>
      <c r="C13" s="4" t="s">
        <v>44</v>
      </c>
      <c r="D13" s="4" t="s">
        <v>23</v>
      </c>
      <c r="E13" s="4">
        <v>658</v>
      </c>
      <c r="F13" s="4">
        <v>85</v>
      </c>
      <c r="G13" s="4">
        <v>12</v>
      </c>
    </row>
    <row r="14" spans="1:7" ht="15" x14ac:dyDescent="0.2">
      <c r="A14" s="4" t="s">
        <v>45</v>
      </c>
      <c r="B14" s="5" t="s">
        <v>46</v>
      </c>
      <c r="C14" s="4" t="s">
        <v>47</v>
      </c>
      <c r="D14" s="4" t="s">
        <v>23</v>
      </c>
      <c r="E14" s="4">
        <v>550</v>
      </c>
      <c r="F14" s="4">
        <v>73</v>
      </c>
      <c r="G14" s="4">
        <v>12</v>
      </c>
    </row>
    <row r="15" spans="1:7" ht="15" x14ac:dyDescent="0.2">
      <c r="A15" s="4" t="s">
        <v>36</v>
      </c>
      <c r="B15" s="5" t="s">
        <v>48</v>
      </c>
      <c r="C15" s="4" t="s">
        <v>49</v>
      </c>
      <c r="D15" s="4" t="s">
        <v>23</v>
      </c>
      <c r="E15" s="4">
        <v>570</v>
      </c>
      <c r="F15" s="4">
        <v>69</v>
      </c>
      <c r="G15" s="4">
        <v>10</v>
      </c>
    </row>
    <row r="16" spans="1:7" ht="15" x14ac:dyDescent="0.2">
      <c r="A16" s="4" t="s">
        <v>36</v>
      </c>
      <c r="B16" s="5" t="s">
        <v>50</v>
      </c>
      <c r="C16" s="4" t="s">
        <v>51</v>
      </c>
      <c r="D16" s="4" t="s">
        <v>23</v>
      </c>
      <c r="E16" s="4">
        <v>920</v>
      </c>
      <c r="F16" s="4">
        <v>68</v>
      </c>
      <c r="G16" s="4">
        <v>20</v>
      </c>
    </row>
    <row r="17" spans="1:7" ht="15" x14ac:dyDescent="0.2">
      <c r="A17" s="4" t="s">
        <v>36</v>
      </c>
      <c r="B17" s="5" t="s">
        <v>52</v>
      </c>
      <c r="C17" s="4" t="s">
        <v>53</v>
      </c>
      <c r="D17" s="4" t="s">
        <v>23</v>
      </c>
      <c r="E17" s="4">
        <v>630</v>
      </c>
      <c r="F17" s="4">
        <v>89</v>
      </c>
      <c r="G17" s="4">
        <v>12</v>
      </c>
    </row>
    <row r="18" spans="1:7" ht="15" x14ac:dyDescent="0.2">
      <c r="A18" s="4" t="s">
        <v>45</v>
      </c>
      <c r="B18" s="5" t="s">
        <v>54</v>
      </c>
      <c r="C18" s="4" t="s">
        <v>55</v>
      </c>
      <c r="D18" s="4" t="s">
        <v>20</v>
      </c>
      <c r="E18" s="4">
        <v>1000</v>
      </c>
      <c r="F18" s="4">
        <v>59</v>
      </c>
      <c r="G18" s="4">
        <v>26</v>
      </c>
    </row>
    <row r="19" spans="1:7" ht="15" x14ac:dyDescent="0.2">
      <c r="A19" s="4" t="s">
        <v>45</v>
      </c>
      <c r="B19" s="5" t="s">
        <v>56</v>
      </c>
      <c r="C19" s="4" t="s">
        <v>57</v>
      </c>
      <c r="D19" s="4" t="s">
        <v>20</v>
      </c>
      <c r="E19" s="4">
        <v>1200</v>
      </c>
      <c r="F19" s="4">
        <v>68</v>
      </c>
      <c r="G19" s="4">
        <v>28</v>
      </c>
    </row>
    <row r="20" spans="1:7" ht="15" x14ac:dyDescent="0.2">
      <c r="A20" s="4" t="s">
        <v>26</v>
      </c>
      <c r="B20" s="5" t="s">
        <v>58</v>
      </c>
      <c r="C20" s="4" t="s">
        <v>59</v>
      </c>
      <c r="D20" s="4" t="s">
        <v>20</v>
      </c>
      <c r="E20" s="4">
        <v>1500</v>
      </c>
      <c r="F20" s="4">
        <v>57</v>
      </c>
      <c r="G20" s="4">
        <v>29</v>
      </c>
    </row>
    <row r="21" spans="1:7" ht="15" x14ac:dyDescent="0.2">
      <c r="A21" s="4" t="s">
        <v>26</v>
      </c>
      <c r="B21" s="5" t="s">
        <v>60</v>
      </c>
      <c r="C21" s="4" t="s">
        <v>61</v>
      </c>
      <c r="D21" s="4" t="s">
        <v>20</v>
      </c>
      <c r="E21" s="4">
        <v>869</v>
      </c>
      <c r="F21" s="4">
        <v>89</v>
      </c>
      <c r="G21" s="4">
        <v>12</v>
      </c>
    </row>
    <row r="22" spans="1:7" ht="15" x14ac:dyDescent="0.2">
      <c r="A22" s="4" t="s">
        <v>26</v>
      </c>
      <c r="B22" s="5" t="s">
        <v>62</v>
      </c>
      <c r="C22" s="4" t="s">
        <v>63</v>
      </c>
      <c r="D22" s="4" t="s">
        <v>23</v>
      </c>
      <c r="E22" s="4">
        <v>720</v>
      </c>
      <c r="F22" s="4">
        <v>53</v>
      </c>
      <c r="G22" s="4">
        <v>15</v>
      </c>
    </row>
    <row r="23" spans="1:7" ht="15" x14ac:dyDescent="0.2">
      <c r="A23" s="4" t="s">
        <v>26</v>
      </c>
      <c r="B23" s="5" t="s">
        <v>64</v>
      </c>
      <c r="C23" s="4" t="s">
        <v>65</v>
      </c>
      <c r="D23" s="4" t="s">
        <v>23</v>
      </c>
      <c r="E23" s="4">
        <v>710</v>
      </c>
      <c r="F23" s="4">
        <v>59</v>
      </c>
      <c r="G23" s="4">
        <v>10</v>
      </c>
    </row>
    <row r="24" spans="1:7" ht="15" x14ac:dyDescent="0.2">
      <c r="A24" s="4" t="s">
        <v>45</v>
      </c>
      <c r="B24" s="5" t="s">
        <v>66</v>
      </c>
      <c r="C24" s="4" t="s">
        <v>67</v>
      </c>
      <c r="D24" s="4" t="s">
        <v>23</v>
      </c>
      <c r="E24" s="4">
        <v>630</v>
      </c>
      <c r="F24" s="4">
        <v>54</v>
      </c>
      <c r="G24" s="4">
        <v>10</v>
      </c>
    </row>
    <row r="25" spans="1:7" ht="15" x14ac:dyDescent="0.2">
      <c r="A25" s="4" t="s">
        <v>36</v>
      </c>
      <c r="B25" s="5" t="s">
        <v>68</v>
      </c>
      <c r="C25" s="4" t="s">
        <v>69</v>
      </c>
      <c r="D25" s="4" t="s">
        <v>20</v>
      </c>
      <c r="E25" s="4">
        <v>880</v>
      </c>
      <c r="F25" s="4">
        <v>59</v>
      </c>
      <c r="G25" s="4">
        <v>18</v>
      </c>
    </row>
    <row r="26" spans="1:7" ht="15" x14ac:dyDescent="0.2">
      <c r="A26" s="4" t="s">
        <v>36</v>
      </c>
      <c r="B26" s="5" t="s">
        <v>70</v>
      </c>
      <c r="C26" s="4" t="s">
        <v>71</v>
      </c>
      <c r="D26" s="4" t="s">
        <v>23</v>
      </c>
      <c r="E26" s="4">
        <v>920</v>
      </c>
      <c r="F26" s="4">
        <v>65</v>
      </c>
      <c r="G26" s="4">
        <v>20</v>
      </c>
    </row>
    <row r="27" spans="1:7" ht="15" x14ac:dyDescent="0.2">
      <c r="A27" s="4" t="s">
        <v>36</v>
      </c>
      <c r="B27" s="5" t="s">
        <v>72</v>
      </c>
      <c r="C27" s="4" t="s">
        <v>73</v>
      </c>
      <c r="D27" s="4" t="s">
        <v>20</v>
      </c>
      <c r="E27" s="4">
        <v>560</v>
      </c>
      <c r="F27" s="4">
        <v>87</v>
      </c>
      <c r="G27" s="4">
        <v>10</v>
      </c>
    </row>
    <row r="28" spans="1:7" ht="15" x14ac:dyDescent="0.2">
      <c r="A28" s="4" t="s">
        <v>36</v>
      </c>
      <c r="B28" s="5" t="s">
        <v>74</v>
      </c>
      <c r="C28" s="4" t="s">
        <v>75</v>
      </c>
      <c r="D28" s="4" t="s">
        <v>20</v>
      </c>
      <c r="E28" s="4">
        <v>770</v>
      </c>
      <c r="F28" s="4">
        <v>85</v>
      </c>
      <c r="G28" s="4">
        <v>10</v>
      </c>
    </row>
    <row r="29" spans="1:7" ht="15" x14ac:dyDescent="0.2">
      <c r="A29" s="4" t="s">
        <v>29</v>
      </c>
      <c r="B29" s="5" t="s">
        <v>76</v>
      </c>
      <c r="C29" s="4" t="s">
        <v>77</v>
      </c>
      <c r="D29" s="4" t="s">
        <v>23</v>
      </c>
      <c r="E29" s="4">
        <v>1500</v>
      </c>
      <c r="F29" s="4">
        <v>65</v>
      </c>
      <c r="G29" s="4">
        <v>28</v>
      </c>
    </row>
    <row r="30" spans="1:7" ht="15" x14ac:dyDescent="0.2">
      <c r="A30" s="4" t="s">
        <v>29</v>
      </c>
      <c r="B30" s="5" t="s">
        <v>78</v>
      </c>
      <c r="C30" s="4" t="s">
        <v>79</v>
      </c>
      <c r="D30" s="4" t="s">
        <v>23</v>
      </c>
      <c r="E30" s="4">
        <v>1000</v>
      </c>
      <c r="F30" s="4">
        <v>75</v>
      </c>
      <c r="G30" s="4">
        <v>22</v>
      </c>
    </row>
    <row r="31" spans="1:7" ht="15" x14ac:dyDescent="0.2">
      <c r="A31" s="4" t="s">
        <v>29</v>
      </c>
      <c r="B31" s="5" t="s">
        <v>80</v>
      </c>
      <c r="C31" s="4" t="s">
        <v>81</v>
      </c>
      <c r="D31" s="4" t="s">
        <v>20</v>
      </c>
      <c r="E31" s="4">
        <v>780</v>
      </c>
      <c r="F31" s="4">
        <v>89</v>
      </c>
      <c r="G31" s="4">
        <v>10</v>
      </c>
    </row>
    <row r="32" spans="1:7" ht="15" x14ac:dyDescent="0.2">
      <c r="A32" s="4" t="s">
        <v>29</v>
      </c>
      <c r="B32" s="5" t="s">
        <v>82</v>
      </c>
      <c r="C32" s="4" t="s">
        <v>83</v>
      </c>
      <c r="D32" s="4" t="s">
        <v>23</v>
      </c>
      <c r="E32" s="4">
        <v>840</v>
      </c>
      <c r="F32" s="4">
        <v>77</v>
      </c>
      <c r="G32" s="4">
        <v>25</v>
      </c>
    </row>
    <row r="34" spans="1:7" x14ac:dyDescent="0.15">
      <c r="A34" s="4" t="s">
        <v>14</v>
      </c>
      <c r="B34" s="4" t="s">
        <v>16</v>
      </c>
    </row>
    <row r="35" spans="1:7" ht="15" x14ac:dyDescent="0.2">
      <c r="A35" s="6" t="s">
        <v>85</v>
      </c>
      <c r="B35" s="7" t="s">
        <v>86</v>
      </c>
    </row>
    <row r="37" spans="1:7" x14ac:dyDescent="0.15">
      <c r="A37" s="4" t="s">
        <v>10</v>
      </c>
      <c r="B37" s="4" t="s">
        <v>11</v>
      </c>
      <c r="C37" s="4" t="s">
        <v>12</v>
      </c>
      <c r="D37" s="4" t="s">
        <v>13</v>
      </c>
      <c r="E37" s="4" t="s">
        <v>14</v>
      </c>
      <c r="F37" s="4" t="s">
        <v>15</v>
      </c>
      <c r="G37" s="4" t="s">
        <v>16</v>
      </c>
    </row>
    <row r="38" spans="1:7" ht="15" x14ac:dyDescent="0.2">
      <c r="A38" s="4" t="s">
        <v>29</v>
      </c>
      <c r="B38" s="5" t="s">
        <v>30</v>
      </c>
      <c r="C38" s="4" t="s">
        <v>31</v>
      </c>
      <c r="D38" s="4" t="s">
        <v>20</v>
      </c>
      <c r="E38" s="4">
        <v>1200</v>
      </c>
      <c r="F38" s="4">
        <v>85</v>
      </c>
      <c r="G38" s="4">
        <v>28</v>
      </c>
    </row>
    <row r="39" spans="1:7" ht="15" x14ac:dyDescent="0.2">
      <c r="A39" s="4" t="s">
        <v>29</v>
      </c>
      <c r="B39" s="5" t="s">
        <v>41</v>
      </c>
      <c r="C39" s="4" t="s">
        <v>42</v>
      </c>
      <c r="D39" s="4" t="s">
        <v>23</v>
      </c>
      <c r="E39" s="4">
        <v>1500</v>
      </c>
      <c r="F39" s="4">
        <v>92</v>
      </c>
      <c r="G39" s="4">
        <v>28</v>
      </c>
    </row>
    <row r="40" spans="1:7" ht="15" x14ac:dyDescent="0.2">
      <c r="A40" s="4" t="s">
        <v>45</v>
      </c>
      <c r="B40" s="5" t="s">
        <v>56</v>
      </c>
      <c r="C40" s="4" t="s">
        <v>57</v>
      </c>
      <c r="D40" s="4" t="s">
        <v>20</v>
      </c>
      <c r="E40" s="4">
        <v>1200</v>
      </c>
      <c r="F40" s="4">
        <v>68</v>
      </c>
      <c r="G40" s="4">
        <v>28</v>
      </c>
    </row>
    <row r="41" spans="1:7" ht="15" x14ac:dyDescent="0.2">
      <c r="A41" s="4" t="s">
        <v>26</v>
      </c>
      <c r="B41" s="5" t="s">
        <v>58</v>
      </c>
      <c r="C41" s="4" t="s">
        <v>59</v>
      </c>
      <c r="D41" s="4" t="s">
        <v>20</v>
      </c>
      <c r="E41" s="4">
        <v>1500</v>
      </c>
      <c r="F41" s="4">
        <v>57</v>
      </c>
      <c r="G41" s="4">
        <v>29</v>
      </c>
    </row>
    <row r="42" spans="1:7" ht="15" x14ac:dyDescent="0.2">
      <c r="A42" s="4" t="s">
        <v>29</v>
      </c>
      <c r="B42" s="5" t="s">
        <v>76</v>
      </c>
      <c r="C42" s="4" t="s">
        <v>77</v>
      </c>
      <c r="D42" s="4" t="s">
        <v>23</v>
      </c>
      <c r="E42" s="4">
        <v>1500</v>
      </c>
      <c r="F42" s="4">
        <v>65</v>
      </c>
      <c r="G42" s="4">
        <v>28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产品销售情况</vt:lpstr>
      <vt:lpstr>产品4</vt:lpstr>
      <vt:lpstr>某单位人员情况表</vt:lpstr>
      <vt:lpstr>某单位人员情况表!Criteria</vt:lpstr>
      <vt:lpstr>某单位人员情况表!提取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2019-09-16T02:20:21Z</dcterms:modified>
</cp:coreProperties>
</file>